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Grille" sheetId="2" state="visible" r:id="rId4"/>
    <sheet name="Noyau N1-N6" sheetId="3" state="visible" r:id="rId5"/>
    <sheet name="Variantes sectorielles" sheetId="4" state="visible" r:id="rId6"/>
    <sheet name="Routage et seuils" sheetId="5" state="visible" r:id="rId7"/>
    <sheet name="Plafonds" sheetId="6" state="visible" r:id="rId8"/>
    <sheet name="Verrous" sheetId="7" state="visible" r:id="rId9"/>
    <sheet name="Conversion" sheetId="8" state="visible" r:id="rId10"/>
    <sheet name="Exemple de calcul" sheetId="9" state="visible" r:id="rId11"/>
    <sheet name="Glossaire" sheetId="10" state="visible" r:id="rId12"/>
    <sheet name="Paramètres" sheetId="11" state="visible" r:id="rId13"/>
  </sheets>
  <definedNames>
    <definedName function="false" hidden="true" localSheetId="1" name="_xlnm._FilterDatabase" vbProcedure="false">Grille!$A$4:$K$129</definedName>
    <definedName function="false" hidden="true" localSheetId="3" name="_xlnm._FilterDatabase" vbProcedure="false">'Variantes sectorielles'!$A$4:$G$52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<sst xmlns="http://schemas.openxmlformats.org/spreadsheetml/2006/main" count="1481" uniqueCount="981">
  <si>
    <t xml:space="preserve">Grille de scoring Project Finance — expliquée</t>
  </si>
  <si>
    <t xml:space="preserve">Pour le chargé d'affaires : quelle situation choisir pour chaque sous-critère, avec un exemple par situation. Dossiers et exemples fictifs.</t>
  </si>
  <si>
    <t xml:space="preserve">Comment la note est construite</t>
  </si>
  <si>
    <t xml:space="preserve">1. Routage (régime de revenus, secteur, phase) → seuils DSCR et poids.  2. Noyau financier D7 (N1 à N6).  3. Grille qualitative D1 à D9 (25 sous-critères).  4. Score sur 100 → note de 1 à 10.  5. Plafonds et verrous : la note approuvée est le minimum.</t>
  </si>
  <si>
    <t xml:space="preserve">Ce que fait le chargé d'affaires</t>
  </si>
  <si>
    <t xml:space="preserve">Pour chaque sous-critère, il lit la question « Ce qu'on évalue », vérifie les pièces listées, puis choisit dans l'outil la situation qui décrit le mieux le dossier. La note (100, 80, 50 ou 20) s'en déduit.</t>
  </si>
  <si>
    <t xml:space="preserve">Règle de choix</t>
  </si>
  <si>
    <t xml:space="preserve">Choisir la situation qui décrit le dossier AUJOURD'HUI, preuves à l'appui. En cas d'hésitation entre deux niveaux, retenir le plus prudent et l'expliquer en commentaire. Une promesse non signée vaut la situation sans la promesse.</t>
  </si>
  <si>
    <t xml:space="preserve">Info. insuffisante</t>
  </si>
  <si>
    <t xml:space="preserve">À choisir quand la pièce qui permettrait de trancher n'est pas au dossier. Elle compte 20, rend la note provisoire et exige un commentaire indiquant la pièce attendue.</t>
  </si>
  <si>
    <t xml:space="preserve">Critique</t>
  </si>
  <si>
    <t xml:space="preserve">Un commentaire est obligatoire : constat, pièce, et ce qui permettrait de remonter le niveau.</t>
  </si>
  <si>
    <t xml:space="preserve">Onglets</t>
  </si>
  <si>
    <t xml:space="preserve">Grille (D1 à D9) · Noyau N1-N6 · Variantes sectorielles (D2.1, D4.1, D4.3, D5.2 par secteur) · Routage et seuils (calculateur) · Plafonds · Verrous · Conversion (calculateur) · Exemple de calcul · Glossaire · Paramètres.</t>
  </si>
  <si>
    <t xml:space="preserve">Légende</t>
  </si>
  <si>
    <t xml:space="preserve">Cellules bleues : valeurs modifiables (paramètres, calculateurs). Les notes de la grille et les calculs sont des formules qui lisent l'onglet Paramètres.</t>
  </si>
  <si>
    <t xml:space="preserve">Niveau</t>
  </si>
  <si>
    <t xml:space="preserve">Note</t>
  </si>
  <si>
    <t xml:space="preserve">Signification générale</t>
  </si>
  <si>
    <t xml:space="preserve">Très favorable</t>
  </si>
  <si>
    <t xml:space="preserve">Meilleure pratique du marché, établie par des pièces signées ou indépendantes.</t>
  </si>
  <si>
    <t xml:space="preserve">Favorable</t>
  </si>
  <si>
    <t xml:space="preserve">Bon niveau, avec une limite mineure identifiée.</t>
  </si>
  <si>
    <t xml:space="preserve">Vigilance</t>
  </si>
  <si>
    <t xml:space="preserve">Faiblesse réelle qui demande un mitigant ou une condition.</t>
  </si>
  <si>
    <t xml:space="preserve">Point de rupture possible ; souvent lié à un plafond ou à un verrou.</t>
  </si>
  <si>
    <t xml:space="preserve">La pièce manque : on ne peut pas juger.</t>
  </si>
  <si>
    <t xml:space="preserve">Grille qualitative D1 à D9 — situations et exemples</t>
  </si>
  <si>
    <t xml:space="preserve">Une ligne par situation. Colonne « Dans l'outil » : texte exact de la liste déroulante. Les variantes par secteur de D2.1, D4.1, D4.3 et D5.2 sont dans l'onglet Variantes sectorielles.</t>
  </si>
  <si>
    <t xml:space="preserve">Domaine</t>
  </si>
  <si>
    <t xml:space="preserve">Poids P1 / P2 / P3</t>
  </si>
  <si>
    <t xml:space="preserve">Clé</t>
  </si>
  <si>
    <t xml:space="preserve">Sous-critère</t>
  </si>
  <si>
    <t xml:space="preserve">Poids dans le domaine</t>
  </si>
  <si>
    <t xml:space="preserve">Ce qu'on évalue</t>
  </si>
  <si>
    <t xml:space="preserve">Pièces à vérifier</t>
  </si>
  <si>
    <t xml:space="preserve">Dans l'outil (liste)</t>
  </si>
  <si>
    <t xml:space="preserve">Exemple : on choisit ce niveau quand…</t>
  </si>
  <si>
    <t xml:space="preserve">D1 — Sponsors et actionnariat</t>
  </si>
  <si>
    <t xml:space="preserve">10 % / 8 % / 5 %</t>
  </si>
  <si>
    <t xml:space="preserve">D1.1</t>
  </si>
  <si>
    <t xml:space="preserve">Capacité financière du sponsor</t>
  </si>
  <si>
    <t xml:space="preserve">La solidité financière du sponsor : peut-il apporter l'argent promis, et plus si le projet dérape ?</t>
  </si>
  <si>
    <t xml:space="preserve">États financiers des 3 derniers exercices, notation (interne ou agence), lettre d'engagement de fonds propres, liste des autres projets en cours.</t>
  </si>
  <si>
    <t xml:space="preserve">Très favorable — Sponsor noté ≥ BBB, fonds propres disponibles &gt; 3 × l'appel restant</t>
  </si>
  <si>
    <t xml:space="preserve">Énergéticien international noté BBB+, 2 milliards MAD de fonds propres, il lui reste 150 MMAD à apporter.</t>
  </si>
  <si>
    <t xml:space="preserve">Favorable — Sponsor solide, capacité couvrant l'appel restant avec marge</t>
  </si>
  <si>
    <t xml:space="preserve">Groupe industriel marocain solide, trésorerie de 400 MMAD pour 120 MMAD restant à apporter.</t>
  </si>
  <si>
    <t xml:space="preserve">Vigilance — Capacité juste suffisante ou dépendante d'autres projets</t>
  </si>
  <si>
    <t xml:space="preserve">Promoteur qui finance trois projets en même temps : sa trésorerie couvre l'appel restant de justesse.</t>
  </si>
  <si>
    <t xml:space="preserve">Critique — Capacité insuffisante ou sponsor en difficulté financière</t>
  </si>
  <si>
    <t xml:space="preserve">Sponsor en pertes depuis deux ans, fonds propres négatifs, ou en restructuration de sa propre dette.</t>
  </si>
  <si>
    <t xml:space="preserve">États financiers non remis ou datant de plus de 18 mois.</t>
  </si>
  <si>
    <t xml:space="preserve">D1.2</t>
  </si>
  <si>
    <t xml:space="preserve">Obligation juridique de soutien</t>
  </si>
  <si>
    <t xml:space="preserve">Ce que le sponsor s'est engagé juridiquement à faire, pas seulement ce qu'il pourrait faire.</t>
  </si>
  <si>
    <t xml:space="preserve">Contrat d'apport (equity contribution agreement), garantie de dépassement de coûts (cost overrun), garantie de bonne fin (completion guarantee).</t>
  </si>
  <si>
    <t xml:space="preserve">Très favorable — Engagements signés : fonds propres, dépassement, garanties de complétion</t>
  </si>
  <si>
    <t xml:space="preserve">Contrat d'apport signé, garantie de dépassement de 10 % du CAPEX et garantie de bonne fin jusqu'à la réception.</t>
  </si>
  <si>
    <t xml:space="preserve">Favorable — Engagement de fonds propres signé, dépassement partiellement couvert</t>
  </si>
  <si>
    <t xml:space="preserve">Apport de fonds propres signé ; dépassement couvert à 5 % seulement.</t>
  </si>
  <si>
    <t xml:space="preserve">Vigilance — Lettre de confort ou engagement non encore signé</t>
  </si>
  <si>
    <t xml:space="preserve">Simple lettre de confort (« nous soutiendrons le projet ») sans engagement chiffré.</t>
  </si>
  <si>
    <t xml:space="preserve">Critique — Aucun engagement juridique du sponsor</t>
  </si>
  <si>
    <t xml:space="preserve">Aucun document : le sponsor peut se retirer sans pénalité.</t>
  </si>
  <si>
    <t xml:space="preserve">Engagements annoncés mais aucun projet de contrat communiqué.</t>
  </si>
  <si>
    <t xml:space="preserve">D1.3</t>
  </si>
  <si>
    <t xml:space="preserve">Structure actionnariale et gouvernance</t>
  </si>
  <si>
    <t xml:space="preserve">Qui détient la société de projet (SPV), comment elle est gouvernée, et le risque de départ d'un actionnaire.</t>
  </si>
  <si>
    <t xml:space="preserve">Organigramme actionnarial jusqu'aux bénéficiaires effectifs, pacte d'actionnaires, clauses de cession (lock-up).</t>
  </si>
  <si>
    <t xml:space="preserve">Très favorable — Actionnariat stable, pacte signé, gouvernance de la SPV documentée</t>
  </si>
  <si>
    <t xml:space="preserve">Deux actionnaires stables (60/40), pacte signé, interdiction de céder avant la réception, bénéficiaires connus.</t>
  </si>
  <si>
    <t xml:space="preserve">Favorable — Actionnariat stable, pacte en cours de finalisation</t>
  </si>
  <si>
    <t xml:space="preserve">Actionnariat stable, pacte en cours de signature, bénéficiaires connus.</t>
  </si>
  <si>
    <t xml:space="preserve">Vigilance — Actionnariat dispersé ou clauses de sortie précoces</t>
  </si>
  <si>
    <t xml:space="preserve">Cinq actionnaires minoritaires, ou un fonds qui peut sortir dès la 3e année.</t>
  </si>
  <si>
    <t xml:space="preserve">Critique — Actionnariat instable, conflit ou bénéficiaire effectif non établi</t>
  </si>
  <si>
    <t xml:space="preserve">Conflit entre actionnaires, ou bénéficiaire effectif non identifié (exigence KYC / LBC-FT).</t>
  </si>
  <si>
    <t xml:space="preserve">Organigramme incomplet, bénéficiaires effectifs non documentés.</t>
  </si>
  <si>
    <t xml:space="preserve">D2 — Projet, site, technologie</t>
  </si>
  <si>
    <t xml:space="preserve">10 % / 7 % / 5 %</t>
  </si>
  <si>
    <t xml:space="preserve">D2.1</t>
  </si>
  <si>
    <t xml:space="preserve">Technologie et performance</t>
  </si>
  <si>
    <t xml:space="preserve">La technologie fonctionne-t-elle comme prévu, à cette taille ? (variante par secteur dans l'onglet Variantes sectorielles)</t>
  </si>
  <si>
    <t xml:space="preserve">Rapport de l'ingénieur indépendant, références du fournisseur, garanties de performance.</t>
  </si>
  <si>
    <t xml:space="preserve">Très favorable — Technologie éprouvée, références nombreuses et comparables</t>
  </si>
  <si>
    <t xml:space="preserve">Station de dessalement par osmose inverse, procédé utilisé dans 30 usines de taille comparable.</t>
  </si>
  <si>
    <t xml:space="preserve">Favorable — Technologie éprouvée, références moins nombreuses ou plus petites</t>
  </si>
  <si>
    <t xml:space="preserve">Technologie éprouvée mais le fournisseur n'a que 2 références de cette taille.</t>
  </si>
  <si>
    <t xml:space="preserve">Vigilance — Technologie récente ou extrapolée à une taille supérieure</t>
  </si>
  <si>
    <t xml:space="preserve">Unité de nouvelle génération extrapolée au double de la taille des références existantes.</t>
  </si>
  <si>
    <t xml:space="preserve">Critique — Technologie non éprouvée à cette échelle</t>
  </si>
  <si>
    <t xml:space="preserve">Premier déploiement industriel d'un procédé testé seulement en pilote.</t>
  </si>
  <si>
    <t xml:space="preserve">Pas de rapport technique indépendant.</t>
  </si>
  <si>
    <t xml:space="preserve">D2.2</t>
  </si>
  <si>
    <t xml:space="preserve">Site, foncier physique et accès</t>
  </si>
  <si>
    <t xml:space="preserve">Le terrain est-il acquis, sain et accessible (routes, réseau électrique, eau) ?</t>
  </si>
  <si>
    <t xml:space="preserve">Titre foncier ou contrat de location, études géotechniques, autorisations de raccordement.</t>
  </si>
  <si>
    <t xml:space="preserve">Très favorable — Foncier sécurisé, études de sol faites, accès et réseaux disponibles</t>
  </si>
  <si>
    <t xml:space="preserve">Terrain acquis et immatriculé, sol étudié, poste électrique à 2 km avec accord de raccordement.</t>
  </si>
  <si>
    <t xml:space="preserve">Favorable — Foncier sécurisé, études ou raccordements encore à finaliser</t>
  </si>
  <si>
    <t xml:space="preserve">Terrain sécurisé par bail long, raccordement électrique accordé mais travaux non commencés.</t>
  </si>
  <si>
    <t xml:space="preserve">Vigilance — Foncier ou accès en cours d'obtention, contraintes de site identifiées</t>
  </si>
  <si>
    <t xml:space="preserve">Achat du terrain en cours, ou piste d'accès à construire par une commune.</t>
  </si>
  <si>
    <t xml:space="preserve">Critique — Foncier non sécurisé ou contrainte de site non résolue</t>
  </si>
  <si>
    <t xml:space="preserve">Terrain non acquis ou litige foncier en cours (voir aussi le verrou B4).</t>
  </si>
  <si>
    <t xml:space="preserve">Statut foncier non communiqué.</t>
  </si>
  <si>
    <t xml:space="preserve">D2.3</t>
  </si>
  <si>
    <t xml:space="preserve">Planning et complexité d'exécution</t>
  </si>
  <si>
    <t xml:space="preserve">Le calendrier est-il réaliste et le chantier maîtrisable ?</t>
  </si>
  <si>
    <t xml:space="preserve">Planning détaillé, chemin critique, avis de l'ingénieur indépendant.</t>
  </si>
  <si>
    <t xml:space="preserve">Très favorable — Planning réaliste avec marge, chantier simple et répétitif</t>
  </si>
  <si>
    <t xml:space="preserve">Parc solaire de 18 mois avec 3 mois de marge, opérations répétitives.</t>
  </si>
  <si>
    <t xml:space="preserve">Favorable — Planning tenable, quelques interfaces critiques identifiées</t>
  </si>
  <si>
    <t xml:space="preserve">Planning tenable ; dépend de la livraison d'un transformateur dans les délais.</t>
  </si>
  <si>
    <t xml:space="preserve">Vigilance — Planning tendu ou chemin critique dépendant de tiers</t>
  </si>
  <si>
    <t xml:space="preserve">Planning serré qui dépend d'un tiers (raccordement par l'opérateur public, permis en attente).</t>
  </si>
  <si>
    <t xml:space="preserve">Critique — Planning irréaliste ou complexité non maîtrisée</t>
  </si>
  <si>
    <t xml:space="preserve">Planning de 12 mois pour un chantier que les experts estiment à 24 mois.</t>
  </si>
  <si>
    <t xml:space="preserve">Aucun planning détaillé remis.</t>
  </si>
  <si>
    <t xml:space="preserve">D3 — Construction et achèvement</t>
  </si>
  <si>
    <t xml:space="preserve">20 % / 8 % / 0 %</t>
  </si>
  <si>
    <t xml:space="preserve">D3.1</t>
  </si>
  <si>
    <t xml:space="preserve">Contrat EPC et constructeur</t>
  </si>
  <si>
    <t xml:space="preserve">Le contrat de construction (EPC) protège-t-il la SPV contre les retards et dépassements ?</t>
  </si>
  <si>
    <t xml:space="preserve">Contrat EPC : prix forfaitaire, date garantie, pénalités de retard et de performance, garanties bancaires du constructeur.</t>
  </si>
  <si>
    <t xml:space="preserve">Très favorable — EPC clé-en-main forfaitaire, constructeur de premier rang, pénalités ≥ 15 %</t>
  </si>
  <si>
    <t xml:space="preserve">EPC clé-en-main à prix fixe, constructeur international, pénalités de retard jusqu'à 15 % du contrat.</t>
  </si>
  <si>
    <t xml:space="preserve">Favorable — EPC forfaitaire, pénalités ou garanties légèrement en retrait</t>
  </si>
  <si>
    <t xml:space="preserve">EPC forfaitaire mais pénalités plafonnées à 10 %.</t>
  </si>
  <si>
    <t xml:space="preserve">Vigilance — Lots séparés ou constructeur à l'expérience limitée</t>
  </si>
  <si>
    <t xml:space="preserve">Trois lots séparés (génie civil, équipements, électricité) coordonnés par la SPV.</t>
  </si>
  <si>
    <t xml:space="preserve">Critique — Pas d'EPC signé ou constructeur fragile</t>
  </si>
  <si>
    <t xml:space="preserve">EPC non signé (voir verrou B2) ou constructeur en difficulté financière.</t>
  </si>
  <si>
    <t xml:space="preserve">Projet d'EPC non communiqué.</t>
  </si>
  <si>
    <t xml:space="preserve">D3.2</t>
  </si>
  <si>
    <t xml:space="preserve">Interfaces et gouvernance de chantier</t>
  </si>
  <si>
    <t xml:space="preserve">Combien d'intervenants doivent se coordonner sur le chantier, et qui contrôle ?</t>
  </si>
  <si>
    <t xml:space="preserve">Organigramme du chantier, contrat de l'ingénieur des prêteurs (lender's technical advisor).</t>
  </si>
  <si>
    <t xml:space="preserve">Très favorable — Interface unique, ingénieur indépendant des prêteurs mandaté</t>
  </si>
  <si>
    <t xml:space="preserve">Un seul constructeur responsable de tout, ingénieur indépendant mandaté par les banques.</t>
  </si>
  <si>
    <t xml:space="preserve">Favorable — Interfaces peu nombreuses et contractualisées</t>
  </si>
  <si>
    <t xml:space="preserve">Deux interfaces contractualisées (constructeur et raccordement).</t>
  </si>
  <si>
    <t xml:space="preserve">Vigilance — Interfaces multiples, coordination portée par la SPV</t>
  </si>
  <si>
    <t xml:space="preserve">Cinq intervenants, coordination assurée par une petite équipe de la SPV.</t>
  </si>
  <si>
    <t xml:space="preserve">Critique — Interfaces non contractualisées ou litige de chantier</t>
  </si>
  <si>
    <t xml:space="preserve">Interfaces sans contrat, ou litige déjà ouvert avec un sous-traitant.</t>
  </si>
  <si>
    <t xml:space="preserve">Organisation du chantier non décrite.</t>
  </si>
  <si>
    <t xml:space="preserve">D3.3</t>
  </si>
  <si>
    <t xml:space="preserve">Assurances et garanties mobilisables</t>
  </si>
  <si>
    <t xml:space="preserve">Les assurances couvrent-elles les dommages et la perte d'exploitation, au profit des banques ?</t>
  </si>
  <si>
    <t xml:space="preserve">Polices d'assurance (tous risques chantier, perte d'exploitation anticipée), délégation aux prêteurs, avis du courtier.</t>
  </si>
  <si>
    <t xml:space="preserve">Très favorable — Polices tous risques et pertes d'exploitation, prêteurs bénéficiaires</t>
  </si>
  <si>
    <t xml:space="preserve">Tous risques chantier et perte d'exploitation, banques bénéficiaires, franchises faibles.</t>
  </si>
  <si>
    <t xml:space="preserve">Favorable — Polices en place, quelques franchises ou plafonds élevés</t>
  </si>
  <si>
    <t xml:space="preserve">Polices en place ; franchise élevée sur le bris de machine.</t>
  </si>
  <si>
    <t xml:space="preserve">Vigilance — Couverture partielle ou délégation aux prêteurs non finalisée</t>
  </si>
  <si>
    <t xml:space="preserve">Perte d'exploitation non couverte, ou délégation aux banques pas encore signée.</t>
  </si>
  <si>
    <t xml:space="preserve">Critique — Assurances absentes ou insuffisantes</t>
  </si>
  <si>
    <t xml:space="preserve">Aucune assurance chantier.</t>
  </si>
  <si>
    <t xml:space="preserve">Programme d'assurance non communiqué.</t>
  </si>
  <si>
    <t xml:space="preserve">D4 — Mécanisme des recettes</t>
  </si>
  <si>
    <t xml:space="preserve">5 % / 12 % / 15 %</t>
  </si>
  <si>
    <t xml:space="preserve">D4.1</t>
  </si>
  <si>
    <t xml:space="preserve">Structure contractuelle des recettes</t>
  </si>
  <si>
    <t xml:space="preserve">Les recettes sont-elles garanties par un contrat qui couvre la durée de la dette ? (variante par secteur)</t>
  </si>
  <si>
    <t xml:space="preserve">Contrat de vente (PPA, offtake), concession, baux ; durée comparée à celle de la dette.</t>
  </si>
  <si>
    <t xml:space="preserve">Très favorable — Contrat ferme couvrant toute la durée de la dette</t>
  </si>
  <si>
    <t xml:space="preserve">Contrat d'achat ferme de 25 ans pour une dette de 20 ans.</t>
  </si>
  <si>
    <t xml:space="preserve">Favorable — Contrat couvrant l'essentiel des recettes et de la durée</t>
  </si>
  <si>
    <t xml:space="preserve">Contrat couvrant 85 % des recettes sur 18 des 20 ans de dette.</t>
  </si>
  <si>
    <t xml:space="preserve">Vigilance — Recettes en partie contractuelles, en partie exposées</t>
  </si>
  <si>
    <t xml:space="preserve">60 % des recettes sous contrat, le reste vendu au marché.</t>
  </si>
  <si>
    <t xml:space="preserve">Critique — Recettes sans contrat ou contrat expirant tôt</t>
  </si>
  <si>
    <t xml:space="preserve">Pas de contrat, ou contrat de 5 ans pour une dette de 15 ans.</t>
  </si>
  <si>
    <t xml:space="preserve">Contrat de recettes non remis.</t>
  </si>
  <si>
    <t xml:space="preserve">D4.2</t>
  </si>
  <si>
    <t xml:space="preserve">Mécanisme de prix et indexation</t>
  </si>
  <si>
    <t xml:space="preserve">Le prix de vente suit-il les coûts (inflation, énergie, salaires) ?</t>
  </si>
  <si>
    <t xml:space="preserve">Clause d'indexation du contrat, formule de révision, historique.</t>
  </si>
  <si>
    <t xml:space="preserve">Très favorable — Prix fixé, indexé sur les coûts réels du projet</t>
  </si>
  <si>
    <t xml:space="preserve">Tarif indexé à 100 % sur un indice qui suit les coûts réels du projet.</t>
  </si>
  <si>
    <t xml:space="preserve">Favorable — Indexation partielle (≥ 70 %) ou décalée</t>
  </si>
  <si>
    <t xml:space="preserve">Indexation de 70 % à 90 % du tarif.</t>
  </si>
  <si>
    <t xml:space="preserve">Vigilance — Indexation faible ou plafonnée, coûts en partie non répercutés</t>
  </si>
  <si>
    <t xml:space="preserve">Indexation plafonnée à 2 % par an alors que les coûts suivent l'inflation.</t>
  </si>
  <si>
    <t xml:space="preserve">Critique — Prix libre ou baisse de prix probable</t>
  </si>
  <si>
    <t xml:space="preserve">Prix fixé chaque année par le marché, en baisse probable.</t>
  </si>
  <si>
    <t xml:space="preserve">Clause de prix non communiquée.</t>
  </si>
  <si>
    <t xml:space="preserve">D4.3</t>
  </si>
  <si>
    <t xml:space="preserve">Marché et concurrence</t>
  </si>
  <si>
    <t xml:space="preserve">La demande est-elle solide face à la concurrence ? (variante par secteur)</t>
  </si>
  <si>
    <t xml:space="preserve">Étude de marché indépendante, données de la concurrence, historique de prix.</t>
  </si>
  <si>
    <t xml:space="preserve">Très favorable — Demande structurelle, aucune concurrence crédible</t>
  </si>
  <si>
    <t xml:space="preserve">Seul port en eau profonde de la région, trafic en hausse de 5 % par an.</t>
  </si>
  <si>
    <t xml:space="preserve">Favorable — Demande solide, concurrence limitée</t>
  </si>
  <si>
    <t xml:space="preserve">Demande solide ; un concurrent de taille plus réduite.</t>
  </si>
  <si>
    <t xml:space="preserve">Vigilance — Concurrence active ou demande sensible à la conjoncture</t>
  </si>
  <si>
    <t xml:space="preserve">Deux nouveaux concurrents annoncés dans les 3 ans.</t>
  </si>
  <si>
    <t xml:space="preserve">Critique — Surcapacité ou demande en déclin</t>
  </si>
  <si>
    <t xml:space="preserve">Surcapacité : le marché est déjà saturé, les prix baissent.</t>
  </si>
  <si>
    <t xml:space="preserve">Pas d'étude de marché.</t>
  </si>
  <si>
    <t xml:space="preserve">D5 — Exploitation et maintenance</t>
  </si>
  <si>
    <t xml:space="preserve">D5.1</t>
  </si>
  <si>
    <t xml:space="preserve">Opérateur et contrat O&amp;M</t>
  </si>
  <si>
    <t xml:space="preserve">Qui exploite et entretient l'installation, avec quel contrat ?</t>
  </si>
  <si>
    <t xml:space="preserve">Contrat d'exploitation et maintenance (O&amp;M), références de l'opérateur, pénalités de performance.</t>
  </si>
  <si>
    <t xml:space="preserve">Très favorable — Opérateur de premier rang, contrat O&amp;M long, pénalités adossées</t>
  </si>
  <si>
    <t xml:space="preserve">Opérateur reconnu, contrat O&amp;M de 15 ans avec pénalités adossées au contrat de vente.</t>
  </si>
  <si>
    <t xml:space="preserve">Favorable — Opérateur expérimenté, contrat O&amp;M plus court que la dette</t>
  </si>
  <si>
    <t xml:space="preserve">Opérateur expérimenté ; contrat O&amp;M de 5 ans renouvelable pour une dette de 15 ans.</t>
  </si>
  <si>
    <t xml:space="preserve">Vigilance — Opérateur peu expérimenté ou exploitation en régie par la SPV</t>
  </si>
  <si>
    <t xml:space="preserve">La SPV exploite elle-même avec une équipe récemment recrutée.</t>
  </si>
  <si>
    <t xml:space="preserve">Critique — Aucun opérateur qualifié identifié</t>
  </si>
  <si>
    <t xml:space="preserve">Aucun opérateur identifié à 6 mois de la mise en service.</t>
  </si>
  <si>
    <t xml:space="preserve">Contrat O&amp;M non communiqué.</t>
  </si>
  <si>
    <t xml:space="preserve">D5.2</t>
  </si>
  <si>
    <t xml:space="preserve">Performance technique et disponibilité</t>
  </si>
  <si>
    <t xml:space="preserve">L'installation produit-elle ce qui est promis ? (variante par secteur)</t>
  </si>
  <si>
    <t xml:space="preserve">Rapports d'exploitation, taux de disponibilité, comparaison au contrat.</t>
  </si>
  <si>
    <t xml:space="preserve">Très favorable — Performance garantie et constatée au-dessus du contrat</t>
  </si>
  <si>
    <t xml:space="preserve">Disponibilité constatée 99 % pour 97 % garantis.</t>
  </si>
  <si>
    <t xml:space="preserve">Favorable — Performance conforme au contrat</t>
  </si>
  <si>
    <t xml:space="preserve">Disponibilité conforme au contrat (97 %).</t>
  </si>
  <si>
    <t xml:space="preserve">Vigilance — Performance légèrement inférieure, pénalités ponctuelles</t>
  </si>
  <si>
    <t xml:space="preserve">Disponibilité 94 % : quelques pénalités payées à l'acheteur.</t>
  </si>
  <si>
    <t xml:space="preserve">Critique — Performance durablement inférieure au contrat</t>
  </si>
  <si>
    <t xml:space="preserve">Disponibilité 85 % depuis un an, pénalités lourdes.</t>
  </si>
  <si>
    <t xml:space="preserve">Pas d'historique ni de garantie de performance en construction.</t>
  </si>
  <si>
    <t xml:space="preserve">D5.3</t>
  </si>
  <si>
    <t xml:space="preserve">Coûts, gros entretien et dépendances</t>
  </si>
  <si>
    <t xml:space="preserve">Les coûts d'exploitation et le gros entretien sont-ils maîtrisés ?</t>
  </si>
  <si>
    <t xml:space="preserve">Budget d'exploitation, plan de gros entretien, compte de réserve de maintenance (MRA).</t>
  </si>
  <si>
    <t xml:space="preserve">Très favorable — Coûts contractualisés, réserve de gros entretien dotée</t>
  </si>
  <si>
    <t xml:space="preserve">Coûts fixés par contrat, réserve de maintenance alimentée chaque semestre.</t>
  </si>
  <si>
    <t xml:space="preserve">Favorable — Coûts maîtrisés, réserve de gros entretien prévue</t>
  </si>
  <si>
    <t xml:space="preserve">Coûts maîtrisés, réserve prévue mais pas encore alimentée.</t>
  </si>
  <si>
    <t xml:space="preserve">Vigilance — Coûts exposés à l'inflation ou intrants critiques non couverts</t>
  </si>
  <si>
    <t xml:space="preserve">Coût de l'énergie ou d'une pièce importée non couvert.</t>
  </si>
  <si>
    <t xml:space="preserve">Critique — Coûts non maîtrisés ou dépendance non couverte</t>
  </si>
  <si>
    <t xml:space="preserve">Dépassements récurrents de 30 % du budget.</t>
  </si>
  <si>
    <t xml:space="preserve">Budget d'exploitation absent (exemple : cas SAN, plan de gros entretien non remis).</t>
  </si>
  <si>
    <t xml:space="preserve">D6 — Contreparties et consortium</t>
  </si>
  <si>
    <t xml:space="preserve">10 % / 12 % / 15 %</t>
  </si>
  <si>
    <t xml:space="preserve">D6.1</t>
  </si>
  <si>
    <t xml:space="preserve">Acheteur ou payeur principal</t>
  </si>
  <si>
    <t xml:space="preserve">Celui qui paie le projet (acheteur, autorité) est-il solide ?</t>
  </si>
  <si>
    <t xml:space="preserve">Notation de l'acheteur, historique de paiement, garanties de l'État.</t>
  </si>
  <si>
    <t xml:space="preserve">Très favorable — Acheteur noté ≥ BBB, paiements réguliers</t>
  </si>
  <si>
    <t xml:space="preserve">Office public noté BBB, paiements à 30 jours depuis 5 ans.</t>
  </si>
  <si>
    <t xml:space="preserve">Favorable — Acheteur noté BBB−, retards de paiement limités</t>
  </si>
  <si>
    <t xml:space="preserve">Acheteur noté BBB−, retards de 60 jours occasionnels.</t>
  </si>
  <si>
    <t xml:space="preserve">Vigilance — Acheteur non noté ou retards de paiement répétés</t>
  </si>
  <si>
    <t xml:space="preserve">Industriel non noté, ou retards de paiement de 120 jours répétés.</t>
  </si>
  <si>
    <t xml:space="preserve">Critique — Acheteur fragile ou en défaut de paiement</t>
  </si>
  <si>
    <t xml:space="preserve">Acheteur en défaut de paiement ou sous sanctions (cas MIN).</t>
  </si>
  <si>
    <t xml:space="preserve">Pas d'information sur l'acheteur.</t>
  </si>
  <si>
    <t xml:space="preserve">D6.2</t>
  </si>
  <si>
    <t xml:space="preserve">Fournisseurs critiques</t>
  </si>
  <si>
    <t xml:space="preserve">Les fournisseurs indispensables (combustible, matière première, pièces) sont-ils remplaçables ?</t>
  </si>
  <si>
    <t xml:space="preserve">Contrats d'approvisionnement, nombre de fournisseurs alternatifs.</t>
  </si>
  <si>
    <t xml:space="preserve">Très favorable — Fournisseurs multiples ou contrats long terme garantis</t>
  </si>
  <si>
    <t xml:space="preserve">Gaz fourni par contrat de 15 ans avec deux fournisseurs alternatifs.</t>
  </si>
  <si>
    <t xml:space="preserve">Favorable — Fournisseur principal solide, alternative possible</t>
  </si>
  <si>
    <t xml:space="preserve">Fournisseur principal solide ; un second possible en 3 mois.</t>
  </si>
  <si>
    <t xml:space="preserve">Vigilance — Fournisseur unique, substitution longue ou coûteuse</t>
  </si>
  <si>
    <t xml:space="preserve">Fournisseur unique de membranes, remplacement en 12 mois.</t>
  </si>
  <si>
    <t xml:space="preserve">Critique — Fournisseur critique fragile, aucune alternative</t>
  </si>
  <si>
    <t xml:space="preserve">Fournisseur unique en difficulté, sans alternative.</t>
  </si>
  <si>
    <t xml:space="preserve">Contrats d'approvisionnement non remis.</t>
  </si>
  <si>
    <t xml:space="preserve">D6.3</t>
  </si>
  <si>
    <t xml:space="preserve">Prêteurs et consortium</t>
  </si>
  <si>
    <t xml:space="preserve">Les banques du financement sont-elles solides et organisées entre elles ?</t>
  </si>
  <si>
    <t xml:space="preserve">Liste des prêteurs, convention intercréanciers (règles de vote, partage des sûretés).</t>
  </si>
  <si>
    <t xml:space="preserve">Très favorable — Prêteurs de premier rang, convention intercréanciers signée</t>
  </si>
  <si>
    <t xml:space="preserve">Trois banques de premier rang, convention intercréanciers signée.</t>
  </si>
  <si>
    <t xml:space="preserve">Favorable — Consortium solide, convention en cours de finalisation</t>
  </si>
  <si>
    <t xml:space="preserve">Consortium solide, convention en cours de finalisation.</t>
  </si>
  <si>
    <t xml:space="preserve">Vigilance — Prêteurs hétérogènes ou règles de vote à préciser</t>
  </si>
  <si>
    <t xml:space="preserve">Prêteurs hétérogènes (banques et fonds), règles de vote non arrêtées.</t>
  </si>
  <si>
    <t xml:space="preserve">Critique — Conflit entre prêteurs ou absence de convention</t>
  </si>
  <si>
    <t xml:space="preserve">Désaccord entre prêteurs sur le partage des sûretés.</t>
  </si>
  <si>
    <t xml:space="preserve">Structure du pool non communiquée. Dossier bilatéral : choisir Très favorable si la banque est seule prêteuse.</t>
  </si>
  <si>
    <t xml:space="preserve">D8 — Juridique, sûretés, continuité</t>
  </si>
  <si>
    <t xml:space="preserve">10 % / 8 % / 10 %</t>
  </si>
  <si>
    <t xml:space="preserve">D8.1</t>
  </si>
  <si>
    <t xml:space="preserve">Documentation contractuelle et droits directs</t>
  </si>
  <si>
    <t xml:space="preserve">Les contrats sont-ils signés et les banques peuvent-elles intervenir directement auprès des contreparties ?</t>
  </si>
  <si>
    <t xml:space="preserve">Liste des contrats signés, accords directs (direct agreements) permettant aux banques de se substituer à la SPV.</t>
  </si>
  <si>
    <t xml:space="preserve">Très favorable — Contrats signés, accords directs avec toutes les contreparties clés</t>
  </si>
  <si>
    <t xml:space="preserve">Tous les contrats signés, accords directs avec l'acheteur, le constructeur et l'opérateur.</t>
  </si>
  <si>
    <t xml:space="preserve">Favorable — Contrats signés, accords directs avec les principales contreparties</t>
  </si>
  <si>
    <t xml:space="preserve">Accords directs avec l'acheteur et le constructeur seulement.</t>
  </si>
  <si>
    <t xml:space="preserve">Vigilance — Contrats ou accords directs en cours de négociation</t>
  </si>
  <si>
    <t xml:space="preserve">Contrat de vente encore en négociation.</t>
  </si>
  <si>
    <t xml:space="preserve">Critique — Documentation lacunaire, pas de droits directs</t>
  </si>
  <si>
    <t xml:space="preserve">Contrats non signés et pas de droits directs.</t>
  </si>
  <si>
    <t xml:space="preserve">Liste des contrats non fournie.</t>
  </si>
  <si>
    <t xml:space="preserve">D8.2</t>
  </si>
  <si>
    <t xml:space="preserve">Sûretés et opposabilité</t>
  </si>
  <si>
    <t xml:space="preserve">Les garanties des banques (nantissements, hypothèques) sont-elles valables et opposables ?</t>
  </si>
  <si>
    <t xml:space="preserve">Avis juridique d'opposabilité (legal opinion), preuves d'inscription.</t>
  </si>
  <si>
    <t xml:space="preserve">Très favorable — Sûretés complètes, enregistrées, avis juridique sans réserve</t>
  </si>
  <si>
    <t xml:space="preserve">Nantissement des actions, des comptes et des créances inscrits ; avis juridique sans réserve.</t>
  </si>
  <si>
    <t xml:space="preserve">Favorable — Sûretés complètes, formalités en cours</t>
  </si>
  <si>
    <t xml:space="preserve">Sûretés signées, inscriptions en cours.</t>
  </si>
  <si>
    <t xml:space="preserve">Vigilance — Sûretés partielles ou réserve dans l'avis juridique</t>
  </si>
  <si>
    <t xml:space="preserve">Avis juridique avec réserve sur le nantissement des créances (voir verrou B5).</t>
  </si>
  <si>
    <t xml:space="preserve">Critique — Sûretés non opposables ou absentes</t>
  </si>
  <si>
    <t xml:space="preserve">Sûretés non opposables (bien du domaine public non hypothécable sans accord).</t>
  </si>
  <si>
    <t xml:space="preserve">Avis juridique non encore demandé.</t>
  </si>
  <si>
    <t xml:space="preserve">D8.3</t>
  </si>
  <si>
    <t xml:space="preserve">Autorisations, cadre réglementaire, litiges</t>
  </si>
  <si>
    <t xml:space="preserve">Le projet a-t-il toutes ses autorisations, et le cadre légal est-il stable ?</t>
  </si>
  <si>
    <t xml:space="preserve">Permis de construire, autorisations d'exploiter, licences, état des litiges.</t>
  </si>
  <si>
    <t xml:space="preserve">Très favorable — Toutes autorisations définitives, cadre stable, aucun litige</t>
  </si>
  <si>
    <t xml:space="preserve">Toutes autorisations définitives, aucun litige.</t>
  </si>
  <si>
    <t xml:space="preserve">Favorable — Autorisations obtenues, renouvellements de routine</t>
  </si>
  <si>
    <t xml:space="preserve">Autorisations obtenues ; renouvellement annuel de routine.</t>
  </si>
  <si>
    <t xml:space="preserve">Vigilance — Autorisations en cours ou cadre réglementaire en évolution</t>
  </si>
  <si>
    <t xml:space="preserve">Autorisation d'exploiter en cours d'instruction, ou loi sectorielle en révision.</t>
  </si>
  <si>
    <t xml:space="preserve">Critique — Autorisation clé manquante ou litige significatif</t>
  </si>
  <si>
    <t xml:space="preserve">Autorisation clé refusée ou litige significatif avec l'administration.</t>
  </si>
  <si>
    <t xml:space="preserve">Liste des autorisations non fournie.</t>
  </si>
  <si>
    <t xml:space="preserve">D9 — ESG et climat résiduel</t>
  </si>
  <si>
    <t xml:space="preserve">5 % / 5 % / 5 %</t>
  </si>
  <si>
    <t xml:space="preserve">D9.1</t>
  </si>
  <si>
    <t xml:space="preserve">Environnement et ressources</t>
  </si>
  <si>
    <t xml:space="preserve">Les impacts environnementaux sont-ils évalués et gérés selon les normes (IFC, EBRD) ?</t>
  </si>
  <si>
    <t xml:space="preserve">Étude d'impact environnemental et social (EIES), plan de gestion, avis de l'administration.</t>
  </si>
  <si>
    <t xml:space="preserve">Très favorable — Étude d'impact approuvée, plan de gestion conforme aux normes IFC</t>
  </si>
  <si>
    <t xml:space="preserve">EIES approuvée, plan de gestion conforme aux normes de performance IFC.</t>
  </si>
  <si>
    <t xml:space="preserve">Favorable — Étude d'impact approuvée, plan de gestion à compléter</t>
  </si>
  <si>
    <t xml:space="preserve">EIES approuvée, plan de gestion à compléter sur les déchets.</t>
  </si>
  <si>
    <t xml:space="preserve">Vigilance — Impacts notables, mesures d'atténuation en cours de définition</t>
  </si>
  <si>
    <t xml:space="preserve">Rejets de saumure en mer : mesures d'atténuation encore à définir.</t>
  </si>
  <si>
    <t xml:space="preserve">Critique — Impact majeur non traité ou étude d'impact absente</t>
  </si>
  <si>
    <t xml:space="preserve">Pas d'EIES, ou impact majeur non traité (résidus miniers, cas MIN).</t>
  </si>
  <si>
    <t xml:space="preserve">EIES en cours, non remise.</t>
  </si>
  <si>
    <t xml:space="preserve">D9.2</t>
  </si>
  <si>
    <t xml:space="preserve">Social et acceptabilité</t>
  </si>
  <si>
    <t xml:space="preserve">Les populations et salariés concernés sont-ils consultés et protégés ?</t>
  </si>
  <si>
    <t xml:space="preserve">Plan de consultation, plan de réinstallation, mécanisme de plaintes.</t>
  </si>
  <si>
    <t xml:space="preserve">Très favorable — Consultation menée, aucun déplacement, emploi local documenté</t>
  </si>
  <si>
    <t xml:space="preserve">Consultation publique menée, aucun déplacement, 200 emplois locaux.</t>
  </si>
  <si>
    <t xml:space="preserve">Favorable — Consultation menée, impacts sociaux limités et traités</t>
  </si>
  <si>
    <t xml:space="preserve">Consultation menée, quelques terres agricoles indemnisées.</t>
  </si>
  <si>
    <t xml:space="preserve">Vigilance — Réinstallation ou contestation locale à gérer</t>
  </si>
  <si>
    <t xml:space="preserve">Réinstallation de 40 familles à organiser, ou opposition locale.</t>
  </si>
  <si>
    <t xml:space="preserve">Critique — Opposition forte ou réinstallation non conforme</t>
  </si>
  <si>
    <t xml:space="preserve">Opposition forte ou réinstallation non conforme aux normes IFC.</t>
  </si>
  <si>
    <t xml:space="preserve">Plan de consultation non communiqué (cas SAN).</t>
  </si>
  <si>
    <t xml:space="preserve">D9.3</t>
  </si>
  <si>
    <t xml:space="preserve">Gouvernance ESG et exécution</t>
  </si>
  <si>
    <t xml:space="preserve">La SPV a-t-elle les moyens de suivre ses engagements environnementaux et sociaux ?</t>
  </si>
  <si>
    <t xml:space="preserve">Système de gestion environnementale et sociale (SGES), certification ISO 14001, rapports.</t>
  </si>
  <si>
    <t xml:space="preserve">Très favorable — Système de gestion E&amp;S certifié, suivi par un consultant des prêteurs</t>
  </si>
  <si>
    <t xml:space="preserve">SGES certifié, suivi par le consultant des banques, rapport semestriel.</t>
  </si>
  <si>
    <t xml:space="preserve">Favorable — Système de gestion E&amp;S en place, reporting régulier</t>
  </si>
  <si>
    <t xml:space="preserve">SGES en place, rapports réguliers.</t>
  </si>
  <si>
    <t xml:space="preserve">Vigilance — Système de gestion E&amp;S embryonnaire</t>
  </si>
  <si>
    <t xml:space="preserve">Un responsable HSE à temps partiel, pas de procédures écrites.</t>
  </si>
  <si>
    <t xml:space="preserve">Critique — Aucun système de gestion E&amp;S</t>
  </si>
  <si>
    <t xml:space="preserve">Aucun dispositif.</t>
  </si>
  <si>
    <t xml:space="preserve">Organisation ESG non décrite.</t>
  </si>
  <si>
    <t xml:space="preserve">D9.4</t>
  </si>
  <si>
    <t xml:space="preserve">Climat résiduel</t>
  </si>
  <si>
    <t xml:space="preserve">Le site est-il exposé au climat (sécheresse, inondation, mer) et le risque est-il couvert ?</t>
  </si>
  <si>
    <t xml:space="preserve">Étude de vulnérabilité climatique, plan d'adaptation financé (voir plafond C11).</t>
  </si>
  <si>
    <t xml:space="preserve">Très favorable — Risques physiques et de transition faibles ou entièrement couverts</t>
  </si>
  <si>
    <t xml:space="preserve">Site peu exposé, ou digue de protection financée dans le CAPEX.</t>
  </si>
  <si>
    <t xml:space="preserve">Favorable — Risques identifiés et couverts pour l'essentiel</t>
  </si>
  <si>
    <t xml:space="preserve">Risques identifiés, couverts pour l'essentiel par l'assurance et la conception.</t>
  </si>
  <si>
    <t xml:space="preserve">Vigilance — Risque résiduel significatif, plan d'adaptation partiel</t>
  </si>
  <si>
    <t xml:space="preserve">Risque de sécheresse identifié, plan d'adaptation partiel.</t>
  </si>
  <si>
    <t xml:space="preserve">Critique — Risque élevé sans plan d'adaptation</t>
  </si>
  <si>
    <t xml:space="preserve">Site littoral exposé à l'érosion sans plan (cas TOU), ou sécheresse sans plan (C4A).</t>
  </si>
  <si>
    <t xml:space="preserve">Étude climatique non fournie.</t>
  </si>
  <si>
    <t xml:space="preserve">Noyau financier D7 — N1 à N3 calculés, N4 à N6 choisis</t>
  </si>
  <si>
    <t xml:space="preserve">D7 pèse 25 % (construction), 28 % (montée en charge) ou 30 % (exploitation) du score.</t>
  </si>
  <si>
    <t xml:space="preserve">Code</t>
  </si>
  <si>
    <t xml:space="preserve">Indicateur</t>
  </si>
  <si>
    <t xml:space="preserve">Poids dans D7</t>
  </si>
  <si>
    <t xml:space="preserve">Comment la note est obtenue</t>
  </si>
  <si>
    <t xml:space="preserve">Exemple</t>
  </si>
  <si>
    <t xml:space="preserve">N1</t>
  </si>
  <si>
    <t xml:space="preserve">DSCR minimum, scénario central</t>
  </si>
  <si>
    <t xml:space="preserve">Calculé : le plus faible DSCR de toutes les échéances est comparé aux seuils applicables (onglet Routage et seuils). ≥ seuil Favorable : 100 ; entre Vigilance et Favorable : 80 ; entre Critique et Vigilance : 50 ; sous le seuil Critique, ou un CFADS négatif : 20.</t>
  </si>
  <si>
    <t xml:space="preserve">Centrale solaire R1 en construction : seuils 1,05 / 1,15 / 1,25. DSCR minimum 1,296 ≥ 1,25 : N1 = 100 (cas C1).</t>
  </si>
  <si>
    <t xml:space="preserve">N2</t>
  </si>
  <si>
    <t xml:space="preserve">DSCR minimum, scénario défavorable</t>
  </si>
  <si>
    <t xml:space="preserve">Calculé de la même façon, sur l'échéancier après le choc défavorable (baisse du CFADS ou CFADS stressé saisi).</t>
  </si>
  <si>
    <t xml:space="preserve">Même centrale, production P90 et charges +10 % : DSCR 1,117, entre 1,05 et 1,15 : N2 = 50.</t>
  </si>
  <si>
    <t xml:space="preserve">N3</t>
  </si>
  <si>
    <t xml:space="preserve">LLCR, ou financement à terminaison en construction</t>
  </si>
  <si>
    <t xml:space="preserve">En construction (P1) : ressources engagées ÷ besoin total. ≥ 110 % : 100 ; ≥ 100 % : 80 ; ≥ 95 % avec plan de remédiation : 50 ; sinon 20 et blocage B3. Hors P1 : note saisie à partir du LLCR.</t>
  </si>
  <si>
    <t xml:space="preserve">Ressources 747 MMAD pour un besoin de 707 : 105,7 %, donc N3 = 80 (cas C1).</t>
  </si>
  <si>
    <t xml:space="preserve">N4 à N6 : situations à choisir dans la liste</t>
  </si>
  <si>
    <t xml:space="preserve">D7 — Finance et trésorerie (noyau)</t>
  </si>
  <si>
    <t xml:space="preserve">25 % / 28 % / 30 %</t>
  </si>
  <si>
    <t xml:space="preserve">N4</t>
  </si>
  <si>
    <t xml:space="preserve">Liquidité (DSRA, lignes, cascade)</t>
  </si>
  <si>
    <t xml:space="preserve">La liquidité de réserve : la SPV peut-elle payer ses échéances pendant un incident temporaire ?</t>
  </si>
  <si>
    <t xml:space="preserve">Contrat de crédit (DSRA, réserves), cascade des comptes (waterfall), état des comptes.</t>
  </si>
  <si>
    <t xml:space="preserve">Très favorable — DSRA ≥ 6 mois dotée, réserve de maintenance, cascade signée</t>
  </si>
  <si>
    <t xml:space="preserve">DSRA de 6 mois dotée dès le début, réserve de maintenance, cascade signée.</t>
  </si>
  <si>
    <t xml:space="preserve">Favorable — DSRA ≥ 6 mois, autres réserves partielles</t>
  </si>
  <si>
    <t xml:space="preserve">DSRA de 6 mois, réserve de maintenance pas encore dotée.</t>
  </si>
  <si>
    <t xml:space="preserve">Vigilance — DSRA de 3 à 6 mois ou dotation progressive</t>
  </si>
  <si>
    <t xml:space="preserve">DSRA de 4 mois, ou constituée progressivement sur les flux.</t>
  </si>
  <si>
    <t xml:space="preserve">Critique — DSRA &lt; 3 mois ou absente, pas de cascade</t>
  </si>
  <si>
    <t xml:space="preserve">DSRA de 2 mois ou absente (cas IMMO, aussi plafond C7).</t>
  </si>
  <si>
    <t xml:space="preserve">Contrat de crédit non finalisé.</t>
  </si>
  <si>
    <t xml:space="preserve">N5</t>
  </si>
  <si>
    <t xml:space="preserve">Levier et fonds propres à risque</t>
  </si>
  <si>
    <t xml:space="preserve">Le levier : quelle part du projet est financée par la dette, et les fonds propres sont-ils réellement à risque ?</t>
  </si>
  <si>
    <t xml:space="preserve">Plan de financement, calendrier d'apport des fonds propres.</t>
  </si>
  <si>
    <t xml:space="preserve">Très favorable — Quote-part de dette ≤ 65 %, fonds propres versés en premier</t>
  </si>
  <si>
    <t xml:space="preserve">Dette 60 % du coût, fonds propres versés avant le premier tirage.</t>
  </si>
  <si>
    <t xml:space="preserve">Favorable — Quote-part de dette de 65 à 75 %</t>
  </si>
  <si>
    <t xml:space="preserve">Dette 70 % du coût.</t>
  </si>
  <si>
    <t xml:space="preserve">Vigilance — Quote-part de dette de 75 à 85 % ou fonds propres versés au prorata</t>
  </si>
  <si>
    <t xml:space="preserve">Dette 80 %, ou fonds propres versés en même temps que la dette (au prorata).</t>
  </si>
  <si>
    <t xml:space="preserve">Critique — Quote-part de dette &gt; 85 % ou fonds propres non engagés</t>
  </si>
  <si>
    <t xml:space="preserve">Dette 88 % du coût (cas IMMO, aussi plafond C9).</t>
  </si>
  <si>
    <t xml:space="preserve">Plan de financement non arrêté.</t>
  </si>
  <si>
    <t xml:space="preserve">N6</t>
  </si>
  <si>
    <t xml:space="preserve">Exposition résiduelle taux / change / refinancement</t>
  </si>
  <si>
    <t xml:space="preserve">Ce qui reste exposé aux taux, au change et au refinancement après couvertures.</t>
  </si>
  <si>
    <t xml:space="preserve">Contrats de couverture (swap), devise des recettes et de la dette, profil d'amortissement.</t>
  </si>
  <si>
    <t xml:space="preserve">Très favorable — Tout en MAD, taux fixe ou couvert, amortissement complet</t>
  </si>
  <si>
    <t xml:space="preserve">Tout en dirhams, taux fixé par swap, dette remboursée entièrement à l'échéance.</t>
  </si>
  <si>
    <t xml:space="preserve">Favorable — Exposition résiduelle faible (&lt; 10 % du service), couverte pour l'essentiel</t>
  </si>
  <si>
    <t xml:space="preserve">Part en euros couverte à 90 % : exposition nette 5 % du service annuel.</t>
  </si>
  <si>
    <t xml:space="preserve">Vigilance — Exposition de 10 à 25 % du service ou ballon refinancé avec stratégie</t>
  </si>
  <si>
    <t xml:space="preserve">Exposition nette 16 % du service, ou ballon refinancé avec une stratégie approuvée.</t>
  </si>
  <si>
    <t xml:space="preserve">Critique — Exposition &gt; 25 % du service ou refinancement sans stratégie</t>
  </si>
  <si>
    <t xml:space="preserve">Exposition 30 % du service (cas IND, plafond C6), ou ballon sans stratégie.</t>
  </si>
  <si>
    <t xml:space="preserve">Structure de couverture non arrêtée.</t>
  </si>
  <si>
    <t xml:space="preserve">Variantes sectorielles — D2.1, D4.1, D4.3, D5.2</t>
  </si>
  <si>
    <t xml:space="preserve">L'outil propose la description du secteur choisi au bloc 1. Dernière colonne : le niveau retenu dans les cas d'étude de l'outil (fictifs).</t>
  </si>
  <si>
    <t xml:space="preserve">Secteur</t>
  </si>
  <si>
    <t xml:space="preserve">Très favorable (100)</t>
  </si>
  <si>
    <t xml:space="preserve">Favorable (80)</t>
  </si>
  <si>
    <t xml:space="preserve">Vigilance (50)</t>
  </si>
  <si>
    <t xml:space="preserve">Critique (20)</t>
  </si>
  <si>
    <t xml:space="preserve">Dans les cas d'étude de l'outil</t>
  </si>
  <si>
    <t xml:space="preserve">D2.1 Technologie et performance</t>
  </si>
  <si>
    <t xml:space="preserve">ENR — Énergies renouvelables</t>
  </si>
  <si>
    <t xml:space="preserve">Équipements de premier rang, productible P90 établi par un expert</t>
  </si>
  <si>
    <t xml:space="preserve">Équipements reconnus, productible P90 établi sur des données courtes</t>
  </si>
  <si>
    <t xml:space="preserve">Équipement récent ou productible établi par le développeur seul</t>
  </si>
  <si>
    <t xml:space="preserve">Productible non établi de façon indépendante</t>
  </si>
  <si>
    <t xml:space="preserve">C1 (Centrale solaire photovoltaïque 80 MWc) : Très favorable
C5 (Centrale PV d’autoproduction 12 MWc) : Très favorable
ENR (Parc éolien terrestre 140 MW) : Très favorable</t>
  </si>
  <si>
    <t xml:space="preserve">EAU — Eau et dessalement</t>
  </si>
  <si>
    <t xml:space="preserve">Procédé avec ≥ 3 références comparables, consommation garantie</t>
  </si>
  <si>
    <t xml:space="preserve">Procédé éprouvé, références de taille inférieure</t>
  </si>
  <si>
    <t xml:space="preserve">Procédé extrapolé ou consommation énergétique non garantie</t>
  </si>
  <si>
    <t xml:space="preserve">Procédé sans référence de taille comparable</t>
  </si>
  <si>
    <t xml:space="preserve">C2 (Usine de dessalement 100 000 m³/jour) : Très favorable
EAU (Usine de dessalement couplée à l'irrigat) : Favorable</t>
  </si>
  <si>
    <t xml:space="preserve">TEL — Télécom et data centers</t>
  </si>
  <si>
    <t xml:space="preserve">Conception Tier III certifiée, équipements standard du marché</t>
  </si>
  <si>
    <t xml:space="preserve">Conception Tier III, certification en cours</t>
  </si>
  <si>
    <t xml:space="preserve">Redondances partielles ou équipements spécifiques</t>
  </si>
  <si>
    <t xml:space="preserve">Conception non redondante ou technologie dépassée</t>
  </si>
  <si>
    <t xml:space="preserve">TEL (Centre de données Tier III, 24 MW inform) : Très favorable</t>
  </si>
  <si>
    <t xml:space="preserve">TRA — Transport</t>
  </si>
  <si>
    <t xml:space="preserve">Ouvrages courants, techniques de construction maîtrisées</t>
  </si>
  <si>
    <t xml:space="preserve">Ouvrages d'art standards, quelques sections complexes</t>
  </si>
  <si>
    <t xml:space="preserve">Ouvrages d'art majeurs ou terrain difficile</t>
  </si>
  <si>
    <t xml:space="preserve">Technique de construction non éprouvée localement</t>
  </si>
  <si>
    <t xml:space="preserve">TRA (Autoroute à péage de 95 km) : Très favorable</t>
  </si>
  <si>
    <t xml:space="preserve">POR — Ports et logistique</t>
  </si>
  <si>
    <t xml:space="preserve">Équipements de manutention standard, références multiples</t>
  </si>
  <si>
    <t xml:space="preserve">Équipements éprouvés, automatisation partielle</t>
  </si>
  <si>
    <t xml:space="preserve">Terminal fortement automatisé, références limitées</t>
  </si>
  <si>
    <t xml:space="preserve">Système de manutention prototype</t>
  </si>
  <si>
    <t xml:space="preserve">POR (Terminal à conteneurs de 1,2 million d'E) : Favorable</t>
  </si>
  <si>
    <t xml:space="preserve">SAN — Santé</t>
  </si>
  <si>
    <t xml:space="preserve">Bâtiment et plateau technique standard, normes hospitalières</t>
  </si>
  <si>
    <t xml:space="preserve">Plateau technique éprouvé, quelques équipements de pointe</t>
  </si>
  <si>
    <t xml:space="preserve">Équipements de pointe dépendant d'un fournisseur unique</t>
  </si>
  <si>
    <t xml:space="preserve">Conception non conforme aux normes hospitalières</t>
  </si>
  <si>
    <t xml:space="preserve">SAN (Centre hospitalier de 600 lits en parten) : Favorable</t>
  </si>
  <si>
    <t xml:space="preserve">ETH — Thermique et gaz</t>
  </si>
  <si>
    <t xml:space="preserve">Turbines de série, rendement garanti, références nombreuses</t>
  </si>
  <si>
    <t xml:space="preserve">Équipements éprouvés, rendement garanti partiellement</t>
  </si>
  <si>
    <t xml:space="preserve">Modèle récent ou conversion de combustible</t>
  </si>
  <si>
    <t xml:space="preserve">Technologie sans historique d'exploitation</t>
  </si>
  <si>
    <t xml:space="preserve">ETH (Centrale à cycle combiné au gaz de 450 M) : Favorable</t>
  </si>
  <si>
    <t xml:space="preserve">IMMO-REND — Immobilier de rendement</t>
  </si>
  <si>
    <t xml:space="preserve">Construction standard, certification énergétique obtenue</t>
  </si>
  <si>
    <t xml:space="preserve">Construction standard, certification en cours</t>
  </si>
  <si>
    <t xml:space="preserve">Bâtiment spécifique difficile à reconvertir</t>
  </si>
  <si>
    <t xml:space="preserve">Bâtiment obsolète ou non conforme</t>
  </si>
  <si>
    <t xml:space="preserve">IMMO (Ensemble de bureaux et commerces loués, ) : Très favorable</t>
  </si>
  <si>
    <t xml:space="preserve">IND — Industrie</t>
  </si>
  <si>
    <t xml:space="preserve">Procédé industriel éprouvé, garanties de performance du fournisseur</t>
  </si>
  <si>
    <t xml:space="preserve">Procédé éprouvé, garanties partielles</t>
  </si>
  <si>
    <t xml:space="preserve">Procédé adapté ou montée en cadence incertaine</t>
  </si>
  <si>
    <t xml:space="preserve">Procédé pilote ou non éprouvé à l'échelle</t>
  </si>
  <si>
    <t xml:space="preserve">IND (Usine de verre plat de 600 tonnes/jour) : Favorable</t>
  </si>
  <si>
    <t xml:space="preserve">AGR — Agro-industrie</t>
  </si>
  <si>
    <t xml:space="preserve">Itinéraire technique maîtrisé, rendements de référence documentés</t>
  </si>
  <si>
    <t xml:space="preserve">Itinéraire maîtrisé, rendements sur historique court</t>
  </si>
  <si>
    <t xml:space="preserve">Nouvelle culture ou nouvelle transformation sur ce site</t>
  </si>
  <si>
    <t xml:space="preserve">Rendements non documentés</t>
  </si>
  <si>
    <t xml:space="preserve">C4A (Unité agro-industrielle de trituration e) : Favorable
C4B (Unité agro-industrielle — structure rest) : Favorable
AGR (Unité de trituration d'olives et de cond) : Favorable</t>
  </si>
  <si>
    <t xml:space="preserve">TOU — Tourisme et hôtellerie</t>
  </si>
  <si>
    <t xml:space="preserve">Concept éprouvé, marque internationale, conception validée</t>
  </si>
  <si>
    <t xml:space="preserve">Concept éprouvé, adaptation au site en cours</t>
  </si>
  <si>
    <t xml:space="preserve">Concept nouveau sur ce marché</t>
  </si>
  <si>
    <t xml:space="preserve">Concept non validé</t>
  </si>
  <si>
    <t xml:space="preserve">C3 (Hôtel 4 étoiles, 220 clés) : Très favorable
TOU (Complexe hôtelier balnéaire de 420 chamb) : Favorable</t>
  </si>
  <si>
    <t xml:space="preserve">MIN — Mines et extraction</t>
  </si>
  <si>
    <t xml:space="preserve">Réserves certifiées selon une norme reconnue, procédé éprouvé</t>
  </si>
  <si>
    <t xml:space="preserve">Réserves certifiées, procédé à adapter au minerai</t>
  </si>
  <si>
    <t xml:space="preserve">Ressources indiquées seulement ou essais pilotes partiels</t>
  </si>
  <si>
    <t xml:space="preserve">Réserves non certifiées</t>
  </si>
  <si>
    <t xml:space="preserve">MIN (Mine de cuivre à ciel ouvert et usine de) : Favorable</t>
  </si>
  <si>
    <t xml:space="preserve">D4.1 Structure contractuelle des recettes</t>
  </si>
  <si>
    <t xml:space="preserve">Contrat d'achat ferme couvrant toute la dette</t>
  </si>
  <si>
    <t xml:space="preserve">Contrat d'achat couvrant l'essentiel de la durée</t>
  </si>
  <si>
    <t xml:space="preserve">Vente partielle au marché ou contrat plus court que la dette</t>
  </si>
  <si>
    <t xml:space="preserve">Production vendue sans contrat d'achat</t>
  </si>
  <si>
    <t xml:space="preserve">C1 (Centrale solaire photovoltaïque 80 MWc) : Très favorable
C5 (Centrale PV d’autoproduction 12 MWc) : Favorable
ENR (Parc éolien terrestre 140 MW) : Très favorable</t>
  </si>
  <si>
    <t xml:space="preserve">Redevance de capacité couvrant le service de la dette</t>
  </si>
  <si>
    <t xml:space="preserve">Redevance de capacité majoritaire, part variable limitée</t>
  </si>
  <si>
    <t xml:space="preserve">Part variable importante ou indexation incomplète</t>
  </si>
  <si>
    <t xml:space="preserve">Recettes fondées sur le volume consommé</t>
  </si>
  <si>
    <t xml:space="preserve">C2 (Usine de dessalement 100 000 m³/jour) : Favorable
EAU (Usine de dessalement couplée à l'irrigat) : Très favorable</t>
  </si>
  <si>
    <t xml:space="preserve">Contrats long terme couvrant ≥ 85 % de la capacité</t>
  </si>
  <si>
    <t xml:space="preserve">Contrats couvrant 70 à 85 % de la capacité</t>
  </si>
  <si>
    <t xml:space="preserve">Contrats couvrant 50 à 70 % de la capacité</t>
  </si>
  <si>
    <t xml:space="preserve">Contrats couvrant moins de 50 % de la capacité</t>
  </si>
  <si>
    <t xml:space="preserve">TEL (Centre de données Tier III, 24 MW inform) : Vigilance</t>
  </si>
  <si>
    <t xml:space="preserve">Paiement à la disponibilité par une autorité publique</t>
  </si>
  <si>
    <t xml:space="preserve">Péage avec garantie de recettes minimales</t>
  </si>
  <si>
    <t xml:space="preserve">Péage sans garantie, trafic historique établi</t>
  </si>
  <si>
    <t xml:space="preserve">Péage sans garantie et sans historique de trafic</t>
  </si>
  <si>
    <t xml:space="preserve">TRA (Autoroute à péage de 95 km) : Vigilance</t>
  </si>
  <si>
    <t xml:space="preserve">Volumes minimaux garantis par l'armateur ou le chargeur</t>
  </si>
  <si>
    <t xml:space="preserve">Client d'ancrage contractualisé, volumes partiellement garantis</t>
  </si>
  <si>
    <t xml:space="preserve">Volumes non garantis, clientèle diversifiée</t>
  </si>
  <si>
    <t xml:space="preserve">Volumes non garantis, client unique</t>
  </si>
  <si>
    <t xml:space="preserve">Paiement à la disponibilité par l'autorité de santé</t>
  </si>
  <si>
    <t xml:space="preserve">Paiement mixte, part fixe majoritaire</t>
  </si>
  <si>
    <t xml:space="preserve">Paiement à l'activité avec conventions d'assurance maladie</t>
  </si>
  <si>
    <t xml:space="preserve">Recettes à l'activité sans convention</t>
  </si>
  <si>
    <t xml:space="preserve">SAN (Centre hospitalier de 600 lits en parten) : Très favorable</t>
  </si>
  <si>
    <t xml:space="preserve">Contrat d'achat de capacité et d'énergie couvrant la dette</t>
  </si>
  <si>
    <t xml:space="preserve">Contrat de capacité, énergie vendue au marché</t>
  </si>
  <si>
    <t xml:space="preserve">Contrat plus court que la dette</t>
  </si>
  <si>
    <t xml:space="preserve">Vente au marché sans contrat</t>
  </si>
  <si>
    <t xml:space="preserve">ETH (Centrale à cycle combiné au gaz de 450 M) : Très favorable</t>
  </si>
  <si>
    <t xml:space="preserve">Baux fermes longs, durée résiduelle moyenne &gt; dette</t>
  </si>
  <si>
    <t xml:space="preserve">Baux fermes, durée résiduelle moyenne ≥ 5 ans</t>
  </si>
  <si>
    <t xml:space="preserve">Baux courts ou locataire principal &gt; 40 % des loyers</t>
  </si>
  <si>
    <t xml:space="preserve">Vacance élevée ou baux résiliables à court terme</t>
  </si>
  <si>
    <t xml:space="preserve">IMMO (Ensemble de bureaux et commerces loués, ) : Favorable</t>
  </si>
  <si>
    <t xml:space="preserve">Contrat d'enlèvement ferme couvrant la dette</t>
  </si>
  <si>
    <t xml:space="preserve">Contrat d'enlèvement couvrant l'essentiel des volumes</t>
  </si>
  <si>
    <t xml:space="preserve">Ventes au marché avec contrats annuels</t>
  </si>
  <si>
    <t xml:space="preserve">Ventes au marché sans contrat</t>
  </si>
  <si>
    <t xml:space="preserve">Contrats de vente pluriannuels avec prix plancher</t>
  </si>
  <si>
    <t xml:space="preserve">Contrats de vente annuels avec clients récurrents</t>
  </si>
  <si>
    <t xml:space="preserve">Ventes au marché, débouchés diversifiés</t>
  </si>
  <si>
    <t xml:space="preserve">Débouché unique non contractualisé</t>
  </si>
  <si>
    <t xml:space="preserve">C4A (Unité agro-industrielle de trituration e) : Vigilance
C4B (Unité agro-industrielle — structure rest) : Vigilance
AGR (Unité de trituration d'olives et de cond) : Très favorable</t>
  </si>
  <si>
    <t xml:space="preserve">Bail ou contrat de gestion avec loyer minimum garanti</t>
  </si>
  <si>
    <t xml:space="preserve">Contrat de gestion avec engagement de résultat partiel</t>
  </si>
  <si>
    <t xml:space="preserve">Contrat de gestion sans garantie, marque reconnue</t>
  </si>
  <si>
    <t xml:space="preserve">Exploitation indépendante sans marque ni garantie</t>
  </si>
  <si>
    <t xml:space="preserve">C3 (Hôtel 4 étoiles, 220 clés) : Vigilance
TOU (Complexe hôtelier balnéaire de 420 chamb) : Critique</t>
  </si>
  <si>
    <t xml:space="preserve">Contrats d'enlèvement couvrant la dette, prix indexé</t>
  </si>
  <si>
    <t xml:space="preserve">Contrats d'enlèvement sur la majorité des volumes</t>
  </si>
  <si>
    <t xml:space="preserve">Ventes au prix spot avec contrats courts</t>
  </si>
  <si>
    <t xml:space="preserve">Ventes au prix spot sans contrat</t>
  </si>
  <si>
    <t xml:space="preserve">MIN (Mine de cuivre à ciel ouvert et usine de) : Vigilance</t>
  </si>
  <si>
    <t xml:space="preserve">D4.3 Marché et concurrence</t>
  </si>
  <si>
    <t xml:space="preserve">Production prioritaire, aucun risque d'écrêtement</t>
  </si>
  <si>
    <t xml:space="preserve">Écrêtement faible et compensé</t>
  </si>
  <si>
    <t xml:space="preserve">Écrêtement possible non compensé</t>
  </si>
  <si>
    <t xml:space="preserve">Saturation du réseau ou baisse de prix probable</t>
  </si>
  <si>
    <t xml:space="preserve">Déficit hydrique structurel, aucune alternative</t>
  </si>
  <si>
    <t xml:space="preserve">Demande solide, alternatives coûteuses</t>
  </si>
  <si>
    <t xml:space="preserve">Concurrence d'autres ressources en eau</t>
  </si>
  <si>
    <t xml:space="preserve">Demande incertaine ou surcapacité</t>
  </si>
  <si>
    <t xml:space="preserve">Marché en pénurie de capacité, clients de premier rang</t>
  </si>
  <si>
    <t xml:space="preserve">Demande soutenue, concurrence limitée</t>
  </si>
  <si>
    <t xml:space="preserve">Nouvelles capacités concurrentes annoncées</t>
  </si>
  <si>
    <t xml:space="preserve">Surcapacité ou baisse des prix de colocation</t>
  </si>
  <si>
    <t xml:space="preserve">Itinéraire sans alternative, trafic en croissance</t>
  </si>
  <si>
    <t xml:space="preserve">Alternative gratuite peu attractive</t>
  </si>
  <si>
    <t xml:space="preserve">Itinéraire concurrent ou report modal possible</t>
  </si>
  <si>
    <t xml:space="preserve">Trafic en baisse ou alternative concurrente forte</t>
  </si>
  <si>
    <t xml:space="preserve">Hinterland captif, aucun port concurrent proche</t>
  </si>
  <si>
    <t xml:space="preserve">Hinterland solide, concurrence régionale limitée</t>
  </si>
  <si>
    <t xml:space="preserve">Concurrence portuaire active sur le transbordement</t>
  </si>
  <si>
    <t xml:space="preserve">Surcapacité portuaire régionale</t>
  </si>
  <si>
    <t xml:space="preserve">Besoin de lits avéré, aucune offre concurrente</t>
  </si>
  <si>
    <t xml:space="preserve">Besoin avéré, offre concurrente limitée</t>
  </si>
  <si>
    <t xml:space="preserve">Concurrence de cliniques privées ou de l'hôpital public</t>
  </si>
  <si>
    <t xml:space="preserve">Offre excédentaire dans la zone</t>
  </si>
  <si>
    <t xml:space="preserve">Appel prioritaire, besoin de pointe structurel</t>
  </si>
  <si>
    <t xml:space="preserve">Besoin de capacité établi</t>
  </si>
  <si>
    <t xml:space="preserve">Appel incertain face aux renouvelables</t>
  </si>
  <si>
    <t xml:space="preserve">Surcapacité de production</t>
  </si>
  <si>
    <t xml:space="preserve">Zone prime, vacance de marché &lt; 5 %</t>
  </si>
  <si>
    <t xml:space="preserve">Bonne localisation, vacance de marché &lt; 10 %</t>
  </si>
  <si>
    <t xml:space="preserve">Vacance de marché de 10 à 20 % ou offre nouvelle importante</t>
  </si>
  <si>
    <t xml:space="preserve">Vacance de marché &gt; 20 % ou loyers en baisse</t>
  </si>
  <si>
    <t xml:space="preserve">Produit indispensable, coûts parmi les plus bas du marché</t>
  </si>
  <si>
    <t xml:space="preserve">Position concurrentielle solide</t>
  </si>
  <si>
    <t xml:space="preserve">Concurrence par les importations ou prix volatils</t>
  </si>
  <si>
    <t xml:space="preserve">Surcapacité ou position de coût défavorable</t>
  </si>
  <si>
    <t xml:space="preserve">IND (Usine de verre plat de 600 tonnes/jour) : Vigilance</t>
  </si>
  <si>
    <t xml:space="preserve">Demande soutenue, prix stables</t>
  </si>
  <si>
    <t xml:space="preserve">Demande solide, volatilité de prix modérée</t>
  </si>
  <si>
    <t xml:space="preserve">Prix volatils ou dépendance à l'export</t>
  </si>
  <si>
    <t xml:space="preserve">Prix en baisse ou débouchés incertains</t>
  </si>
  <si>
    <t xml:space="preserve">C4A (Unité agro-industrielle de trituration e) : Vigilance
C4B (Unité agro-industrielle — structure rest) : Vigilance
AGR (Unité de trituration d'olives et de cond) : Favorable</t>
  </si>
  <si>
    <t xml:space="preserve">Destination établie, RevPAR stable sur 5 ans</t>
  </si>
  <si>
    <t xml:space="preserve">Destination établie, saisonnalité marquée</t>
  </si>
  <si>
    <t xml:space="preserve">Offre nouvelle importante ou destination émergente</t>
  </si>
  <si>
    <t xml:space="preserve">Destination en déclin ou suroffre</t>
  </si>
  <si>
    <t xml:space="preserve">C3 (Hôtel 4 étoiles, 220 clés) : Vigilance
TOU (Complexe hôtelier balnéaire de 420 chamb) : Vigilance</t>
  </si>
  <si>
    <t xml:space="preserve">Coût de production dans le premier quartile mondial</t>
  </si>
  <si>
    <t xml:space="preserve">Coût de production dans la première moitié</t>
  </si>
  <si>
    <t xml:space="preserve">Coût de production dans le troisième quartile</t>
  </si>
  <si>
    <t xml:space="preserve">Coût de production dans le dernier quartile</t>
  </si>
  <si>
    <t xml:space="preserve">MIN (Mine de cuivre à ciel ouvert et usine de) : Critique</t>
  </si>
  <si>
    <t xml:space="preserve">D5.2 Performance technique et disponibilité</t>
  </si>
  <si>
    <t xml:space="preserve">Disponibilité ≥ 98 %, productible réel ≥ P50</t>
  </si>
  <si>
    <t xml:space="preserve">Disponibilité ≥ 97 %, productible entre P90 et P50</t>
  </si>
  <si>
    <t xml:space="preserve">Disponibilité &lt; 97 % ou productible proche du P90</t>
  </si>
  <si>
    <t xml:space="preserve">Productible durablement sous le P90</t>
  </si>
  <si>
    <t xml:space="preserve">C1 (Centrale solaire photovoltaïque 80 MWc) : Favorable
C5 (Centrale PV d’autoproduction 12 MWc) : Favorable
ENR (Parc éolien terrestre 140 MW) : Très favorable</t>
  </si>
  <si>
    <t xml:space="preserve">Disponibilité ≥ 98 %, consommation sous la garantie</t>
  </si>
  <si>
    <t xml:space="preserve">Disponibilité conforme au contrat</t>
  </si>
  <si>
    <t xml:space="preserve">Disponibilité sous le contrat, déductions appliquées</t>
  </si>
  <si>
    <t xml:space="preserve">Disponibilité durablement inférieure, déductions lourdes</t>
  </si>
  <si>
    <t xml:space="preserve">C2 (Usine de dessalement 100 000 m³/jour) : Vigilance
EAU (Usine de dessalement couplée à l'irrigat) : Vigilance</t>
  </si>
  <si>
    <t xml:space="preserve">Disponibilité 99,98 %, PUE sous la cible</t>
  </si>
  <si>
    <t xml:space="preserve">Disponibilité conforme aux engagements clients</t>
  </si>
  <si>
    <t xml:space="preserve">Incidents ponctuels, pénalités clients appliquées</t>
  </si>
  <si>
    <t xml:space="preserve">Incidents répétés, clients en résiliation</t>
  </si>
  <si>
    <t xml:space="preserve">TEL (Centre de données Tier III, 24 MW inform) : Favorable</t>
  </si>
  <si>
    <t xml:space="preserve">Disponibilité de la voie ≥ 99 %, aucune pénalité</t>
  </si>
  <si>
    <t xml:space="preserve">Disponibilité conforme, pénalités marginales</t>
  </si>
  <si>
    <t xml:space="preserve">Pénalités de disponibilité récurrentes</t>
  </si>
  <si>
    <t xml:space="preserve">Indisponibilités graves ou mise en demeure</t>
  </si>
  <si>
    <t xml:space="preserve">TRA (Autoroute à péage de 95 km) : Favorable</t>
  </si>
  <si>
    <t xml:space="preserve">Productivité des quais au-dessus des engagements</t>
  </si>
  <si>
    <t xml:space="preserve">Productivité conforme aux engagements</t>
  </si>
  <si>
    <t xml:space="preserve">Productivité inférieure, congestion ponctuelle</t>
  </si>
  <si>
    <t xml:space="preserve">Productivité durablement insuffisante</t>
  </si>
  <si>
    <t xml:space="preserve">Indicateurs de performance au-dessus du contrat</t>
  </si>
  <si>
    <t xml:space="preserve">Indicateurs conformes, pénalités marginales</t>
  </si>
  <si>
    <t xml:space="preserve">Pénalités de performance récurrentes</t>
  </si>
  <si>
    <t xml:space="preserve">Performance insuffisante, risque de résiliation</t>
  </si>
  <si>
    <t xml:space="preserve">Disponibilité ≥ 95 %, rendement garanti atteint</t>
  </si>
  <si>
    <t xml:space="preserve">Disponibilité ≥ 92 %, rendement proche de la garantie</t>
  </si>
  <si>
    <t xml:space="preserve">Disponibilité &lt; 92 % ou rendement dégradé</t>
  </si>
  <si>
    <t xml:space="preserve">Pannes répétées, pénalités de capacité lourdes</t>
  </si>
  <si>
    <t xml:space="preserve">Taux d'occupation ≥ 95 %, entretien à jour</t>
  </si>
  <si>
    <t xml:space="preserve">Taux d'occupation ≥ 90 %</t>
  </si>
  <si>
    <t xml:space="preserve">Taux d'occupation de 80 à 90 %</t>
  </si>
  <si>
    <t xml:space="preserve">Taux d'occupation &lt; 80 %</t>
  </si>
  <si>
    <t xml:space="preserve">Taux d'utilisation ≥ 90 %, rendement matière garanti atteint</t>
  </si>
  <si>
    <t xml:space="preserve">Taux d'utilisation de 80 à 90 %</t>
  </si>
  <si>
    <t xml:space="preserve">Taux d'utilisation de 65 à 80 % ou montée en cadence lente</t>
  </si>
  <si>
    <t xml:space="preserve">Taux d'utilisation &lt; 65 %</t>
  </si>
  <si>
    <t xml:space="preserve">Rendements ≥ référence sur 3 campagnes</t>
  </si>
  <si>
    <t xml:space="preserve">Rendements proches de la référence</t>
  </si>
  <si>
    <t xml:space="preserve">Rendements irréguliers selon les campagnes</t>
  </si>
  <si>
    <t xml:space="preserve">Rendements durablement sous la référence</t>
  </si>
  <si>
    <t xml:space="preserve">Occupation et prix au-dessus du plan d'affaires</t>
  </si>
  <si>
    <t xml:space="preserve">Occupation et prix conformes au plan</t>
  </si>
  <si>
    <t xml:space="preserve">Occupation ou prix sous le plan de 10 à 20 %</t>
  </si>
  <si>
    <t xml:space="preserve">Occupation ou prix sous le plan de plus de 20 %</t>
  </si>
  <si>
    <t xml:space="preserve">C3 (Hôtel 4 étoiles, 220 clés) : Favorable
TOU (Complexe hôtelier balnéaire de 420 chamb) : Vigilance</t>
  </si>
  <si>
    <t xml:space="preserve">Teneurs et récupération conformes au plan minier</t>
  </si>
  <si>
    <t xml:space="preserve">Écarts mineurs de teneur ou de récupération</t>
  </si>
  <si>
    <t xml:space="preserve">Teneur ou récupération inférieure au plan</t>
  </si>
  <si>
    <t xml:space="preserve">Écarts majeurs remettant en cause le plan minier</t>
  </si>
  <si>
    <t xml:space="preserve">Routage et seuils DSCR</t>
  </si>
  <si>
    <t xml:space="preserve">Seuil applicable = base du régime + écart sectoriel Δ + majoration de phase. Calculateur : changez les cellules bleues.</t>
  </si>
  <si>
    <t xml:space="preserve">Régime</t>
  </si>
  <si>
    <t xml:space="preserve">Libellé</t>
  </si>
  <si>
    <t xml:space="preserve">Critique &lt;</t>
  </si>
  <si>
    <t xml:space="preserve">Vigilance &lt;</t>
  </si>
  <si>
    <t xml:space="preserve">Favorable &lt;</t>
  </si>
  <si>
    <t xml:space="preserve">Calculateur</t>
  </si>
  <si>
    <t xml:space="preserve">R1</t>
  </si>
  <si>
    <t xml:space="preserve">Contrat ferme à quantité garantie (take-or-pay)</t>
  </si>
  <si>
    <t xml:space="preserve">Centrale vendant toute sa production à un acheteur public (take-or-pay).</t>
  </si>
  <si>
    <t xml:space="preserve">R4</t>
  </si>
  <si>
    <t xml:space="preserve">R2</t>
  </si>
  <si>
    <t xml:space="preserve">Paiement à la disponibilité</t>
  </si>
  <si>
    <t xml:space="preserve">Hôpital ou dessalement payé à la disponibilité.</t>
  </si>
  <si>
    <t xml:space="preserve">TOU</t>
  </si>
  <si>
    <t xml:space="preserve">R3</t>
  </si>
  <si>
    <t xml:space="preserve">Contrat à risque de volume</t>
  </si>
  <si>
    <t xml:space="preserve">Terminal portuaire, centre de données : volume en partie garanti.</t>
  </si>
  <si>
    <t xml:space="preserve">Phase</t>
  </si>
  <si>
    <t xml:space="preserve">P2</t>
  </si>
  <si>
    <t xml:space="preserve">Exposition au marché</t>
  </si>
  <si>
    <t xml:space="preserve">Autoroute à péage, hôtel, mine : recettes au prix du marché.</t>
  </si>
  <si>
    <t xml:space="preserve">Seuil Critique &lt;</t>
  </si>
  <si>
    <t xml:space="preserve">Seuil Vigilance &lt;</t>
  </si>
  <si>
    <t xml:space="preserve">Δ</t>
  </si>
  <si>
    <t xml:space="preserve">Seuil Favorable &lt;</t>
  </si>
  <si>
    <t xml:space="preserve">ENR</t>
  </si>
  <si>
    <t xml:space="preserve">Énergies renouvelables</t>
  </si>
  <si>
    <t xml:space="preserve">EAU</t>
  </si>
  <si>
    <t xml:space="preserve">Eau et dessalement</t>
  </si>
  <si>
    <t xml:space="preserve">DSCR minimum du dossier</t>
  </si>
  <si>
    <t xml:space="preserve">TEL</t>
  </si>
  <si>
    <t xml:space="preserve">Télécom et data centers</t>
  </si>
  <si>
    <t xml:space="preserve">Note N1</t>
  </si>
  <si>
    <t xml:space="preserve">TRA</t>
  </si>
  <si>
    <t xml:space="preserve">Transport</t>
  </si>
  <si>
    <t xml:space="preserve">Plafond C2 (DSCR sous le seuil critique)</t>
  </si>
  <si>
    <t xml:space="preserve">POR</t>
  </si>
  <si>
    <t xml:space="preserve">Ports et logistique</t>
  </si>
  <si>
    <t xml:space="preserve">Exemple pré-rempli : hôtel du cas C3 (R4, tourisme, montée en charge) : seuil critique 1,35 + 0,20 + 0,05 = 1,60 ; son DSCR 1,059 donne N1 = 20 et active C2.</t>
  </si>
  <si>
    <t xml:space="preserve">SAN</t>
  </si>
  <si>
    <t xml:space="preserve">Santé</t>
  </si>
  <si>
    <t xml:space="preserve">ETH</t>
  </si>
  <si>
    <t xml:space="preserve">Thermique et gaz</t>
  </si>
  <si>
    <t xml:space="preserve">IMMO-REND</t>
  </si>
  <si>
    <t xml:space="preserve">Immobilier de rendement</t>
  </si>
  <si>
    <t xml:space="preserve">IND</t>
  </si>
  <si>
    <t xml:space="preserve">Industrie</t>
  </si>
  <si>
    <t xml:space="preserve">AGR</t>
  </si>
  <si>
    <t xml:space="preserve">Agro-industrie</t>
  </si>
  <si>
    <t xml:space="preserve">Tourisme et hôtellerie</t>
  </si>
  <si>
    <t xml:space="preserve">MIN</t>
  </si>
  <si>
    <t xml:space="preserve">Mines et extraction</t>
  </si>
  <si>
    <t xml:space="preserve">Majoration</t>
  </si>
  <si>
    <t xml:space="preserve">P1</t>
  </si>
  <si>
    <t xml:space="preserve">Construction</t>
  </si>
  <si>
    <t xml:space="preserve">Montée en charge</t>
  </si>
  <si>
    <t xml:space="preserve">P3</t>
  </si>
  <si>
    <t xml:space="preserve">Exploitation</t>
  </si>
  <si>
    <t xml:space="preserve">P1 construction</t>
  </si>
  <si>
    <t xml:space="preserve">P2 montée en charge</t>
  </si>
  <si>
    <t xml:space="preserve">P3 exploitation</t>
  </si>
  <si>
    <t xml:space="preserve">D1</t>
  </si>
  <si>
    <t xml:space="preserve">Sponsors et actionnariat</t>
  </si>
  <si>
    <t xml:space="preserve">D2</t>
  </si>
  <si>
    <t xml:space="preserve">Projet, site, technologie</t>
  </si>
  <si>
    <t xml:space="preserve">D3</t>
  </si>
  <si>
    <t xml:space="preserve">Construction et achèvement</t>
  </si>
  <si>
    <t xml:space="preserve">D4</t>
  </si>
  <si>
    <t xml:space="preserve">Mécanisme des recettes</t>
  </si>
  <si>
    <t xml:space="preserve">D5</t>
  </si>
  <si>
    <t xml:space="preserve">Exploitation et maintenance</t>
  </si>
  <si>
    <t xml:space="preserve">D6</t>
  </si>
  <si>
    <t xml:space="preserve">Contreparties et consortium</t>
  </si>
  <si>
    <t xml:space="preserve">D7</t>
  </si>
  <si>
    <t xml:space="preserve">Finance et trésorerie (noyau)</t>
  </si>
  <si>
    <t xml:space="preserve">D8</t>
  </si>
  <si>
    <t xml:space="preserve">Juridique, sûretés, continuité</t>
  </si>
  <si>
    <t xml:space="preserve">D9</t>
  </si>
  <si>
    <t xml:space="preserve">ESG et climat résiduel</t>
  </si>
  <si>
    <t xml:space="preserve">Total (doit faire 100 %)</t>
  </si>
  <si>
    <t xml:space="preserve">Plafonds C1 à C15 — déclenchés par les données</t>
  </si>
  <si>
    <t xml:space="preserve">La note approuvée ne peut dépasser le plafond actif le plus bas. Le chargé d'affaires ne les choisit pas : il saisit les données, l'outil les évalue.</t>
  </si>
  <si>
    <t xml:space="preserve">Fait générateur</t>
  </si>
  <si>
    <t xml:space="preserve">Note maximale</t>
  </si>
  <si>
    <t xml:space="preserve">Exemple (cas d'étude fictifs)</t>
  </si>
  <si>
    <t xml:space="preserve">C1</t>
  </si>
  <si>
    <t xml:space="preserve">DSCR minimum de base inférieur à 1,05x sur une échéance</t>
  </si>
  <si>
    <t xml:space="preserve">Hôtel dont le CFADS de basse saison est négatif : DSCR −0,19 (cas TOU).</t>
  </si>
  <si>
    <t xml:space="preserve">C2</t>
  </si>
  <si>
    <t xml:space="preserve">DSCR minimum de base sous le seuil critique du couple régime × secteur</t>
  </si>
  <si>
    <t xml:space="preserve">Autoroute R4 : DSCR minimum 1,367 sous le seuil de 1,40 (cas TRA).</t>
  </si>
  <si>
    <t xml:space="preserve">C3</t>
  </si>
  <si>
    <t xml:space="preserve">DSCR minimum sous scénario défavorable inférieur à 1,00x</t>
  </si>
  <si>
    <t xml:space="preserve">Centre de données : départ d'un client de 4 MW, DSCR stressé 0,987 (cas TEL).</t>
  </si>
  <si>
    <t xml:space="preserve">C4</t>
  </si>
  <si>
    <t xml:space="preserve">LLCR inférieur à 1,10x</t>
  </si>
  <si>
    <t xml:space="preserve">Centrale à gaz : LLCR 1,08 (cas ETH).</t>
  </si>
  <si>
    <t xml:space="preserve">C5</t>
  </si>
  <si>
    <t xml:space="preserve">Contrat de revenus expirant avant la dernière échéance de dette, sans solution documentée</t>
  </si>
  <si>
    <t xml:space="preserve">Contrat d'enlèvement de 8 ans pour une dette de 12 ans, sans solution (cas IND).</t>
  </si>
  <si>
    <t xml:space="preserve">C6</t>
  </si>
  <si>
    <t xml:space="preserve">Exposition nette en devises non couverte supérieure à 25 % du service de dette annuel</t>
  </si>
  <si>
    <t xml:space="preserve">Dette en euros non couverte : 30 % du service annuel (cas IND).</t>
  </si>
  <si>
    <t xml:space="preserve">C7</t>
  </si>
  <si>
    <t xml:space="preserve">DSRA absente ou inférieure à 3 mois de service de dette</t>
  </si>
  <si>
    <t xml:space="preserve">Immeuble de bureaux avec 2 mois de DSRA (cas IMMO).</t>
  </si>
  <si>
    <t xml:space="preserve">C8</t>
  </si>
  <si>
    <t xml:space="preserve">Dette à refinancer à maturité supérieure à 30 % du nominal, sans stratégie approuvée</t>
  </si>
  <si>
    <t xml:space="preserve">Ballon de 35 % à refinancer, sans stratégie approuvée (cas ETH).</t>
  </si>
  <si>
    <t xml:space="preserve">C9</t>
  </si>
  <si>
    <t xml:space="preserve">Quote-part de dette supérieure à 85 % du plan de financement</t>
  </si>
  <si>
    <t xml:space="preserve">Dette 88 % du coût total (cas IMMO).</t>
  </si>
  <si>
    <t xml:space="preserve">C10</t>
  </si>
  <si>
    <t xml:space="preserve">Acheteur portant plus de 85 % des recettes et de qualité interne inférieure à BBB−</t>
  </si>
  <si>
    <t xml:space="preserve">Centrale d'autoproduction vendant 100 % à un industriel non noté (cas C5).</t>
  </si>
  <si>
    <t xml:space="preserve">C11</t>
  </si>
  <si>
    <t xml:space="preserve">Risque climatique physique élevé au site sans plan d'adaptation financé</t>
  </si>
  <si>
    <t xml:space="preserve">Hôtel littoral exposé à l'érosion, sans plan financé (cas TOU).</t>
  </si>
  <si>
    <t xml:space="preserve">C12</t>
  </si>
  <si>
    <t xml:space="preserve">Capacité résiduelle du sponsor insuffisante pour l'appel d'equity restant</t>
  </si>
  <si>
    <t xml:space="preserve">Sponsor minier sans capacité pour l'appel de fonds restant (cas MIN).</t>
  </si>
  <si>
    <t xml:space="preserve">C13</t>
  </si>
  <si>
    <t xml:space="preserve">Opérateur non remplaçable et contrat O&amp;M expirant plus de 5 ans avant la dette</t>
  </si>
  <si>
    <t xml:space="preserve">Maintenance hospitalière par un opérateur non remplaçable, contrat 7 ans plus court que la dette (cas SAN).</t>
  </si>
  <si>
    <t xml:space="preserve">C14</t>
  </si>
  <si>
    <t xml:space="preserve">Exposition du groupe bancaire sur un facteur commun au-delà de la limite interne</t>
  </si>
  <si>
    <t xml:space="preserve">Exposition du groupe sur le même armateur au-delà de la limite interne (cas POR).</t>
  </si>
  <si>
    <t xml:space="preserve">C15</t>
  </si>
  <si>
    <t xml:space="preserve">Note issue d'une évaluation partielle (statut provisoire)</t>
  </si>
  <si>
    <t xml:space="preserve">Deux sous-critères en « Info. insuffisante » (cas SAN).</t>
  </si>
  <si>
    <t xml:space="preserve">Verrous — exclusions X et blocages B</t>
  </si>
  <si>
    <t xml:space="preserve">Exclusion X : aucune note n'est produite. Blocage B : la note est calculée mais reste provisoire ; le stade bloqué est indiqué.</t>
  </si>
  <si>
    <t xml:space="preserve">Effet</t>
  </si>
  <si>
    <t xml:space="preserve">X1</t>
  </si>
  <si>
    <t xml:space="preserve">Activité interdite par la loi marocaine ou par la politique d'exclusion de la banque</t>
  </si>
  <si>
    <t xml:space="preserve">Aucune note</t>
  </si>
  <si>
    <t xml:space="preserve">Projet de jeux d'argent exclu par la politique de la banque.</t>
  </si>
  <si>
    <t xml:space="preserve">X2</t>
  </si>
  <si>
    <t xml:space="preserve">Autorisation légalement indispensable juridiquement impossible à obtenir</t>
  </si>
  <si>
    <t xml:space="preserve">Projet sur une zone où la loi interdit toute construction.</t>
  </si>
  <si>
    <t xml:space="preserve">X3</t>
  </si>
  <si>
    <t xml:space="preserve">Contrepartie clé sous sanctions ou signalée au titre du dispositif LBC-FT</t>
  </si>
  <si>
    <t xml:space="preserve">Acheteur unique de la production sous sanctions internationales (cas MIN).</t>
  </si>
  <si>
    <t xml:space="preserve">X4</t>
  </si>
  <si>
    <t xml:space="preserve">Contrepartie clé en défaut avéré non régularisé</t>
  </si>
  <si>
    <t xml:space="preserve">EPC confié à un constructeur en défaut de paiement avéré.</t>
  </si>
  <si>
    <t xml:space="preserve">B1</t>
  </si>
  <si>
    <t xml:space="preserve">Contrat de revenus principal non signé (régimes R1 à R3)</t>
  </si>
  <si>
    <t xml:space="preserve">Note provisoire — bloque : Octroi</t>
  </si>
  <si>
    <t xml:space="preserve">Contrat d'achat d'électricité encore en négociation.</t>
  </si>
  <si>
    <t xml:space="preserve">B2</t>
  </si>
  <si>
    <t xml:space="preserve">Contrat EPC non signé en phase P1</t>
  </si>
  <si>
    <t xml:space="preserve">Terminal portuaire en construction sans EPC signé (cas POR).</t>
  </si>
  <si>
    <t xml:space="preserve">B3</t>
  </si>
  <si>
    <t xml:space="preserve">Besoin à terminaison supérieur aux ressources engagées (couverture &lt; 95 % en P1)</t>
  </si>
  <si>
    <t xml:space="preserve">Note provisoire — bloque : Décaissement</t>
  </si>
  <si>
    <t xml:space="preserve">Mine en construction : ressources couvrant 92 % du besoin (cas MIN).</t>
  </si>
  <si>
    <t xml:space="preserve">B4</t>
  </si>
  <si>
    <t xml:space="preserve">Droit d'occupation du site non établi, ou durée &lt; dette + 24 mois</t>
  </si>
  <si>
    <t xml:space="preserve">Hôtel dont le droit d'occupation du domaine n'est pas établi (cas TOU).</t>
  </si>
  <si>
    <t xml:space="preserve">B5</t>
  </si>
  <si>
    <t xml:space="preserve">Avis juridique d'opposabilité des sûretés absent ou avec réserve substantielle</t>
  </si>
  <si>
    <t xml:space="preserve">Avis juridique avec réserve sur le nantissement des créances (cas IND).</t>
  </si>
  <si>
    <t xml:space="preserve">B6</t>
  </si>
  <si>
    <t xml:space="preserve">Modèle de flux datés absent ou non rapproché des états financiers</t>
  </si>
  <si>
    <t xml:space="preserve">Note provisoire — bloque : Notation validée</t>
  </si>
  <si>
    <t xml:space="preserve">Pas de modèle de flux daté, ou non rapproché des comptes.</t>
  </si>
  <si>
    <t xml:space="preserve">B7</t>
  </si>
  <si>
    <t xml:space="preserve">Complétude des critères critiques inférieure à 100 %</t>
  </si>
  <si>
    <t xml:space="preserve">B8</t>
  </si>
  <si>
    <t xml:space="preserve">Acceptabilité environnementale non obtenue au stade requis</t>
  </si>
  <si>
    <t xml:space="preserve">Étude d'impact environnemental non approuvée (cas MIN).</t>
  </si>
  <si>
    <t xml:space="preserve">Conversion du score en note</t>
  </si>
  <si>
    <t xml:space="preserve">Calculateur : saisissez un score et un plafond éventuel (cellules bleues).</t>
  </si>
  <si>
    <t xml:space="preserve">Score à partir de</t>
  </si>
  <si>
    <t xml:space="preserve">Orientation</t>
  </si>
  <si>
    <t xml:space="preserve">Score global (sur 100)</t>
  </si>
  <si>
    <t xml:space="preserve">Très critique</t>
  </si>
  <si>
    <t xml:space="preserve">Refus ou restructuration complète</t>
  </si>
  <si>
    <t xml:space="preserve">Note calculée</t>
  </si>
  <si>
    <t xml:space="preserve">Refus en l'état</t>
  </si>
  <si>
    <t xml:space="preserve">Plafond actif le plus bas (10 = aucun)</t>
  </si>
  <si>
    <t xml:space="preserve">Préoccupant</t>
  </si>
  <si>
    <t xml:space="preserve">Révision de fond</t>
  </si>
  <si>
    <t xml:space="preserve">Note approuvée</t>
  </si>
  <si>
    <t xml:space="preserve">Fragile</t>
  </si>
  <si>
    <t xml:space="preserve">Restructuration à examiner</t>
  </si>
  <si>
    <t xml:space="preserve">Moyen</t>
  </si>
  <si>
    <t xml:space="preserve">Sous surveillance</t>
  </si>
  <si>
    <t xml:space="preserve">Exemple pré-rempli : hôtel C3, score 73,7 (note 7) plafonné à 4 par C3.</t>
  </si>
  <si>
    <t xml:space="preserve">Acceptable</t>
  </si>
  <si>
    <t xml:space="preserve">Conditions et mitigants</t>
  </si>
  <si>
    <t xml:space="preserve">Satisfaisant</t>
  </si>
  <si>
    <t xml:space="preserve">Conditions légères</t>
  </si>
  <si>
    <t xml:space="preserve">Solide</t>
  </si>
  <si>
    <t xml:space="preserve">Réserves mineures à documenter</t>
  </si>
  <si>
    <t xml:space="preserve">Très solide</t>
  </si>
  <si>
    <t xml:space="preserve">Conditions minimales</t>
  </si>
  <si>
    <t xml:space="preserve">Excellent</t>
  </si>
  <si>
    <t xml:space="preserve">Profil de référence</t>
  </si>
  <si>
    <t xml:space="preserve">Exemple de calcul complet — cas C1, centrale solaire de 80 MWc (fictif)</t>
  </si>
  <si>
    <t xml:space="preserve">Phase P1 (construction). Les notes sont celles choisies dans l'outil ; tout le reste est calculé ici par formule.</t>
  </si>
  <si>
    <t xml:space="preserve">Niveau choisi</t>
  </si>
  <si>
    <t xml:space="preserve">Poids</t>
  </si>
  <si>
    <t xml:space="preserve">Note × poids</t>
  </si>
  <si>
    <t xml:space="preserve">Score D1</t>
  </si>
  <si>
    <t xml:space="preserve">Score D2</t>
  </si>
  <si>
    <t xml:space="preserve">Score D3</t>
  </si>
  <si>
    <t xml:space="preserve">Score D4</t>
  </si>
  <si>
    <t xml:space="preserve">Score D5</t>
  </si>
  <si>
    <t xml:space="preserve">Score D6</t>
  </si>
  <si>
    <t xml:space="preserve">Score D8</t>
  </si>
  <si>
    <t xml:space="preserve">Score D9</t>
  </si>
  <si>
    <t xml:space="preserve">Noyau D7</t>
  </si>
  <si>
    <t xml:space="preserve">Comment</t>
  </si>
  <si>
    <t xml:space="preserve">DSCR min 1,296 ≥ 1,25</t>
  </si>
  <si>
    <t xml:space="preserve">DSCR stressé 1,117</t>
  </si>
  <si>
    <t xml:space="preserve">LLCR / financement à terminaison (P1)</t>
  </si>
  <si>
    <t xml:space="preserve">Couverture 105,7 %</t>
  </si>
  <si>
    <t xml:space="preserve">Situation choisie</t>
  </si>
  <si>
    <t xml:space="preserve">Score D7</t>
  </si>
  <si>
    <t xml:space="preserve">Score</t>
  </si>
  <si>
    <t xml:space="preserve">Poids P1</t>
  </si>
  <si>
    <t xml:space="preserve">Contribution</t>
  </si>
  <si>
    <t xml:space="preserve">SCORE GLOBAL</t>
  </si>
  <si>
    <t xml:space="preserve">Note calculée (onglet Conversion)</t>
  </si>
  <si>
    <t xml:space="preserve">Plafonds et verrous actifs : aucun. Note approuvée = note calculée.</t>
  </si>
  <si>
    <t xml:space="preserve">Glossaire des termes techniques</t>
  </si>
  <si>
    <t xml:space="preserve">Avec un exemple chiffré fictif pour chaque terme.</t>
  </si>
  <si>
    <t xml:space="preserve">Terme</t>
  </si>
  <si>
    <t xml:space="preserve">Définition</t>
  </si>
  <si>
    <t xml:space="preserve">CFADS</t>
  </si>
  <si>
    <t xml:space="preserve">Cash Flow Available for Debt Service : trésorerie disponible pour payer la dette, après charges d'exploitation, impôts et investissements de maintien.</t>
  </si>
  <si>
    <t xml:space="preserve">Recettes 73 − charges 11 − impôts et maintien 8 = CFADS 54 MMAD.</t>
  </si>
  <si>
    <t xml:space="preserve">DSCR</t>
  </si>
  <si>
    <t xml:space="preserve">Debt Service Coverage Ratio : CFADS de la période ÷ service de la dette (intérêts + capital) de la période.</t>
  </si>
  <si>
    <t xml:space="preserve">CFADS semestriel 25,9 ÷ échéance 19,45 = DSCR 1,33.</t>
  </si>
  <si>
    <t xml:space="preserve">LLCR</t>
  </si>
  <si>
    <t xml:space="preserve">Loan Life Coverage Ratio : valeur actualisée des CFADS sur la durée du prêt ÷ dette restante.</t>
  </si>
  <si>
    <t xml:space="preserve">VA des CFADS 680 ÷ dette 500 = LLCR 1,36.</t>
  </si>
  <si>
    <t xml:space="preserve">DSRA</t>
  </si>
  <si>
    <t xml:space="preserve">Debt Service Reserve Account : compte de réserve bloqué, exprimé en mois de service de la dette.</t>
  </si>
  <si>
    <t xml:space="preserve">Échéance semestrielle de 19,45 : DSRA de 6 mois = 19,45 MMAD bloqués.</t>
  </si>
  <si>
    <t xml:space="preserve">Financement à terminaison</t>
  </si>
  <si>
    <t xml:space="preserve">En construction : les ressources engagées couvrent-elles tout le besoin jusqu'à la mise en service ?</t>
  </si>
  <si>
    <t xml:space="preserve">Ressources 747 ÷ besoin 707 = 105,7 % : couverture suffisante.</t>
  </si>
  <si>
    <t xml:space="preserve">Take-or-pay</t>
  </si>
  <si>
    <t xml:space="preserve">Contrat où l'acheteur paie une quantité garantie, qu'il la prenne ou non.</t>
  </si>
  <si>
    <t xml:space="preserve">L'office public paie 152 GWh par an même s'il n'en consomme que 140.</t>
  </si>
  <si>
    <t xml:space="preserve">L'autorité paie si l'ouvrage est disponible, quel que soit l'usage.</t>
  </si>
  <si>
    <t xml:space="preserve">L'hôpital est payé s'il est ouvert et conforme, même avec peu de patients.</t>
  </si>
  <si>
    <t xml:space="preserve">EPC</t>
  </si>
  <si>
    <t xml:space="preserve">Engineering, Procurement, Construction : contrat clé-en-main confiant toute la construction à un seul constructeur.</t>
  </si>
  <si>
    <t xml:space="preserve">Le constructeur livre la centrale finie à prix et date garantis.</t>
  </si>
  <si>
    <t xml:space="preserve">O&amp;M</t>
  </si>
  <si>
    <t xml:space="preserve">Operation and Maintenance : contrat d'exploitation et d'entretien.</t>
  </si>
  <si>
    <t xml:space="preserve">Un opérateur spécialisé exploite l'usine pendant 15 ans.</t>
  </si>
  <si>
    <t xml:space="preserve">SPV</t>
  </si>
  <si>
    <t xml:space="preserve">Special Purpose Vehicle : société créée pour porter un seul projet ; la banque prête à cette société.</t>
  </si>
  <si>
    <t xml:space="preserve">« Solaris Drâa SA » ne possède que la centrale.</t>
  </si>
  <si>
    <t xml:space="preserve">Sponsor</t>
  </si>
  <si>
    <t xml:space="preserve">Actionnaire qui développe le projet et apporte les fonds propres.</t>
  </si>
  <si>
    <t xml:space="preserve">Énergéticien international qui détient 60 % de la SPV.</t>
  </si>
  <si>
    <t xml:space="preserve">Ballon (refinancement)</t>
  </si>
  <si>
    <t xml:space="preserve">Part de la dette non amortie, à rembourser en une fois à la fin.</t>
  </si>
  <si>
    <t xml:space="preserve">35 % du prêt dû en une fois à 10 ans (cas ETH).</t>
  </si>
  <si>
    <t xml:space="preserve">Sculpture de l'amortissement</t>
  </si>
  <si>
    <t xml:space="preserve">Adapter chaque échéance aux flux de la période pour garder un DSCR stable.</t>
  </si>
  <si>
    <t xml:space="preserve">25 MMAD en campagne, 3,5 MMAD hors campagne (cas C4B).</t>
  </si>
  <si>
    <t xml:space="preserve">Cascade (waterfall)</t>
  </si>
  <si>
    <t xml:space="preserve">Ordre de priorité des paiements sur les comptes de la SPV : charges, dette, réserves, puis dividendes.</t>
  </si>
  <si>
    <t xml:space="preserve">Aucun dividende tant que la DSRA n'est pas pleine.</t>
  </si>
  <si>
    <t xml:space="preserve">Accord direct</t>
  </si>
  <si>
    <t xml:space="preserve">Contrat entre la banque et une contrepartie de la SPV permettant à la banque de se substituer.</t>
  </si>
  <si>
    <t xml:space="preserve">Si la SPV fait défaut, la banque reprend le contrat d'achat.</t>
  </si>
  <si>
    <t xml:space="preserve">P50 / P90</t>
  </si>
  <si>
    <t xml:space="preserve">Production atteinte avec 50 % / 90 % de probabilité.</t>
  </si>
  <si>
    <t xml:space="preserve">P50 152 GWh ; P90 140 GWh (scénario prudent).</t>
  </si>
  <si>
    <t xml:space="preserve">Régime de proportionnalité S / M / L</t>
  </si>
  <si>
    <t xml:space="preserve">Profondeur d'analyse exigée, calculée selon taille et complexité.</t>
  </si>
  <si>
    <t xml:space="preserve">Projet de 108 MMAD en MAD, R1 : régime S (cas C5).</t>
  </si>
  <si>
    <t xml:space="preserve">Plafond</t>
  </si>
  <si>
    <t xml:space="preserve">Note maximale imposée par un fait objectif, quelle que soit la moyenne.</t>
  </si>
  <si>
    <t xml:space="preserve">DSCR stressé 0,75 &lt; 1,00 : note limitée à 4 (C3).</t>
  </si>
  <si>
    <t xml:space="preserve">Verrou</t>
  </si>
  <si>
    <t xml:space="preserve">Fait qui empêche la note (exclusion X) ou la rend provisoire (blocage B).</t>
  </si>
  <si>
    <t xml:space="preserve">EPC non signé en construction : blocage B2.</t>
  </si>
  <si>
    <t xml:space="preserve">Information insuffisante</t>
  </si>
  <si>
    <t xml:space="preserve">Pièce manquante : comptée 20 (comme Critique), note provisoire, commentaire exigé.</t>
  </si>
  <si>
    <t xml:space="preserve">Étude d'impact social non remise (cas SAN).</t>
  </si>
  <si>
    <t xml:space="preserve">Paramètres utilisés par cette grille</t>
  </si>
  <si>
    <t xml:space="preserve">Valeurs candidates du modèle (identiques à l'onglet Paramètres de l'outil). Modifiez une cellule bleue : toute la grille suit.</t>
  </si>
  <si>
    <t xml:space="preserve">« Info. insuffisante » est comptée comme Critique (20), rend la note provisoire (blocage B7, plafond C15) et exige un commentaire.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</si>
</sst>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0"/>
    <numFmt numFmtId="168" formatCode="\+0.00;\-0.00;0.00"/>
    <numFmt numFmtId="169" formatCode="0.00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DE8E3"/>
        <bgColor rgb="FFE2F0D9"/>
      </patternFill>
    </fill>
    <fill>
      <patternFill patternType="solid">
        <fgColor rgb="FF1F4E3D"/>
        <bgColor rgb="FF003366"/>
      </patternFill>
    </fill>
    <fill>
      <patternFill patternType="solid">
        <fgColor rgb="FFC6EFCE"/>
        <bgColor rgb="FFDDE8E3"/>
      </patternFill>
    </fill>
    <fill>
      <patternFill patternType="solid">
        <fgColor rgb="FFE2F0D9"/>
        <bgColor rgb="FFDDE8E3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DE8E3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E3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5" t="s">
        <v>18</v>
      </c>
    </row>
    <row r="13" customFormat="false" ht="15" hidden="false" customHeight="false" outlineLevel="0" collapsed="false">
      <c r="A13" s="6" t="s">
        <v>19</v>
      </c>
      <c r="B13" s="7" t="n">
        <f aca="false">Paramètres!$B$5</f>
        <v>100</v>
      </c>
      <c r="C13" s="4" t="s">
        <v>20</v>
      </c>
    </row>
    <row r="14" customFormat="false" ht="15" hidden="false" customHeight="false" outlineLevel="0" collapsed="false">
      <c r="A14" s="8" t="s">
        <v>21</v>
      </c>
      <c r="B14" s="7" t="n">
        <f aca="false">Paramètres!$B$6</f>
        <v>80</v>
      </c>
      <c r="C14" s="4" t="s">
        <v>22</v>
      </c>
    </row>
    <row r="15" customFormat="false" ht="15" hidden="false" customHeight="false" outlineLevel="0" collapsed="false">
      <c r="A15" s="9" t="s">
        <v>23</v>
      </c>
      <c r="B15" s="7" t="n">
        <f aca="false">Paramètres!$B$7</f>
        <v>50</v>
      </c>
      <c r="C15" s="4" t="s">
        <v>24</v>
      </c>
    </row>
    <row r="16" customFormat="false" ht="15" hidden="false" customHeight="false" outlineLevel="0" collapsed="false">
      <c r="A16" s="10" t="s">
        <v>10</v>
      </c>
      <c r="B16" s="7" t="n">
        <f aca="false">Paramètres!$B$8</f>
        <v>20</v>
      </c>
      <c r="C16" s="4" t="s">
        <v>25</v>
      </c>
    </row>
    <row r="17" customFormat="false" ht="15" hidden="false" customHeight="false" outlineLevel="0" collapsed="false">
      <c r="A17" s="11" t="s">
        <v>8</v>
      </c>
      <c r="B17" s="7" t="n">
        <f aca="false">Paramètres!$B$9</f>
        <v>20</v>
      </c>
      <c r="C17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34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44"/>
    <col collapsed="false" customWidth="true" hidden="false" outlineLevel="0" max="11" min="11" style="0" width="52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31.5" hidden="false" customHeight="tru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16</v>
      </c>
      <c r="I4" s="5" t="s">
        <v>17</v>
      </c>
      <c r="J4" s="5" t="s">
        <v>36</v>
      </c>
      <c r="K4" s="5" t="s">
        <v>37</v>
      </c>
    </row>
    <row r="5" customFormat="false" ht="42" hidden="false" customHeight="true" outlineLevel="0" collapsed="false">
      <c r="A5" s="4" t="s">
        <v>38</v>
      </c>
      <c r="B5" s="4" t="s">
        <v>39</v>
      </c>
      <c r="C5" s="12" t="s">
        <v>40</v>
      </c>
      <c r="D5" s="12" t="s">
        <v>41</v>
      </c>
      <c r="E5" s="13" t="n">
        <v>0.4</v>
      </c>
      <c r="F5" s="4" t="s">
        <v>42</v>
      </c>
      <c r="G5" s="4" t="s">
        <v>43</v>
      </c>
      <c r="H5" s="14" t="s">
        <v>19</v>
      </c>
      <c r="I5" s="7" t="n">
        <f aca="false">Paramètres!$B$5</f>
        <v>100</v>
      </c>
      <c r="J5" s="15" t="s">
        <v>44</v>
      </c>
      <c r="K5" s="4" t="s">
        <v>45</v>
      </c>
    </row>
    <row r="6" customFormat="false" ht="42" hidden="false" customHeight="true" outlineLevel="0" collapsed="false">
      <c r="A6" s="4"/>
      <c r="B6" s="4"/>
      <c r="C6" s="4"/>
      <c r="D6" s="4"/>
      <c r="E6" s="4"/>
      <c r="F6" s="4"/>
      <c r="G6" s="4"/>
      <c r="H6" s="16" t="s">
        <v>21</v>
      </c>
      <c r="I6" s="7" t="n">
        <f aca="false">Paramètres!$B$6</f>
        <v>80</v>
      </c>
      <c r="J6" s="15" t="s">
        <v>46</v>
      </c>
      <c r="K6" s="4" t="s">
        <v>47</v>
      </c>
    </row>
    <row r="7" customFormat="false" ht="42" hidden="false" customHeight="true" outlineLevel="0" collapsed="false">
      <c r="A7" s="4"/>
      <c r="B7" s="4"/>
      <c r="C7" s="4"/>
      <c r="D7" s="4"/>
      <c r="E7" s="4"/>
      <c r="F7" s="4"/>
      <c r="G7" s="4"/>
      <c r="H7" s="17" t="s">
        <v>23</v>
      </c>
      <c r="I7" s="7" t="n">
        <f aca="false">Paramètres!$B$7</f>
        <v>50</v>
      </c>
      <c r="J7" s="15" t="s">
        <v>48</v>
      </c>
      <c r="K7" s="4" t="s">
        <v>49</v>
      </c>
    </row>
    <row r="8" customFormat="false" ht="42" hidden="false" customHeight="true" outlineLevel="0" collapsed="false">
      <c r="A8" s="4"/>
      <c r="B8" s="4"/>
      <c r="C8" s="4"/>
      <c r="D8" s="4"/>
      <c r="E8" s="4"/>
      <c r="F8" s="4"/>
      <c r="G8" s="4"/>
      <c r="H8" s="18" t="s">
        <v>10</v>
      </c>
      <c r="I8" s="7" t="n">
        <f aca="false">Paramètres!$B$8</f>
        <v>20</v>
      </c>
      <c r="J8" s="15" t="s">
        <v>50</v>
      </c>
      <c r="K8" s="4" t="s">
        <v>51</v>
      </c>
    </row>
    <row r="9" customFormat="false" ht="42" hidden="false" customHeight="true" outlineLevel="0" collapsed="false">
      <c r="A9" s="4"/>
      <c r="B9" s="4"/>
      <c r="C9" s="4"/>
      <c r="D9" s="4"/>
      <c r="E9" s="4"/>
      <c r="F9" s="4"/>
      <c r="G9" s="4"/>
      <c r="H9" s="19" t="s">
        <v>8</v>
      </c>
      <c r="I9" s="7" t="n">
        <f aca="false">Paramètres!$B$9</f>
        <v>20</v>
      </c>
      <c r="J9" s="15" t="s">
        <v>8</v>
      </c>
      <c r="K9" s="4" t="s">
        <v>52</v>
      </c>
    </row>
    <row r="10" customFormat="false" ht="42" hidden="false" customHeight="true" outlineLevel="0" collapsed="false">
      <c r="A10" s="4" t="s">
        <v>38</v>
      </c>
      <c r="B10" s="4" t="s">
        <v>39</v>
      </c>
      <c r="C10" s="12" t="s">
        <v>53</v>
      </c>
      <c r="D10" s="12" t="s">
        <v>54</v>
      </c>
      <c r="E10" s="13" t="n">
        <v>0.35</v>
      </c>
      <c r="F10" s="4" t="s">
        <v>55</v>
      </c>
      <c r="G10" s="4" t="s">
        <v>56</v>
      </c>
      <c r="H10" s="14" t="s">
        <v>19</v>
      </c>
      <c r="I10" s="7" t="n">
        <f aca="false">Paramètres!$B$5</f>
        <v>100</v>
      </c>
      <c r="J10" s="15" t="s">
        <v>57</v>
      </c>
      <c r="K10" s="4" t="s">
        <v>58</v>
      </c>
    </row>
    <row r="11" customFormat="false" ht="42" hidden="false" customHeight="true" outlineLevel="0" collapsed="false">
      <c r="A11" s="4"/>
      <c r="B11" s="4"/>
      <c r="C11" s="4"/>
      <c r="D11" s="4"/>
      <c r="E11" s="4"/>
      <c r="F11" s="4"/>
      <c r="G11" s="4"/>
      <c r="H11" s="16" t="s">
        <v>21</v>
      </c>
      <c r="I11" s="7" t="n">
        <f aca="false">Paramètres!$B$6</f>
        <v>80</v>
      </c>
      <c r="J11" s="15" t="s">
        <v>59</v>
      </c>
      <c r="K11" s="4" t="s">
        <v>60</v>
      </c>
    </row>
    <row r="12" customFormat="false" ht="42" hidden="false" customHeight="true" outlineLevel="0" collapsed="false">
      <c r="A12" s="4"/>
      <c r="B12" s="4"/>
      <c r="C12" s="4"/>
      <c r="D12" s="4"/>
      <c r="E12" s="4"/>
      <c r="F12" s="4"/>
      <c r="G12" s="4"/>
      <c r="H12" s="17" t="s">
        <v>23</v>
      </c>
      <c r="I12" s="7" t="n">
        <f aca="false">Paramètres!$B$7</f>
        <v>50</v>
      </c>
      <c r="J12" s="15" t="s">
        <v>61</v>
      </c>
      <c r="K12" s="4" t="s">
        <v>62</v>
      </c>
    </row>
    <row r="13" customFormat="false" ht="42" hidden="false" customHeight="true" outlineLevel="0" collapsed="false">
      <c r="A13" s="4"/>
      <c r="B13" s="4"/>
      <c r="C13" s="4"/>
      <c r="D13" s="4"/>
      <c r="E13" s="4"/>
      <c r="F13" s="4"/>
      <c r="G13" s="4"/>
      <c r="H13" s="18" t="s">
        <v>10</v>
      </c>
      <c r="I13" s="7" t="n">
        <f aca="false">Paramètres!$B$8</f>
        <v>20</v>
      </c>
      <c r="J13" s="15" t="s">
        <v>63</v>
      </c>
      <c r="K13" s="4" t="s">
        <v>64</v>
      </c>
    </row>
    <row r="14" customFormat="false" ht="42" hidden="false" customHeight="true" outlineLevel="0" collapsed="false">
      <c r="A14" s="4"/>
      <c r="B14" s="4"/>
      <c r="C14" s="4"/>
      <c r="D14" s="4"/>
      <c r="E14" s="4"/>
      <c r="F14" s="4"/>
      <c r="G14" s="4"/>
      <c r="H14" s="19" t="s">
        <v>8</v>
      </c>
      <c r="I14" s="7" t="n">
        <f aca="false">Paramètres!$B$9</f>
        <v>20</v>
      </c>
      <c r="J14" s="15" t="s">
        <v>8</v>
      </c>
      <c r="K14" s="4" t="s">
        <v>65</v>
      </c>
    </row>
    <row r="15" customFormat="false" ht="42" hidden="false" customHeight="true" outlineLevel="0" collapsed="false">
      <c r="A15" s="4" t="s">
        <v>38</v>
      </c>
      <c r="B15" s="4" t="s">
        <v>39</v>
      </c>
      <c r="C15" s="12" t="s">
        <v>66</v>
      </c>
      <c r="D15" s="12" t="s">
        <v>67</v>
      </c>
      <c r="E15" s="13" t="n">
        <v>0.25</v>
      </c>
      <c r="F15" s="4" t="s">
        <v>68</v>
      </c>
      <c r="G15" s="4" t="s">
        <v>69</v>
      </c>
      <c r="H15" s="14" t="s">
        <v>19</v>
      </c>
      <c r="I15" s="7" t="n">
        <f aca="false">Paramètres!$B$5</f>
        <v>100</v>
      </c>
      <c r="J15" s="15" t="s">
        <v>70</v>
      </c>
      <c r="K15" s="4" t="s">
        <v>71</v>
      </c>
    </row>
    <row r="16" customFormat="false" ht="42" hidden="false" customHeight="true" outlineLevel="0" collapsed="false">
      <c r="A16" s="4"/>
      <c r="B16" s="4"/>
      <c r="C16" s="4"/>
      <c r="D16" s="4"/>
      <c r="E16" s="4"/>
      <c r="F16" s="4"/>
      <c r="G16" s="4"/>
      <c r="H16" s="16" t="s">
        <v>21</v>
      </c>
      <c r="I16" s="7" t="n">
        <f aca="false">Paramètres!$B$6</f>
        <v>80</v>
      </c>
      <c r="J16" s="15" t="s">
        <v>72</v>
      </c>
      <c r="K16" s="4" t="s">
        <v>73</v>
      </c>
    </row>
    <row r="17" customFormat="false" ht="42" hidden="false" customHeight="true" outlineLevel="0" collapsed="false">
      <c r="A17" s="4"/>
      <c r="B17" s="4"/>
      <c r="C17" s="4"/>
      <c r="D17" s="4"/>
      <c r="E17" s="4"/>
      <c r="F17" s="4"/>
      <c r="G17" s="4"/>
      <c r="H17" s="17" t="s">
        <v>23</v>
      </c>
      <c r="I17" s="7" t="n">
        <f aca="false">Paramètres!$B$7</f>
        <v>50</v>
      </c>
      <c r="J17" s="15" t="s">
        <v>74</v>
      </c>
      <c r="K17" s="4" t="s">
        <v>75</v>
      </c>
    </row>
    <row r="18" customFormat="false" ht="42" hidden="false" customHeight="true" outlineLevel="0" collapsed="false">
      <c r="A18" s="4"/>
      <c r="B18" s="4"/>
      <c r="C18" s="4"/>
      <c r="D18" s="4"/>
      <c r="E18" s="4"/>
      <c r="F18" s="4"/>
      <c r="G18" s="4"/>
      <c r="H18" s="18" t="s">
        <v>10</v>
      </c>
      <c r="I18" s="7" t="n">
        <f aca="false">Paramètres!$B$8</f>
        <v>20</v>
      </c>
      <c r="J18" s="15" t="s">
        <v>76</v>
      </c>
      <c r="K18" s="4" t="s">
        <v>77</v>
      </c>
    </row>
    <row r="19" customFormat="false" ht="42" hidden="false" customHeight="true" outlineLevel="0" collapsed="false">
      <c r="A19" s="4"/>
      <c r="B19" s="4"/>
      <c r="C19" s="4"/>
      <c r="D19" s="4"/>
      <c r="E19" s="4"/>
      <c r="F19" s="4"/>
      <c r="G19" s="4"/>
      <c r="H19" s="19" t="s">
        <v>8</v>
      </c>
      <c r="I19" s="7" t="n">
        <f aca="false">Paramètres!$B$9</f>
        <v>20</v>
      </c>
      <c r="J19" s="15" t="s">
        <v>8</v>
      </c>
      <c r="K19" s="4" t="s">
        <v>78</v>
      </c>
    </row>
    <row r="20" customFormat="false" ht="42" hidden="false" customHeight="true" outlineLevel="0" collapsed="false">
      <c r="A20" s="4" t="s">
        <v>79</v>
      </c>
      <c r="B20" s="4" t="s">
        <v>80</v>
      </c>
      <c r="C20" s="12" t="s">
        <v>81</v>
      </c>
      <c r="D20" s="12" t="s">
        <v>82</v>
      </c>
      <c r="E20" s="13" t="n">
        <v>0.35</v>
      </c>
      <c r="F20" s="4" t="s">
        <v>83</v>
      </c>
      <c r="G20" s="4" t="s">
        <v>84</v>
      </c>
      <c r="H20" s="14" t="s">
        <v>19</v>
      </c>
      <c r="I20" s="7" t="n">
        <f aca="false">Paramètres!$B$5</f>
        <v>100</v>
      </c>
      <c r="J20" s="15" t="s">
        <v>85</v>
      </c>
      <c r="K20" s="4" t="s">
        <v>86</v>
      </c>
    </row>
    <row r="21" customFormat="false" ht="42" hidden="false" customHeight="true" outlineLevel="0" collapsed="false">
      <c r="A21" s="4"/>
      <c r="B21" s="4"/>
      <c r="C21" s="4"/>
      <c r="D21" s="4"/>
      <c r="E21" s="4"/>
      <c r="F21" s="4"/>
      <c r="G21" s="4"/>
      <c r="H21" s="16" t="s">
        <v>21</v>
      </c>
      <c r="I21" s="7" t="n">
        <f aca="false">Paramètres!$B$6</f>
        <v>80</v>
      </c>
      <c r="J21" s="15" t="s">
        <v>87</v>
      </c>
      <c r="K21" s="4" t="s">
        <v>88</v>
      </c>
    </row>
    <row r="22" customFormat="false" ht="42" hidden="false" customHeight="true" outlineLevel="0" collapsed="false">
      <c r="A22" s="4"/>
      <c r="B22" s="4"/>
      <c r="C22" s="4"/>
      <c r="D22" s="4"/>
      <c r="E22" s="4"/>
      <c r="F22" s="4"/>
      <c r="G22" s="4"/>
      <c r="H22" s="17" t="s">
        <v>23</v>
      </c>
      <c r="I22" s="7" t="n">
        <f aca="false">Paramètres!$B$7</f>
        <v>50</v>
      </c>
      <c r="J22" s="15" t="s">
        <v>89</v>
      </c>
      <c r="K22" s="4" t="s">
        <v>90</v>
      </c>
    </row>
    <row r="23" customFormat="false" ht="42" hidden="false" customHeight="true" outlineLevel="0" collapsed="false">
      <c r="A23" s="4"/>
      <c r="B23" s="4"/>
      <c r="C23" s="4"/>
      <c r="D23" s="4"/>
      <c r="E23" s="4"/>
      <c r="F23" s="4"/>
      <c r="G23" s="4"/>
      <c r="H23" s="18" t="s">
        <v>10</v>
      </c>
      <c r="I23" s="7" t="n">
        <f aca="false">Paramètres!$B$8</f>
        <v>20</v>
      </c>
      <c r="J23" s="15" t="s">
        <v>91</v>
      </c>
      <c r="K23" s="4" t="s">
        <v>92</v>
      </c>
    </row>
    <row r="24" customFormat="false" ht="42" hidden="false" customHeight="true" outlineLevel="0" collapsed="false">
      <c r="A24" s="4"/>
      <c r="B24" s="4"/>
      <c r="C24" s="4"/>
      <c r="D24" s="4"/>
      <c r="E24" s="4"/>
      <c r="F24" s="4"/>
      <c r="G24" s="4"/>
      <c r="H24" s="19" t="s">
        <v>8</v>
      </c>
      <c r="I24" s="7" t="n">
        <f aca="false">Paramètres!$B$9</f>
        <v>20</v>
      </c>
      <c r="J24" s="15" t="s">
        <v>8</v>
      </c>
      <c r="K24" s="4" t="s">
        <v>93</v>
      </c>
    </row>
    <row r="25" customFormat="false" ht="42" hidden="false" customHeight="true" outlineLevel="0" collapsed="false">
      <c r="A25" s="4" t="s">
        <v>79</v>
      </c>
      <c r="B25" s="4" t="s">
        <v>80</v>
      </c>
      <c r="C25" s="12" t="s">
        <v>94</v>
      </c>
      <c r="D25" s="12" t="s">
        <v>95</v>
      </c>
      <c r="E25" s="13" t="n">
        <v>0.4</v>
      </c>
      <c r="F25" s="4" t="s">
        <v>96</v>
      </c>
      <c r="G25" s="4" t="s">
        <v>97</v>
      </c>
      <c r="H25" s="14" t="s">
        <v>19</v>
      </c>
      <c r="I25" s="7" t="n">
        <f aca="false">Paramètres!$B$5</f>
        <v>100</v>
      </c>
      <c r="J25" s="15" t="s">
        <v>98</v>
      </c>
      <c r="K25" s="4" t="s">
        <v>99</v>
      </c>
    </row>
    <row r="26" customFormat="false" ht="42" hidden="false" customHeight="true" outlineLevel="0" collapsed="false">
      <c r="A26" s="4"/>
      <c r="B26" s="4"/>
      <c r="C26" s="4"/>
      <c r="D26" s="4"/>
      <c r="E26" s="4"/>
      <c r="F26" s="4"/>
      <c r="G26" s="4"/>
      <c r="H26" s="16" t="s">
        <v>21</v>
      </c>
      <c r="I26" s="7" t="n">
        <f aca="false">Paramètres!$B$6</f>
        <v>80</v>
      </c>
      <c r="J26" s="15" t="s">
        <v>100</v>
      </c>
      <c r="K26" s="4" t="s">
        <v>101</v>
      </c>
    </row>
    <row r="27" customFormat="false" ht="42" hidden="false" customHeight="true" outlineLevel="0" collapsed="false">
      <c r="A27" s="4"/>
      <c r="B27" s="4"/>
      <c r="C27" s="4"/>
      <c r="D27" s="4"/>
      <c r="E27" s="4"/>
      <c r="F27" s="4"/>
      <c r="G27" s="4"/>
      <c r="H27" s="17" t="s">
        <v>23</v>
      </c>
      <c r="I27" s="7" t="n">
        <f aca="false">Paramètres!$B$7</f>
        <v>50</v>
      </c>
      <c r="J27" s="15" t="s">
        <v>102</v>
      </c>
      <c r="K27" s="4" t="s">
        <v>103</v>
      </c>
    </row>
    <row r="28" customFormat="false" ht="42" hidden="false" customHeight="true" outlineLevel="0" collapsed="false">
      <c r="A28" s="4"/>
      <c r="B28" s="4"/>
      <c r="C28" s="4"/>
      <c r="D28" s="4"/>
      <c r="E28" s="4"/>
      <c r="F28" s="4"/>
      <c r="G28" s="4"/>
      <c r="H28" s="18" t="s">
        <v>10</v>
      </c>
      <c r="I28" s="7" t="n">
        <f aca="false">Paramètres!$B$8</f>
        <v>20</v>
      </c>
      <c r="J28" s="15" t="s">
        <v>104</v>
      </c>
      <c r="K28" s="4" t="s">
        <v>105</v>
      </c>
    </row>
    <row r="29" customFormat="false" ht="42" hidden="false" customHeight="true" outlineLevel="0" collapsed="false">
      <c r="A29" s="4"/>
      <c r="B29" s="4"/>
      <c r="C29" s="4"/>
      <c r="D29" s="4"/>
      <c r="E29" s="4"/>
      <c r="F29" s="4"/>
      <c r="G29" s="4"/>
      <c r="H29" s="19" t="s">
        <v>8</v>
      </c>
      <c r="I29" s="7" t="n">
        <f aca="false">Paramètres!$B$9</f>
        <v>20</v>
      </c>
      <c r="J29" s="15" t="s">
        <v>8</v>
      </c>
      <c r="K29" s="4" t="s">
        <v>106</v>
      </c>
    </row>
    <row r="30" customFormat="false" ht="42" hidden="false" customHeight="true" outlineLevel="0" collapsed="false">
      <c r="A30" s="4" t="s">
        <v>79</v>
      </c>
      <c r="B30" s="4" t="s">
        <v>80</v>
      </c>
      <c r="C30" s="12" t="s">
        <v>107</v>
      </c>
      <c r="D30" s="12" t="s">
        <v>108</v>
      </c>
      <c r="E30" s="13" t="n">
        <v>0.25</v>
      </c>
      <c r="F30" s="4" t="s">
        <v>109</v>
      </c>
      <c r="G30" s="4" t="s">
        <v>110</v>
      </c>
      <c r="H30" s="14" t="s">
        <v>19</v>
      </c>
      <c r="I30" s="7" t="n">
        <f aca="false">Paramètres!$B$5</f>
        <v>100</v>
      </c>
      <c r="J30" s="15" t="s">
        <v>111</v>
      </c>
      <c r="K30" s="4" t="s">
        <v>112</v>
      </c>
    </row>
    <row r="31" customFormat="false" ht="42" hidden="false" customHeight="true" outlineLevel="0" collapsed="false">
      <c r="A31" s="4"/>
      <c r="B31" s="4"/>
      <c r="C31" s="4"/>
      <c r="D31" s="4"/>
      <c r="E31" s="4"/>
      <c r="F31" s="4"/>
      <c r="G31" s="4"/>
      <c r="H31" s="16" t="s">
        <v>21</v>
      </c>
      <c r="I31" s="7" t="n">
        <f aca="false">Paramètres!$B$6</f>
        <v>80</v>
      </c>
      <c r="J31" s="15" t="s">
        <v>113</v>
      </c>
      <c r="K31" s="4" t="s">
        <v>114</v>
      </c>
    </row>
    <row r="32" customFormat="false" ht="42" hidden="false" customHeight="true" outlineLevel="0" collapsed="false">
      <c r="A32" s="4"/>
      <c r="B32" s="4"/>
      <c r="C32" s="4"/>
      <c r="D32" s="4"/>
      <c r="E32" s="4"/>
      <c r="F32" s="4"/>
      <c r="G32" s="4"/>
      <c r="H32" s="17" t="s">
        <v>23</v>
      </c>
      <c r="I32" s="7" t="n">
        <f aca="false">Paramètres!$B$7</f>
        <v>50</v>
      </c>
      <c r="J32" s="15" t="s">
        <v>115</v>
      </c>
      <c r="K32" s="4" t="s">
        <v>116</v>
      </c>
    </row>
    <row r="33" customFormat="false" ht="42" hidden="false" customHeight="true" outlineLevel="0" collapsed="false">
      <c r="A33" s="4"/>
      <c r="B33" s="4"/>
      <c r="C33" s="4"/>
      <c r="D33" s="4"/>
      <c r="E33" s="4"/>
      <c r="F33" s="4"/>
      <c r="G33" s="4"/>
      <c r="H33" s="18" t="s">
        <v>10</v>
      </c>
      <c r="I33" s="7" t="n">
        <f aca="false">Paramètres!$B$8</f>
        <v>20</v>
      </c>
      <c r="J33" s="15" t="s">
        <v>117</v>
      </c>
      <c r="K33" s="4" t="s">
        <v>118</v>
      </c>
    </row>
    <row r="34" customFormat="false" ht="42" hidden="false" customHeight="true" outlineLevel="0" collapsed="false">
      <c r="A34" s="4"/>
      <c r="B34" s="4"/>
      <c r="C34" s="4"/>
      <c r="D34" s="4"/>
      <c r="E34" s="4"/>
      <c r="F34" s="4"/>
      <c r="G34" s="4"/>
      <c r="H34" s="19" t="s">
        <v>8</v>
      </c>
      <c r="I34" s="7" t="n">
        <f aca="false">Paramètres!$B$9</f>
        <v>20</v>
      </c>
      <c r="J34" s="15" t="s">
        <v>8</v>
      </c>
      <c r="K34" s="4" t="s">
        <v>119</v>
      </c>
    </row>
    <row r="35" customFormat="false" ht="42" hidden="false" customHeight="true" outlineLevel="0" collapsed="false">
      <c r="A35" s="4" t="s">
        <v>120</v>
      </c>
      <c r="B35" s="4" t="s">
        <v>121</v>
      </c>
      <c r="C35" s="12" t="s">
        <v>122</v>
      </c>
      <c r="D35" s="12" t="s">
        <v>123</v>
      </c>
      <c r="E35" s="13" t="n">
        <v>0.4</v>
      </c>
      <c r="F35" s="4" t="s">
        <v>124</v>
      </c>
      <c r="G35" s="4" t="s">
        <v>125</v>
      </c>
      <c r="H35" s="14" t="s">
        <v>19</v>
      </c>
      <c r="I35" s="7" t="n">
        <f aca="false">Paramètres!$B$5</f>
        <v>100</v>
      </c>
      <c r="J35" s="15" t="s">
        <v>126</v>
      </c>
      <c r="K35" s="4" t="s">
        <v>127</v>
      </c>
    </row>
    <row r="36" customFormat="false" ht="42" hidden="false" customHeight="true" outlineLevel="0" collapsed="false">
      <c r="A36" s="4"/>
      <c r="B36" s="4"/>
      <c r="C36" s="4"/>
      <c r="D36" s="4"/>
      <c r="E36" s="4"/>
      <c r="F36" s="4"/>
      <c r="G36" s="4"/>
      <c r="H36" s="16" t="s">
        <v>21</v>
      </c>
      <c r="I36" s="7" t="n">
        <f aca="false">Paramètres!$B$6</f>
        <v>80</v>
      </c>
      <c r="J36" s="15" t="s">
        <v>128</v>
      </c>
      <c r="K36" s="4" t="s">
        <v>129</v>
      </c>
    </row>
    <row r="37" customFormat="false" ht="42" hidden="false" customHeight="true" outlineLevel="0" collapsed="false">
      <c r="A37" s="4"/>
      <c r="B37" s="4"/>
      <c r="C37" s="4"/>
      <c r="D37" s="4"/>
      <c r="E37" s="4"/>
      <c r="F37" s="4"/>
      <c r="G37" s="4"/>
      <c r="H37" s="17" t="s">
        <v>23</v>
      </c>
      <c r="I37" s="7" t="n">
        <f aca="false">Paramètres!$B$7</f>
        <v>50</v>
      </c>
      <c r="J37" s="15" t="s">
        <v>130</v>
      </c>
      <c r="K37" s="4" t="s">
        <v>131</v>
      </c>
    </row>
    <row r="38" customFormat="false" ht="42" hidden="false" customHeight="true" outlineLevel="0" collapsed="false">
      <c r="A38" s="4"/>
      <c r="B38" s="4"/>
      <c r="C38" s="4"/>
      <c r="D38" s="4"/>
      <c r="E38" s="4"/>
      <c r="F38" s="4"/>
      <c r="G38" s="4"/>
      <c r="H38" s="18" t="s">
        <v>10</v>
      </c>
      <c r="I38" s="7" t="n">
        <f aca="false">Paramètres!$B$8</f>
        <v>20</v>
      </c>
      <c r="J38" s="15" t="s">
        <v>132</v>
      </c>
      <c r="K38" s="4" t="s">
        <v>133</v>
      </c>
    </row>
    <row r="39" customFormat="false" ht="42" hidden="false" customHeight="true" outlineLevel="0" collapsed="false">
      <c r="A39" s="4"/>
      <c r="B39" s="4"/>
      <c r="C39" s="4"/>
      <c r="D39" s="4"/>
      <c r="E39" s="4"/>
      <c r="F39" s="4"/>
      <c r="G39" s="4"/>
      <c r="H39" s="19" t="s">
        <v>8</v>
      </c>
      <c r="I39" s="7" t="n">
        <f aca="false">Paramètres!$B$9</f>
        <v>20</v>
      </c>
      <c r="J39" s="15" t="s">
        <v>8</v>
      </c>
      <c r="K39" s="4" t="s">
        <v>134</v>
      </c>
    </row>
    <row r="40" customFormat="false" ht="42" hidden="false" customHeight="true" outlineLevel="0" collapsed="false">
      <c r="A40" s="4" t="s">
        <v>120</v>
      </c>
      <c r="B40" s="4" t="s">
        <v>121</v>
      </c>
      <c r="C40" s="12" t="s">
        <v>135</v>
      </c>
      <c r="D40" s="12" t="s">
        <v>136</v>
      </c>
      <c r="E40" s="13" t="n">
        <v>0.25</v>
      </c>
      <c r="F40" s="4" t="s">
        <v>137</v>
      </c>
      <c r="G40" s="4" t="s">
        <v>138</v>
      </c>
      <c r="H40" s="14" t="s">
        <v>19</v>
      </c>
      <c r="I40" s="7" t="n">
        <f aca="false">Paramètres!$B$5</f>
        <v>100</v>
      </c>
      <c r="J40" s="15" t="s">
        <v>139</v>
      </c>
      <c r="K40" s="4" t="s">
        <v>140</v>
      </c>
    </row>
    <row r="41" customFormat="false" ht="42" hidden="false" customHeight="true" outlineLevel="0" collapsed="false">
      <c r="A41" s="4"/>
      <c r="B41" s="4"/>
      <c r="C41" s="4"/>
      <c r="D41" s="4"/>
      <c r="E41" s="4"/>
      <c r="F41" s="4"/>
      <c r="G41" s="4"/>
      <c r="H41" s="16" t="s">
        <v>21</v>
      </c>
      <c r="I41" s="7" t="n">
        <f aca="false">Paramètres!$B$6</f>
        <v>80</v>
      </c>
      <c r="J41" s="15" t="s">
        <v>141</v>
      </c>
      <c r="K41" s="4" t="s">
        <v>142</v>
      </c>
    </row>
    <row r="42" customFormat="false" ht="42" hidden="false" customHeight="true" outlineLevel="0" collapsed="false">
      <c r="A42" s="4"/>
      <c r="B42" s="4"/>
      <c r="C42" s="4"/>
      <c r="D42" s="4"/>
      <c r="E42" s="4"/>
      <c r="F42" s="4"/>
      <c r="G42" s="4"/>
      <c r="H42" s="17" t="s">
        <v>23</v>
      </c>
      <c r="I42" s="7" t="n">
        <f aca="false">Paramètres!$B$7</f>
        <v>50</v>
      </c>
      <c r="J42" s="15" t="s">
        <v>143</v>
      </c>
      <c r="K42" s="4" t="s">
        <v>144</v>
      </c>
    </row>
    <row r="43" customFormat="false" ht="42" hidden="false" customHeight="true" outlineLevel="0" collapsed="false">
      <c r="A43" s="4"/>
      <c r="B43" s="4"/>
      <c r="C43" s="4"/>
      <c r="D43" s="4"/>
      <c r="E43" s="4"/>
      <c r="F43" s="4"/>
      <c r="G43" s="4"/>
      <c r="H43" s="18" t="s">
        <v>10</v>
      </c>
      <c r="I43" s="7" t="n">
        <f aca="false">Paramètres!$B$8</f>
        <v>20</v>
      </c>
      <c r="J43" s="15" t="s">
        <v>145</v>
      </c>
      <c r="K43" s="4" t="s">
        <v>146</v>
      </c>
    </row>
    <row r="44" customFormat="false" ht="42" hidden="false" customHeight="true" outlineLevel="0" collapsed="false">
      <c r="A44" s="4"/>
      <c r="B44" s="4"/>
      <c r="C44" s="4"/>
      <c r="D44" s="4"/>
      <c r="E44" s="4"/>
      <c r="F44" s="4"/>
      <c r="G44" s="4"/>
      <c r="H44" s="19" t="s">
        <v>8</v>
      </c>
      <c r="I44" s="7" t="n">
        <f aca="false">Paramètres!$B$9</f>
        <v>20</v>
      </c>
      <c r="J44" s="15" t="s">
        <v>8</v>
      </c>
      <c r="K44" s="4" t="s">
        <v>147</v>
      </c>
    </row>
    <row r="45" customFormat="false" ht="42" hidden="false" customHeight="true" outlineLevel="0" collapsed="false">
      <c r="A45" s="4" t="s">
        <v>120</v>
      </c>
      <c r="B45" s="4" t="s">
        <v>121</v>
      </c>
      <c r="C45" s="12" t="s">
        <v>148</v>
      </c>
      <c r="D45" s="12" t="s">
        <v>149</v>
      </c>
      <c r="E45" s="13" t="n">
        <v>0.35</v>
      </c>
      <c r="F45" s="4" t="s">
        <v>150</v>
      </c>
      <c r="G45" s="4" t="s">
        <v>151</v>
      </c>
      <c r="H45" s="14" t="s">
        <v>19</v>
      </c>
      <c r="I45" s="7" t="n">
        <f aca="false">Paramètres!$B$5</f>
        <v>100</v>
      </c>
      <c r="J45" s="15" t="s">
        <v>152</v>
      </c>
      <c r="K45" s="4" t="s">
        <v>153</v>
      </c>
    </row>
    <row r="46" customFormat="false" ht="42" hidden="false" customHeight="true" outlineLevel="0" collapsed="false">
      <c r="A46" s="4"/>
      <c r="B46" s="4"/>
      <c r="C46" s="4"/>
      <c r="D46" s="4"/>
      <c r="E46" s="4"/>
      <c r="F46" s="4"/>
      <c r="G46" s="4"/>
      <c r="H46" s="16" t="s">
        <v>21</v>
      </c>
      <c r="I46" s="7" t="n">
        <f aca="false">Paramètres!$B$6</f>
        <v>80</v>
      </c>
      <c r="J46" s="15" t="s">
        <v>154</v>
      </c>
      <c r="K46" s="4" t="s">
        <v>155</v>
      </c>
    </row>
    <row r="47" customFormat="false" ht="42" hidden="false" customHeight="true" outlineLevel="0" collapsed="false">
      <c r="A47" s="4"/>
      <c r="B47" s="4"/>
      <c r="C47" s="4"/>
      <c r="D47" s="4"/>
      <c r="E47" s="4"/>
      <c r="F47" s="4"/>
      <c r="G47" s="4"/>
      <c r="H47" s="17" t="s">
        <v>23</v>
      </c>
      <c r="I47" s="7" t="n">
        <f aca="false">Paramètres!$B$7</f>
        <v>50</v>
      </c>
      <c r="J47" s="15" t="s">
        <v>156</v>
      </c>
      <c r="K47" s="4" t="s">
        <v>157</v>
      </c>
    </row>
    <row r="48" customFormat="false" ht="42" hidden="false" customHeight="true" outlineLevel="0" collapsed="false">
      <c r="A48" s="4"/>
      <c r="B48" s="4"/>
      <c r="C48" s="4"/>
      <c r="D48" s="4"/>
      <c r="E48" s="4"/>
      <c r="F48" s="4"/>
      <c r="G48" s="4"/>
      <c r="H48" s="18" t="s">
        <v>10</v>
      </c>
      <c r="I48" s="7" t="n">
        <f aca="false">Paramètres!$B$8</f>
        <v>20</v>
      </c>
      <c r="J48" s="15" t="s">
        <v>158</v>
      </c>
      <c r="K48" s="4" t="s">
        <v>159</v>
      </c>
    </row>
    <row r="49" customFormat="false" ht="42" hidden="false" customHeight="true" outlineLevel="0" collapsed="false">
      <c r="A49" s="4"/>
      <c r="B49" s="4"/>
      <c r="C49" s="4"/>
      <c r="D49" s="4"/>
      <c r="E49" s="4"/>
      <c r="F49" s="4"/>
      <c r="G49" s="4"/>
      <c r="H49" s="19" t="s">
        <v>8</v>
      </c>
      <c r="I49" s="7" t="n">
        <f aca="false">Paramètres!$B$9</f>
        <v>20</v>
      </c>
      <c r="J49" s="15" t="s">
        <v>8</v>
      </c>
      <c r="K49" s="4" t="s">
        <v>160</v>
      </c>
    </row>
    <row r="50" customFormat="false" ht="42" hidden="false" customHeight="true" outlineLevel="0" collapsed="false">
      <c r="A50" s="4" t="s">
        <v>161</v>
      </c>
      <c r="B50" s="4" t="s">
        <v>162</v>
      </c>
      <c r="C50" s="12" t="s">
        <v>163</v>
      </c>
      <c r="D50" s="12" t="s">
        <v>164</v>
      </c>
      <c r="E50" s="13" t="n">
        <v>0.45</v>
      </c>
      <c r="F50" s="4" t="s">
        <v>165</v>
      </c>
      <c r="G50" s="4" t="s">
        <v>166</v>
      </c>
      <c r="H50" s="14" t="s">
        <v>19</v>
      </c>
      <c r="I50" s="7" t="n">
        <f aca="false">Paramètres!$B$5</f>
        <v>100</v>
      </c>
      <c r="J50" s="15" t="s">
        <v>167</v>
      </c>
      <c r="K50" s="4" t="s">
        <v>168</v>
      </c>
    </row>
    <row r="51" customFormat="false" ht="42" hidden="false" customHeight="true" outlineLevel="0" collapsed="false">
      <c r="A51" s="4"/>
      <c r="B51" s="4"/>
      <c r="C51" s="4"/>
      <c r="D51" s="4"/>
      <c r="E51" s="4"/>
      <c r="F51" s="4"/>
      <c r="G51" s="4"/>
      <c r="H51" s="16" t="s">
        <v>21</v>
      </c>
      <c r="I51" s="7" t="n">
        <f aca="false">Paramètres!$B$6</f>
        <v>80</v>
      </c>
      <c r="J51" s="15" t="s">
        <v>169</v>
      </c>
      <c r="K51" s="4" t="s">
        <v>170</v>
      </c>
    </row>
    <row r="52" customFormat="false" ht="42" hidden="false" customHeight="true" outlineLevel="0" collapsed="false">
      <c r="A52" s="4"/>
      <c r="B52" s="4"/>
      <c r="C52" s="4"/>
      <c r="D52" s="4"/>
      <c r="E52" s="4"/>
      <c r="F52" s="4"/>
      <c r="G52" s="4"/>
      <c r="H52" s="17" t="s">
        <v>23</v>
      </c>
      <c r="I52" s="7" t="n">
        <f aca="false">Paramètres!$B$7</f>
        <v>50</v>
      </c>
      <c r="J52" s="15" t="s">
        <v>171</v>
      </c>
      <c r="K52" s="4" t="s">
        <v>172</v>
      </c>
    </row>
    <row r="53" customFormat="false" ht="42" hidden="false" customHeight="true" outlineLevel="0" collapsed="false">
      <c r="A53" s="4"/>
      <c r="B53" s="4"/>
      <c r="C53" s="4"/>
      <c r="D53" s="4"/>
      <c r="E53" s="4"/>
      <c r="F53" s="4"/>
      <c r="G53" s="4"/>
      <c r="H53" s="18" t="s">
        <v>10</v>
      </c>
      <c r="I53" s="7" t="n">
        <f aca="false">Paramètres!$B$8</f>
        <v>20</v>
      </c>
      <c r="J53" s="15" t="s">
        <v>173</v>
      </c>
      <c r="K53" s="4" t="s">
        <v>174</v>
      </c>
    </row>
    <row r="54" customFormat="false" ht="42" hidden="false" customHeight="true" outlineLevel="0" collapsed="false">
      <c r="A54" s="4"/>
      <c r="B54" s="4"/>
      <c r="C54" s="4"/>
      <c r="D54" s="4"/>
      <c r="E54" s="4"/>
      <c r="F54" s="4"/>
      <c r="G54" s="4"/>
      <c r="H54" s="19" t="s">
        <v>8</v>
      </c>
      <c r="I54" s="7" t="n">
        <f aca="false">Paramètres!$B$9</f>
        <v>20</v>
      </c>
      <c r="J54" s="15" t="s">
        <v>8</v>
      </c>
      <c r="K54" s="4" t="s">
        <v>175</v>
      </c>
    </row>
    <row r="55" customFormat="false" ht="42" hidden="false" customHeight="true" outlineLevel="0" collapsed="false">
      <c r="A55" s="4" t="s">
        <v>161</v>
      </c>
      <c r="B55" s="4" t="s">
        <v>162</v>
      </c>
      <c r="C55" s="12" t="s">
        <v>176</v>
      </c>
      <c r="D55" s="12" t="s">
        <v>177</v>
      </c>
      <c r="E55" s="13" t="n">
        <v>0.3</v>
      </c>
      <c r="F55" s="4" t="s">
        <v>178</v>
      </c>
      <c r="G55" s="4" t="s">
        <v>179</v>
      </c>
      <c r="H55" s="14" t="s">
        <v>19</v>
      </c>
      <c r="I55" s="7" t="n">
        <f aca="false">Paramètres!$B$5</f>
        <v>100</v>
      </c>
      <c r="J55" s="15" t="s">
        <v>180</v>
      </c>
      <c r="K55" s="4" t="s">
        <v>181</v>
      </c>
    </row>
    <row r="56" customFormat="false" ht="42" hidden="false" customHeight="true" outlineLevel="0" collapsed="false">
      <c r="A56" s="4"/>
      <c r="B56" s="4"/>
      <c r="C56" s="4"/>
      <c r="D56" s="4"/>
      <c r="E56" s="4"/>
      <c r="F56" s="4"/>
      <c r="G56" s="4"/>
      <c r="H56" s="16" t="s">
        <v>21</v>
      </c>
      <c r="I56" s="7" t="n">
        <f aca="false">Paramètres!$B$6</f>
        <v>80</v>
      </c>
      <c r="J56" s="15" t="s">
        <v>182</v>
      </c>
      <c r="K56" s="4" t="s">
        <v>183</v>
      </c>
    </row>
    <row r="57" customFormat="false" ht="42" hidden="false" customHeight="true" outlineLevel="0" collapsed="false">
      <c r="A57" s="4"/>
      <c r="B57" s="4"/>
      <c r="C57" s="4"/>
      <c r="D57" s="4"/>
      <c r="E57" s="4"/>
      <c r="F57" s="4"/>
      <c r="G57" s="4"/>
      <c r="H57" s="17" t="s">
        <v>23</v>
      </c>
      <c r="I57" s="7" t="n">
        <f aca="false">Paramètres!$B$7</f>
        <v>50</v>
      </c>
      <c r="J57" s="15" t="s">
        <v>184</v>
      </c>
      <c r="K57" s="4" t="s">
        <v>185</v>
      </c>
    </row>
    <row r="58" customFormat="false" ht="42" hidden="false" customHeight="true" outlineLevel="0" collapsed="false">
      <c r="A58" s="4"/>
      <c r="B58" s="4"/>
      <c r="C58" s="4"/>
      <c r="D58" s="4"/>
      <c r="E58" s="4"/>
      <c r="F58" s="4"/>
      <c r="G58" s="4"/>
      <c r="H58" s="18" t="s">
        <v>10</v>
      </c>
      <c r="I58" s="7" t="n">
        <f aca="false">Paramètres!$B$8</f>
        <v>20</v>
      </c>
      <c r="J58" s="15" t="s">
        <v>186</v>
      </c>
      <c r="K58" s="4" t="s">
        <v>187</v>
      </c>
    </row>
    <row r="59" customFormat="false" ht="42" hidden="false" customHeight="true" outlineLevel="0" collapsed="false">
      <c r="A59" s="4"/>
      <c r="B59" s="4"/>
      <c r="C59" s="4"/>
      <c r="D59" s="4"/>
      <c r="E59" s="4"/>
      <c r="F59" s="4"/>
      <c r="G59" s="4"/>
      <c r="H59" s="19" t="s">
        <v>8</v>
      </c>
      <c r="I59" s="7" t="n">
        <f aca="false">Paramètres!$B$9</f>
        <v>20</v>
      </c>
      <c r="J59" s="15" t="s">
        <v>8</v>
      </c>
      <c r="K59" s="4" t="s">
        <v>188</v>
      </c>
    </row>
    <row r="60" customFormat="false" ht="42" hidden="false" customHeight="true" outlineLevel="0" collapsed="false">
      <c r="A60" s="4" t="s">
        <v>161</v>
      </c>
      <c r="B60" s="4" t="s">
        <v>162</v>
      </c>
      <c r="C60" s="12" t="s">
        <v>189</v>
      </c>
      <c r="D60" s="12" t="s">
        <v>190</v>
      </c>
      <c r="E60" s="13" t="n">
        <v>0.25</v>
      </c>
      <c r="F60" s="4" t="s">
        <v>191</v>
      </c>
      <c r="G60" s="4" t="s">
        <v>192</v>
      </c>
      <c r="H60" s="14" t="s">
        <v>19</v>
      </c>
      <c r="I60" s="7" t="n">
        <f aca="false">Paramètres!$B$5</f>
        <v>100</v>
      </c>
      <c r="J60" s="15" t="s">
        <v>193</v>
      </c>
      <c r="K60" s="4" t="s">
        <v>194</v>
      </c>
    </row>
    <row r="61" customFormat="false" ht="42" hidden="false" customHeight="true" outlineLevel="0" collapsed="false">
      <c r="A61" s="4"/>
      <c r="B61" s="4"/>
      <c r="C61" s="4"/>
      <c r="D61" s="4"/>
      <c r="E61" s="4"/>
      <c r="F61" s="4"/>
      <c r="G61" s="4"/>
      <c r="H61" s="16" t="s">
        <v>21</v>
      </c>
      <c r="I61" s="7" t="n">
        <f aca="false">Paramètres!$B$6</f>
        <v>80</v>
      </c>
      <c r="J61" s="15" t="s">
        <v>195</v>
      </c>
      <c r="K61" s="4" t="s">
        <v>196</v>
      </c>
    </row>
    <row r="62" customFormat="false" ht="42" hidden="false" customHeight="true" outlineLevel="0" collapsed="false">
      <c r="A62" s="4"/>
      <c r="B62" s="4"/>
      <c r="C62" s="4"/>
      <c r="D62" s="4"/>
      <c r="E62" s="4"/>
      <c r="F62" s="4"/>
      <c r="G62" s="4"/>
      <c r="H62" s="17" t="s">
        <v>23</v>
      </c>
      <c r="I62" s="7" t="n">
        <f aca="false">Paramètres!$B$7</f>
        <v>50</v>
      </c>
      <c r="J62" s="15" t="s">
        <v>197</v>
      </c>
      <c r="K62" s="4" t="s">
        <v>198</v>
      </c>
    </row>
    <row r="63" customFormat="false" ht="42" hidden="false" customHeight="true" outlineLevel="0" collapsed="false">
      <c r="A63" s="4"/>
      <c r="B63" s="4"/>
      <c r="C63" s="4"/>
      <c r="D63" s="4"/>
      <c r="E63" s="4"/>
      <c r="F63" s="4"/>
      <c r="G63" s="4"/>
      <c r="H63" s="18" t="s">
        <v>10</v>
      </c>
      <c r="I63" s="7" t="n">
        <f aca="false">Paramètres!$B$8</f>
        <v>20</v>
      </c>
      <c r="J63" s="15" t="s">
        <v>199</v>
      </c>
      <c r="K63" s="4" t="s">
        <v>200</v>
      </c>
    </row>
    <row r="64" customFormat="false" ht="42" hidden="false" customHeight="true" outlineLevel="0" collapsed="false">
      <c r="A64" s="4"/>
      <c r="B64" s="4"/>
      <c r="C64" s="4"/>
      <c r="D64" s="4"/>
      <c r="E64" s="4"/>
      <c r="F64" s="4"/>
      <c r="G64" s="4"/>
      <c r="H64" s="19" t="s">
        <v>8</v>
      </c>
      <c r="I64" s="7" t="n">
        <f aca="false">Paramètres!$B$9</f>
        <v>20</v>
      </c>
      <c r="J64" s="15" t="s">
        <v>8</v>
      </c>
      <c r="K64" s="4" t="s">
        <v>201</v>
      </c>
    </row>
    <row r="65" customFormat="false" ht="42" hidden="false" customHeight="true" outlineLevel="0" collapsed="false">
      <c r="A65" s="4" t="s">
        <v>202</v>
      </c>
      <c r="B65" s="4" t="s">
        <v>162</v>
      </c>
      <c r="C65" s="12" t="s">
        <v>203</v>
      </c>
      <c r="D65" s="12" t="s">
        <v>204</v>
      </c>
      <c r="E65" s="13" t="n">
        <v>0.35</v>
      </c>
      <c r="F65" s="4" t="s">
        <v>205</v>
      </c>
      <c r="G65" s="4" t="s">
        <v>206</v>
      </c>
      <c r="H65" s="14" t="s">
        <v>19</v>
      </c>
      <c r="I65" s="7" t="n">
        <f aca="false">Paramètres!$B$5</f>
        <v>100</v>
      </c>
      <c r="J65" s="15" t="s">
        <v>207</v>
      </c>
      <c r="K65" s="4" t="s">
        <v>208</v>
      </c>
    </row>
    <row r="66" customFormat="false" ht="42" hidden="false" customHeight="true" outlineLevel="0" collapsed="false">
      <c r="A66" s="4"/>
      <c r="B66" s="4"/>
      <c r="C66" s="4"/>
      <c r="D66" s="4"/>
      <c r="E66" s="4"/>
      <c r="F66" s="4"/>
      <c r="G66" s="4"/>
      <c r="H66" s="16" t="s">
        <v>21</v>
      </c>
      <c r="I66" s="7" t="n">
        <f aca="false">Paramètres!$B$6</f>
        <v>80</v>
      </c>
      <c r="J66" s="15" t="s">
        <v>209</v>
      </c>
      <c r="K66" s="4" t="s">
        <v>210</v>
      </c>
    </row>
    <row r="67" customFormat="false" ht="42" hidden="false" customHeight="true" outlineLevel="0" collapsed="false">
      <c r="A67" s="4"/>
      <c r="B67" s="4"/>
      <c r="C67" s="4"/>
      <c r="D67" s="4"/>
      <c r="E67" s="4"/>
      <c r="F67" s="4"/>
      <c r="G67" s="4"/>
      <c r="H67" s="17" t="s">
        <v>23</v>
      </c>
      <c r="I67" s="7" t="n">
        <f aca="false">Paramètres!$B$7</f>
        <v>50</v>
      </c>
      <c r="J67" s="15" t="s">
        <v>211</v>
      </c>
      <c r="K67" s="4" t="s">
        <v>212</v>
      </c>
    </row>
    <row r="68" customFormat="false" ht="42" hidden="false" customHeight="true" outlineLevel="0" collapsed="false">
      <c r="A68" s="4"/>
      <c r="B68" s="4"/>
      <c r="C68" s="4"/>
      <c r="D68" s="4"/>
      <c r="E68" s="4"/>
      <c r="F68" s="4"/>
      <c r="G68" s="4"/>
      <c r="H68" s="18" t="s">
        <v>10</v>
      </c>
      <c r="I68" s="7" t="n">
        <f aca="false">Paramètres!$B$8</f>
        <v>20</v>
      </c>
      <c r="J68" s="15" t="s">
        <v>213</v>
      </c>
      <c r="K68" s="4" t="s">
        <v>214</v>
      </c>
    </row>
    <row r="69" customFormat="false" ht="42" hidden="false" customHeight="true" outlineLevel="0" collapsed="false">
      <c r="A69" s="4"/>
      <c r="B69" s="4"/>
      <c r="C69" s="4"/>
      <c r="D69" s="4"/>
      <c r="E69" s="4"/>
      <c r="F69" s="4"/>
      <c r="G69" s="4"/>
      <c r="H69" s="19" t="s">
        <v>8</v>
      </c>
      <c r="I69" s="7" t="n">
        <f aca="false">Paramètres!$B$9</f>
        <v>20</v>
      </c>
      <c r="J69" s="15" t="s">
        <v>8</v>
      </c>
      <c r="K69" s="4" t="s">
        <v>215</v>
      </c>
    </row>
    <row r="70" customFormat="false" ht="42" hidden="false" customHeight="true" outlineLevel="0" collapsed="false">
      <c r="A70" s="4" t="s">
        <v>202</v>
      </c>
      <c r="B70" s="4" t="s">
        <v>162</v>
      </c>
      <c r="C70" s="12" t="s">
        <v>216</v>
      </c>
      <c r="D70" s="12" t="s">
        <v>217</v>
      </c>
      <c r="E70" s="13" t="n">
        <v>0.4</v>
      </c>
      <c r="F70" s="4" t="s">
        <v>218</v>
      </c>
      <c r="G70" s="4" t="s">
        <v>219</v>
      </c>
      <c r="H70" s="14" t="s">
        <v>19</v>
      </c>
      <c r="I70" s="7" t="n">
        <f aca="false">Paramètres!$B$5</f>
        <v>100</v>
      </c>
      <c r="J70" s="15" t="s">
        <v>220</v>
      </c>
      <c r="K70" s="4" t="s">
        <v>221</v>
      </c>
    </row>
    <row r="71" customFormat="false" ht="42" hidden="false" customHeight="true" outlineLevel="0" collapsed="false">
      <c r="A71" s="4"/>
      <c r="B71" s="4"/>
      <c r="C71" s="4"/>
      <c r="D71" s="4"/>
      <c r="E71" s="4"/>
      <c r="F71" s="4"/>
      <c r="G71" s="4"/>
      <c r="H71" s="16" t="s">
        <v>21</v>
      </c>
      <c r="I71" s="7" t="n">
        <f aca="false">Paramètres!$B$6</f>
        <v>80</v>
      </c>
      <c r="J71" s="15" t="s">
        <v>222</v>
      </c>
      <c r="K71" s="4" t="s">
        <v>223</v>
      </c>
    </row>
    <row r="72" customFormat="false" ht="42" hidden="false" customHeight="true" outlineLevel="0" collapsed="false">
      <c r="A72" s="4"/>
      <c r="B72" s="4"/>
      <c r="C72" s="4"/>
      <c r="D72" s="4"/>
      <c r="E72" s="4"/>
      <c r="F72" s="4"/>
      <c r="G72" s="4"/>
      <c r="H72" s="17" t="s">
        <v>23</v>
      </c>
      <c r="I72" s="7" t="n">
        <f aca="false">Paramètres!$B$7</f>
        <v>50</v>
      </c>
      <c r="J72" s="15" t="s">
        <v>224</v>
      </c>
      <c r="K72" s="4" t="s">
        <v>225</v>
      </c>
    </row>
    <row r="73" customFormat="false" ht="42" hidden="false" customHeight="true" outlineLevel="0" collapsed="false">
      <c r="A73" s="4"/>
      <c r="B73" s="4"/>
      <c r="C73" s="4"/>
      <c r="D73" s="4"/>
      <c r="E73" s="4"/>
      <c r="F73" s="4"/>
      <c r="G73" s="4"/>
      <c r="H73" s="18" t="s">
        <v>10</v>
      </c>
      <c r="I73" s="7" t="n">
        <f aca="false">Paramètres!$B$8</f>
        <v>20</v>
      </c>
      <c r="J73" s="15" t="s">
        <v>226</v>
      </c>
      <c r="K73" s="4" t="s">
        <v>227</v>
      </c>
    </row>
    <row r="74" customFormat="false" ht="42" hidden="false" customHeight="true" outlineLevel="0" collapsed="false">
      <c r="A74" s="4"/>
      <c r="B74" s="4"/>
      <c r="C74" s="4"/>
      <c r="D74" s="4"/>
      <c r="E74" s="4"/>
      <c r="F74" s="4"/>
      <c r="G74" s="4"/>
      <c r="H74" s="19" t="s">
        <v>8</v>
      </c>
      <c r="I74" s="7" t="n">
        <f aca="false">Paramètres!$B$9</f>
        <v>20</v>
      </c>
      <c r="J74" s="15" t="s">
        <v>8</v>
      </c>
      <c r="K74" s="4" t="s">
        <v>228</v>
      </c>
    </row>
    <row r="75" customFormat="false" ht="42" hidden="false" customHeight="true" outlineLevel="0" collapsed="false">
      <c r="A75" s="4" t="s">
        <v>202</v>
      </c>
      <c r="B75" s="4" t="s">
        <v>162</v>
      </c>
      <c r="C75" s="12" t="s">
        <v>229</v>
      </c>
      <c r="D75" s="12" t="s">
        <v>230</v>
      </c>
      <c r="E75" s="13" t="n">
        <v>0.25</v>
      </c>
      <c r="F75" s="4" t="s">
        <v>231</v>
      </c>
      <c r="G75" s="4" t="s">
        <v>232</v>
      </c>
      <c r="H75" s="14" t="s">
        <v>19</v>
      </c>
      <c r="I75" s="7" t="n">
        <f aca="false">Paramètres!$B$5</f>
        <v>100</v>
      </c>
      <c r="J75" s="15" t="s">
        <v>233</v>
      </c>
      <c r="K75" s="4" t="s">
        <v>234</v>
      </c>
    </row>
    <row r="76" customFormat="false" ht="42" hidden="false" customHeight="true" outlineLevel="0" collapsed="false">
      <c r="A76" s="4"/>
      <c r="B76" s="4"/>
      <c r="C76" s="4"/>
      <c r="D76" s="4"/>
      <c r="E76" s="4"/>
      <c r="F76" s="4"/>
      <c r="G76" s="4"/>
      <c r="H76" s="16" t="s">
        <v>21</v>
      </c>
      <c r="I76" s="7" t="n">
        <f aca="false">Paramètres!$B$6</f>
        <v>80</v>
      </c>
      <c r="J76" s="15" t="s">
        <v>235</v>
      </c>
      <c r="K76" s="4" t="s">
        <v>236</v>
      </c>
    </row>
    <row r="77" customFormat="false" ht="42" hidden="false" customHeight="true" outlineLevel="0" collapsed="false">
      <c r="A77" s="4"/>
      <c r="B77" s="4"/>
      <c r="C77" s="4"/>
      <c r="D77" s="4"/>
      <c r="E77" s="4"/>
      <c r="F77" s="4"/>
      <c r="G77" s="4"/>
      <c r="H77" s="17" t="s">
        <v>23</v>
      </c>
      <c r="I77" s="7" t="n">
        <f aca="false">Paramètres!$B$7</f>
        <v>50</v>
      </c>
      <c r="J77" s="15" t="s">
        <v>237</v>
      </c>
      <c r="K77" s="4" t="s">
        <v>238</v>
      </c>
    </row>
    <row r="78" customFormat="false" ht="42" hidden="false" customHeight="true" outlineLevel="0" collapsed="false">
      <c r="A78" s="4"/>
      <c r="B78" s="4"/>
      <c r="C78" s="4"/>
      <c r="D78" s="4"/>
      <c r="E78" s="4"/>
      <c r="F78" s="4"/>
      <c r="G78" s="4"/>
      <c r="H78" s="18" t="s">
        <v>10</v>
      </c>
      <c r="I78" s="7" t="n">
        <f aca="false">Paramètres!$B$8</f>
        <v>20</v>
      </c>
      <c r="J78" s="15" t="s">
        <v>239</v>
      </c>
      <c r="K78" s="4" t="s">
        <v>240</v>
      </c>
    </row>
    <row r="79" customFormat="false" ht="42" hidden="false" customHeight="true" outlineLevel="0" collapsed="false">
      <c r="A79" s="4"/>
      <c r="B79" s="4"/>
      <c r="C79" s="4"/>
      <c r="D79" s="4"/>
      <c r="E79" s="4"/>
      <c r="F79" s="4"/>
      <c r="G79" s="4"/>
      <c r="H79" s="19" t="s">
        <v>8</v>
      </c>
      <c r="I79" s="7" t="n">
        <f aca="false">Paramètres!$B$9</f>
        <v>20</v>
      </c>
      <c r="J79" s="15" t="s">
        <v>8</v>
      </c>
      <c r="K79" s="4" t="s">
        <v>241</v>
      </c>
    </row>
    <row r="80" customFormat="false" ht="42" hidden="false" customHeight="true" outlineLevel="0" collapsed="false">
      <c r="A80" s="4" t="s">
        <v>242</v>
      </c>
      <c r="B80" s="4" t="s">
        <v>243</v>
      </c>
      <c r="C80" s="12" t="s">
        <v>244</v>
      </c>
      <c r="D80" s="12" t="s">
        <v>245</v>
      </c>
      <c r="E80" s="13" t="n">
        <v>0.5</v>
      </c>
      <c r="F80" s="4" t="s">
        <v>246</v>
      </c>
      <c r="G80" s="4" t="s">
        <v>247</v>
      </c>
      <c r="H80" s="14" t="s">
        <v>19</v>
      </c>
      <c r="I80" s="7" t="n">
        <f aca="false">Paramètres!$B$5</f>
        <v>100</v>
      </c>
      <c r="J80" s="15" t="s">
        <v>248</v>
      </c>
      <c r="K80" s="4" t="s">
        <v>249</v>
      </c>
    </row>
    <row r="81" customFormat="false" ht="42" hidden="false" customHeight="true" outlineLevel="0" collapsed="false">
      <c r="A81" s="4"/>
      <c r="B81" s="4"/>
      <c r="C81" s="4"/>
      <c r="D81" s="4"/>
      <c r="E81" s="4"/>
      <c r="F81" s="4"/>
      <c r="G81" s="4"/>
      <c r="H81" s="16" t="s">
        <v>21</v>
      </c>
      <c r="I81" s="7" t="n">
        <f aca="false">Paramètres!$B$6</f>
        <v>80</v>
      </c>
      <c r="J81" s="15" t="s">
        <v>250</v>
      </c>
      <c r="K81" s="4" t="s">
        <v>251</v>
      </c>
    </row>
    <row r="82" customFormat="false" ht="42" hidden="false" customHeight="true" outlineLevel="0" collapsed="false">
      <c r="A82" s="4"/>
      <c r="B82" s="4"/>
      <c r="C82" s="4"/>
      <c r="D82" s="4"/>
      <c r="E82" s="4"/>
      <c r="F82" s="4"/>
      <c r="G82" s="4"/>
      <c r="H82" s="17" t="s">
        <v>23</v>
      </c>
      <c r="I82" s="7" t="n">
        <f aca="false">Paramètres!$B$7</f>
        <v>50</v>
      </c>
      <c r="J82" s="15" t="s">
        <v>252</v>
      </c>
      <c r="K82" s="4" t="s">
        <v>253</v>
      </c>
    </row>
    <row r="83" customFormat="false" ht="42" hidden="false" customHeight="true" outlineLevel="0" collapsed="false">
      <c r="A83" s="4"/>
      <c r="B83" s="4"/>
      <c r="C83" s="4"/>
      <c r="D83" s="4"/>
      <c r="E83" s="4"/>
      <c r="F83" s="4"/>
      <c r="G83" s="4"/>
      <c r="H83" s="18" t="s">
        <v>10</v>
      </c>
      <c r="I83" s="7" t="n">
        <f aca="false">Paramètres!$B$8</f>
        <v>20</v>
      </c>
      <c r="J83" s="15" t="s">
        <v>254</v>
      </c>
      <c r="K83" s="4" t="s">
        <v>255</v>
      </c>
    </row>
    <row r="84" customFormat="false" ht="42" hidden="false" customHeight="true" outlineLevel="0" collapsed="false">
      <c r="A84" s="4"/>
      <c r="B84" s="4"/>
      <c r="C84" s="4"/>
      <c r="D84" s="4"/>
      <c r="E84" s="4"/>
      <c r="F84" s="4"/>
      <c r="G84" s="4"/>
      <c r="H84" s="19" t="s">
        <v>8</v>
      </c>
      <c r="I84" s="7" t="n">
        <f aca="false">Paramètres!$B$9</f>
        <v>20</v>
      </c>
      <c r="J84" s="15" t="s">
        <v>8</v>
      </c>
      <c r="K84" s="4" t="s">
        <v>256</v>
      </c>
    </row>
    <row r="85" customFormat="false" ht="42" hidden="false" customHeight="true" outlineLevel="0" collapsed="false">
      <c r="A85" s="4" t="s">
        <v>242</v>
      </c>
      <c r="B85" s="4" t="s">
        <v>243</v>
      </c>
      <c r="C85" s="12" t="s">
        <v>257</v>
      </c>
      <c r="D85" s="12" t="s">
        <v>258</v>
      </c>
      <c r="E85" s="13" t="n">
        <v>0.2</v>
      </c>
      <c r="F85" s="4" t="s">
        <v>259</v>
      </c>
      <c r="G85" s="4" t="s">
        <v>260</v>
      </c>
      <c r="H85" s="14" t="s">
        <v>19</v>
      </c>
      <c r="I85" s="7" t="n">
        <f aca="false">Paramètres!$B$5</f>
        <v>100</v>
      </c>
      <c r="J85" s="15" t="s">
        <v>261</v>
      </c>
      <c r="K85" s="4" t="s">
        <v>262</v>
      </c>
    </row>
    <row r="86" customFormat="false" ht="42" hidden="false" customHeight="true" outlineLevel="0" collapsed="false">
      <c r="A86" s="4"/>
      <c r="B86" s="4"/>
      <c r="C86" s="4"/>
      <c r="D86" s="4"/>
      <c r="E86" s="4"/>
      <c r="F86" s="4"/>
      <c r="G86" s="4"/>
      <c r="H86" s="16" t="s">
        <v>21</v>
      </c>
      <c r="I86" s="7" t="n">
        <f aca="false">Paramètres!$B$6</f>
        <v>80</v>
      </c>
      <c r="J86" s="15" t="s">
        <v>263</v>
      </c>
      <c r="K86" s="4" t="s">
        <v>264</v>
      </c>
    </row>
    <row r="87" customFormat="false" ht="42" hidden="false" customHeight="true" outlineLevel="0" collapsed="false">
      <c r="A87" s="4"/>
      <c r="B87" s="4"/>
      <c r="C87" s="4"/>
      <c r="D87" s="4"/>
      <c r="E87" s="4"/>
      <c r="F87" s="4"/>
      <c r="G87" s="4"/>
      <c r="H87" s="17" t="s">
        <v>23</v>
      </c>
      <c r="I87" s="7" t="n">
        <f aca="false">Paramètres!$B$7</f>
        <v>50</v>
      </c>
      <c r="J87" s="15" t="s">
        <v>265</v>
      </c>
      <c r="K87" s="4" t="s">
        <v>266</v>
      </c>
    </row>
    <row r="88" customFormat="false" ht="42" hidden="false" customHeight="true" outlineLevel="0" collapsed="false">
      <c r="A88" s="4"/>
      <c r="B88" s="4"/>
      <c r="C88" s="4"/>
      <c r="D88" s="4"/>
      <c r="E88" s="4"/>
      <c r="F88" s="4"/>
      <c r="G88" s="4"/>
      <c r="H88" s="18" t="s">
        <v>10</v>
      </c>
      <c r="I88" s="7" t="n">
        <f aca="false">Paramètres!$B$8</f>
        <v>20</v>
      </c>
      <c r="J88" s="15" t="s">
        <v>267</v>
      </c>
      <c r="K88" s="4" t="s">
        <v>268</v>
      </c>
    </row>
    <row r="89" customFormat="false" ht="42" hidden="false" customHeight="true" outlineLevel="0" collapsed="false">
      <c r="A89" s="4"/>
      <c r="B89" s="4"/>
      <c r="C89" s="4"/>
      <c r="D89" s="4"/>
      <c r="E89" s="4"/>
      <c r="F89" s="4"/>
      <c r="G89" s="4"/>
      <c r="H89" s="19" t="s">
        <v>8</v>
      </c>
      <c r="I89" s="7" t="n">
        <f aca="false">Paramètres!$B$9</f>
        <v>20</v>
      </c>
      <c r="J89" s="15" t="s">
        <v>8</v>
      </c>
      <c r="K89" s="4" t="s">
        <v>269</v>
      </c>
    </row>
    <row r="90" customFormat="false" ht="42" hidden="false" customHeight="true" outlineLevel="0" collapsed="false">
      <c r="A90" s="4" t="s">
        <v>242</v>
      </c>
      <c r="B90" s="4" t="s">
        <v>243</v>
      </c>
      <c r="C90" s="12" t="s">
        <v>270</v>
      </c>
      <c r="D90" s="12" t="s">
        <v>271</v>
      </c>
      <c r="E90" s="13" t="n">
        <v>0.3</v>
      </c>
      <c r="F90" s="4" t="s">
        <v>272</v>
      </c>
      <c r="G90" s="4" t="s">
        <v>273</v>
      </c>
      <c r="H90" s="14" t="s">
        <v>19</v>
      </c>
      <c r="I90" s="7" t="n">
        <f aca="false">Paramètres!$B$5</f>
        <v>100</v>
      </c>
      <c r="J90" s="15" t="s">
        <v>274</v>
      </c>
      <c r="K90" s="4" t="s">
        <v>275</v>
      </c>
    </row>
    <row r="91" customFormat="false" ht="42" hidden="false" customHeight="true" outlineLevel="0" collapsed="false">
      <c r="A91" s="4"/>
      <c r="B91" s="4"/>
      <c r="C91" s="4"/>
      <c r="D91" s="4"/>
      <c r="E91" s="4"/>
      <c r="F91" s="4"/>
      <c r="G91" s="4"/>
      <c r="H91" s="16" t="s">
        <v>21</v>
      </c>
      <c r="I91" s="7" t="n">
        <f aca="false">Paramètres!$B$6</f>
        <v>80</v>
      </c>
      <c r="J91" s="15" t="s">
        <v>276</v>
      </c>
      <c r="K91" s="4" t="s">
        <v>277</v>
      </c>
    </row>
    <row r="92" customFormat="false" ht="42" hidden="false" customHeight="true" outlineLevel="0" collapsed="false">
      <c r="A92" s="4"/>
      <c r="B92" s="4"/>
      <c r="C92" s="4"/>
      <c r="D92" s="4"/>
      <c r="E92" s="4"/>
      <c r="F92" s="4"/>
      <c r="G92" s="4"/>
      <c r="H92" s="17" t="s">
        <v>23</v>
      </c>
      <c r="I92" s="7" t="n">
        <f aca="false">Paramètres!$B$7</f>
        <v>50</v>
      </c>
      <c r="J92" s="15" t="s">
        <v>278</v>
      </c>
      <c r="K92" s="4" t="s">
        <v>279</v>
      </c>
    </row>
    <row r="93" customFormat="false" ht="42" hidden="false" customHeight="true" outlineLevel="0" collapsed="false">
      <c r="A93" s="4"/>
      <c r="B93" s="4"/>
      <c r="C93" s="4"/>
      <c r="D93" s="4"/>
      <c r="E93" s="4"/>
      <c r="F93" s="4"/>
      <c r="G93" s="4"/>
      <c r="H93" s="18" t="s">
        <v>10</v>
      </c>
      <c r="I93" s="7" t="n">
        <f aca="false">Paramètres!$B$8</f>
        <v>20</v>
      </c>
      <c r="J93" s="15" t="s">
        <v>280</v>
      </c>
      <c r="K93" s="4" t="s">
        <v>281</v>
      </c>
    </row>
    <row r="94" customFormat="false" ht="42" hidden="false" customHeight="true" outlineLevel="0" collapsed="false">
      <c r="A94" s="4"/>
      <c r="B94" s="4"/>
      <c r="C94" s="4"/>
      <c r="D94" s="4"/>
      <c r="E94" s="4"/>
      <c r="F94" s="4"/>
      <c r="G94" s="4"/>
      <c r="H94" s="19" t="s">
        <v>8</v>
      </c>
      <c r="I94" s="7" t="n">
        <f aca="false">Paramètres!$B$9</f>
        <v>20</v>
      </c>
      <c r="J94" s="15" t="s">
        <v>8</v>
      </c>
      <c r="K94" s="4" t="s">
        <v>282</v>
      </c>
    </row>
    <row r="95" customFormat="false" ht="42" hidden="false" customHeight="true" outlineLevel="0" collapsed="false">
      <c r="A95" s="4" t="s">
        <v>283</v>
      </c>
      <c r="B95" s="4" t="s">
        <v>284</v>
      </c>
      <c r="C95" s="12" t="s">
        <v>285</v>
      </c>
      <c r="D95" s="12" t="s">
        <v>286</v>
      </c>
      <c r="E95" s="13" t="n">
        <v>0.35</v>
      </c>
      <c r="F95" s="4" t="s">
        <v>287</v>
      </c>
      <c r="G95" s="4" t="s">
        <v>288</v>
      </c>
      <c r="H95" s="14" t="s">
        <v>19</v>
      </c>
      <c r="I95" s="7" t="n">
        <f aca="false">Paramètres!$B$5</f>
        <v>100</v>
      </c>
      <c r="J95" s="15" t="s">
        <v>289</v>
      </c>
      <c r="K95" s="4" t="s">
        <v>290</v>
      </c>
    </row>
    <row r="96" customFormat="false" ht="42" hidden="false" customHeight="true" outlineLevel="0" collapsed="false">
      <c r="A96" s="4"/>
      <c r="B96" s="4"/>
      <c r="C96" s="4"/>
      <c r="D96" s="4"/>
      <c r="E96" s="4"/>
      <c r="F96" s="4"/>
      <c r="G96" s="4"/>
      <c r="H96" s="16" t="s">
        <v>21</v>
      </c>
      <c r="I96" s="7" t="n">
        <f aca="false">Paramètres!$B$6</f>
        <v>80</v>
      </c>
      <c r="J96" s="15" t="s">
        <v>291</v>
      </c>
      <c r="K96" s="4" t="s">
        <v>292</v>
      </c>
    </row>
    <row r="97" customFormat="false" ht="42" hidden="false" customHeight="true" outlineLevel="0" collapsed="false">
      <c r="A97" s="4"/>
      <c r="B97" s="4"/>
      <c r="C97" s="4"/>
      <c r="D97" s="4"/>
      <c r="E97" s="4"/>
      <c r="F97" s="4"/>
      <c r="G97" s="4"/>
      <c r="H97" s="17" t="s">
        <v>23</v>
      </c>
      <c r="I97" s="7" t="n">
        <f aca="false">Paramètres!$B$7</f>
        <v>50</v>
      </c>
      <c r="J97" s="15" t="s">
        <v>293</v>
      </c>
      <c r="K97" s="4" t="s">
        <v>294</v>
      </c>
    </row>
    <row r="98" customFormat="false" ht="42" hidden="false" customHeight="true" outlineLevel="0" collapsed="false">
      <c r="A98" s="4"/>
      <c r="B98" s="4"/>
      <c r="C98" s="4"/>
      <c r="D98" s="4"/>
      <c r="E98" s="4"/>
      <c r="F98" s="4"/>
      <c r="G98" s="4"/>
      <c r="H98" s="18" t="s">
        <v>10</v>
      </c>
      <c r="I98" s="7" t="n">
        <f aca="false">Paramètres!$B$8</f>
        <v>20</v>
      </c>
      <c r="J98" s="15" t="s">
        <v>295</v>
      </c>
      <c r="K98" s="4" t="s">
        <v>296</v>
      </c>
    </row>
    <row r="99" customFormat="false" ht="42" hidden="false" customHeight="true" outlineLevel="0" collapsed="false">
      <c r="A99" s="4"/>
      <c r="B99" s="4"/>
      <c r="C99" s="4"/>
      <c r="D99" s="4"/>
      <c r="E99" s="4"/>
      <c r="F99" s="4"/>
      <c r="G99" s="4"/>
      <c r="H99" s="19" t="s">
        <v>8</v>
      </c>
      <c r="I99" s="7" t="n">
        <f aca="false">Paramètres!$B$9</f>
        <v>20</v>
      </c>
      <c r="J99" s="15" t="s">
        <v>8</v>
      </c>
      <c r="K99" s="4" t="s">
        <v>297</v>
      </c>
    </row>
    <row r="100" customFormat="false" ht="42" hidden="false" customHeight="true" outlineLevel="0" collapsed="false">
      <c r="A100" s="4" t="s">
        <v>283</v>
      </c>
      <c r="B100" s="4" t="s">
        <v>284</v>
      </c>
      <c r="C100" s="12" t="s">
        <v>298</v>
      </c>
      <c r="D100" s="12" t="s">
        <v>299</v>
      </c>
      <c r="E100" s="13" t="n">
        <v>0.4</v>
      </c>
      <c r="F100" s="4" t="s">
        <v>300</v>
      </c>
      <c r="G100" s="4" t="s">
        <v>301</v>
      </c>
      <c r="H100" s="14" t="s">
        <v>19</v>
      </c>
      <c r="I100" s="7" t="n">
        <f aca="false">Paramètres!$B$5</f>
        <v>100</v>
      </c>
      <c r="J100" s="15" t="s">
        <v>302</v>
      </c>
      <c r="K100" s="4" t="s">
        <v>303</v>
      </c>
    </row>
    <row r="101" customFormat="false" ht="42" hidden="false" customHeight="true" outlineLevel="0" collapsed="false">
      <c r="A101" s="4"/>
      <c r="B101" s="4"/>
      <c r="C101" s="4"/>
      <c r="D101" s="4"/>
      <c r="E101" s="4"/>
      <c r="F101" s="4"/>
      <c r="G101" s="4"/>
      <c r="H101" s="16" t="s">
        <v>21</v>
      </c>
      <c r="I101" s="7" t="n">
        <f aca="false">Paramètres!$B$6</f>
        <v>80</v>
      </c>
      <c r="J101" s="15" t="s">
        <v>304</v>
      </c>
      <c r="K101" s="4" t="s">
        <v>305</v>
      </c>
    </row>
    <row r="102" customFormat="false" ht="42" hidden="false" customHeight="true" outlineLevel="0" collapsed="false">
      <c r="A102" s="4"/>
      <c r="B102" s="4"/>
      <c r="C102" s="4"/>
      <c r="D102" s="4"/>
      <c r="E102" s="4"/>
      <c r="F102" s="4"/>
      <c r="G102" s="4"/>
      <c r="H102" s="17" t="s">
        <v>23</v>
      </c>
      <c r="I102" s="7" t="n">
        <f aca="false">Paramètres!$B$7</f>
        <v>50</v>
      </c>
      <c r="J102" s="15" t="s">
        <v>306</v>
      </c>
      <c r="K102" s="4" t="s">
        <v>307</v>
      </c>
    </row>
    <row r="103" customFormat="false" ht="42" hidden="false" customHeight="true" outlineLevel="0" collapsed="false">
      <c r="A103" s="4"/>
      <c r="B103" s="4"/>
      <c r="C103" s="4"/>
      <c r="D103" s="4"/>
      <c r="E103" s="4"/>
      <c r="F103" s="4"/>
      <c r="G103" s="4"/>
      <c r="H103" s="18" t="s">
        <v>10</v>
      </c>
      <c r="I103" s="7" t="n">
        <f aca="false">Paramètres!$B$8</f>
        <v>20</v>
      </c>
      <c r="J103" s="15" t="s">
        <v>308</v>
      </c>
      <c r="K103" s="4" t="s">
        <v>309</v>
      </c>
    </row>
    <row r="104" customFormat="false" ht="42" hidden="false" customHeight="true" outlineLevel="0" collapsed="false">
      <c r="A104" s="4"/>
      <c r="B104" s="4"/>
      <c r="C104" s="4"/>
      <c r="D104" s="4"/>
      <c r="E104" s="4"/>
      <c r="F104" s="4"/>
      <c r="G104" s="4"/>
      <c r="H104" s="19" t="s">
        <v>8</v>
      </c>
      <c r="I104" s="7" t="n">
        <f aca="false">Paramètres!$B$9</f>
        <v>20</v>
      </c>
      <c r="J104" s="15" t="s">
        <v>8</v>
      </c>
      <c r="K104" s="4" t="s">
        <v>310</v>
      </c>
    </row>
    <row r="105" customFormat="false" ht="42" hidden="false" customHeight="true" outlineLevel="0" collapsed="false">
      <c r="A105" s="4" t="s">
        <v>283</v>
      </c>
      <c r="B105" s="4" t="s">
        <v>284</v>
      </c>
      <c r="C105" s="12" t="s">
        <v>311</v>
      </c>
      <c r="D105" s="12" t="s">
        <v>312</v>
      </c>
      <c r="E105" s="13" t="n">
        <v>0.25</v>
      </c>
      <c r="F105" s="4" t="s">
        <v>313</v>
      </c>
      <c r="G105" s="4" t="s">
        <v>314</v>
      </c>
      <c r="H105" s="14" t="s">
        <v>19</v>
      </c>
      <c r="I105" s="7" t="n">
        <f aca="false">Paramètres!$B$5</f>
        <v>100</v>
      </c>
      <c r="J105" s="15" t="s">
        <v>315</v>
      </c>
      <c r="K105" s="4" t="s">
        <v>316</v>
      </c>
    </row>
    <row r="106" customFormat="false" ht="42" hidden="false" customHeight="true" outlineLevel="0" collapsed="false">
      <c r="A106" s="4"/>
      <c r="B106" s="4"/>
      <c r="C106" s="4"/>
      <c r="D106" s="4"/>
      <c r="E106" s="4"/>
      <c r="F106" s="4"/>
      <c r="G106" s="4"/>
      <c r="H106" s="16" t="s">
        <v>21</v>
      </c>
      <c r="I106" s="7" t="n">
        <f aca="false">Paramètres!$B$6</f>
        <v>80</v>
      </c>
      <c r="J106" s="15" t="s">
        <v>317</v>
      </c>
      <c r="K106" s="4" t="s">
        <v>318</v>
      </c>
    </row>
    <row r="107" customFormat="false" ht="42" hidden="false" customHeight="true" outlineLevel="0" collapsed="false">
      <c r="A107" s="4"/>
      <c r="B107" s="4"/>
      <c r="C107" s="4"/>
      <c r="D107" s="4"/>
      <c r="E107" s="4"/>
      <c r="F107" s="4"/>
      <c r="G107" s="4"/>
      <c r="H107" s="17" t="s">
        <v>23</v>
      </c>
      <c r="I107" s="7" t="n">
        <f aca="false">Paramètres!$B$7</f>
        <v>50</v>
      </c>
      <c r="J107" s="15" t="s">
        <v>319</v>
      </c>
      <c r="K107" s="4" t="s">
        <v>320</v>
      </c>
    </row>
    <row r="108" customFormat="false" ht="42" hidden="false" customHeight="true" outlineLevel="0" collapsed="false">
      <c r="A108" s="4"/>
      <c r="B108" s="4"/>
      <c r="C108" s="4"/>
      <c r="D108" s="4"/>
      <c r="E108" s="4"/>
      <c r="F108" s="4"/>
      <c r="G108" s="4"/>
      <c r="H108" s="18" t="s">
        <v>10</v>
      </c>
      <c r="I108" s="7" t="n">
        <f aca="false">Paramètres!$B$8</f>
        <v>20</v>
      </c>
      <c r="J108" s="15" t="s">
        <v>321</v>
      </c>
      <c r="K108" s="4" t="s">
        <v>322</v>
      </c>
    </row>
    <row r="109" customFormat="false" ht="42" hidden="false" customHeight="true" outlineLevel="0" collapsed="false">
      <c r="A109" s="4"/>
      <c r="B109" s="4"/>
      <c r="C109" s="4"/>
      <c r="D109" s="4"/>
      <c r="E109" s="4"/>
      <c r="F109" s="4"/>
      <c r="G109" s="4"/>
      <c r="H109" s="19" t="s">
        <v>8</v>
      </c>
      <c r="I109" s="7" t="n">
        <f aca="false">Paramètres!$B$9</f>
        <v>20</v>
      </c>
      <c r="J109" s="15" t="s">
        <v>8</v>
      </c>
      <c r="K109" s="4" t="s">
        <v>323</v>
      </c>
    </row>
    <row r="110" customFormat="false" ht="42" hidden="false" customHeight="true" outlineLevel="0" collapsed="false">
      <c r="A110" s="4" t="s">
        <v>324</v>
      </c>
      <c r="B110" s="4" t="s">
        <v>325</v>
      </c>
      <c r="C110" s="12" t="s">
        <v>326</v>
      </c>
      <c r="D110" s="12" t="s">
        <v>327</v>
      </c>
      <c r="E110" s="13" t="n">
        <v>0.3</v>
      </c>
      <c r="F110" s="4" t="s">
        <v>328</v>
      </c>
      <c r="G110" s="4" t="s">
        <v>329</v>
      </c>
      <c r="H110" s="14" t="s">
        <v>19</v>
      </c>
      <c r="I110" s="7" t="n">
        <f aca="false">Paramètres!$B$5</f>
        <v>100</v>
      </c>
      <c r="J110" s="15" t="s">
        <v>330</v>
      </c>
      <c r="K110" s="4" t="s">
        <v>331</v>
      </c>
    </row>
    <row r="111" customFormat="false" ht="42" hidden="false" customHeight="true" outlineLevel="0" collapsed="false">
      <c r="A111" s="4"/>
      <c r="B111" s="4"/>
      <c r="C111" s="4"/>
      <c r="D111" s="4"/>
      <c r="E111" s="4"/>
      <c r="F111" s="4"/>
      <c r="G111" s="4"/>
      <c r="H111" s="16" t="s">
        <v>21</v>
      </c>
      <c r="I111" s="7" t="n">
        <f aca="false">Paramètres!$B$6</f>
        <v>80</v>
      </c>
      <c r="J111" s="15" t="s">
        <v>332</v>
      </c>
      <c r="K111" s="4" t="s">
        <v>333</v>
      </c>
    </row>
    <row r="112" customFormat="false" ht="42" hidden="false" customHeight="true" outlineLevel="0" collapsed="false">
      <c r="A112" s="4"/>
      <c r="B112" s="4"/>
      <c r="C112" s="4"/>
      <c r="D112" s="4"/>
      <c r="E112" s="4"/>
      <c r="F112" s="4"/>
      <c r="G112" s="4"/>
      <c r="H112" s="17" t="s">
        <v>23</v>
      </c>
      <c r="I112" s="7" t="n">
        <f aca="false">Paramètres!$B$7</f>
        <v>50</v>
      </c>
      <c r="J112" s="15" t="s">
        <v>334</v>
      </c>
      <c r="K112" s="4" t="s">
        <v>335</v>
      </c>
    </row>
    <row r="113" customFormat="false" ht="42" hidden="false" customHeight="true" outlineLevel="0" collapsed="false">
      <c r="A113" s="4"/>
      <c r="B113" s="4"/>
      <c r="C113" s="4"/>
      <c r="D113" s="4"/>
      <c r="E113" s="4"/>
      <c r="F113" s="4"/>
      <c r="G113" s="4"/>
      <c r="H113" s="18" t="s">
        <v>10</v>
      </c>
      <c r="I113" s="7" t="n">
        <f aca="false">Paramètres!$B$8</f>
        <v>20</v>
      </c>
      <c r="J113" s="15" t="s">
        <v>336</v>
      </c>
      <c r="K113" s="4" t="s">
        <v>337</v>
      </c>
    </row>
    <row r="114" customFormat="false" ht="42" hidden="false" customHeight="true" outlineLevel="0" collapsed="false">
      <c r="A114" s="4"/>
      <c r="B114" s="4"/>
      <c r="C114" s="4"/>
      <c r="D114" s="4"/>
      <c r="E114" s="4"/>
      <c r="F114" s="4"/>
      <c r="G114" s="4"/>
      <c r="H114" s="19" t="s">
        <v>8</v>
      </c>
      <c r="I114" s="7" t="n">
        <f aca="false">Paramètres!$B$9</f>
        <v>20</v>
      </c>
      <c r="J114" s="15" t="s">
        <v>8</v>
      </c>
      <c r="K114" s="4" t="s">
        <v>338</v>
      </c>
    </row>
    <row r="115" customFormat="false" ht="42" hidden="false" customHeight="true" outlineLevel="0" collapsed="false">
      <c r="A115" s="4" t="s">
        <v>324</v>
      </c>
      <c r="B115" s="4" t="s">
        <v>325</v>
      </c>
      <c r="C115" s="12" t="s">
        <v>339</v>
      </c>
      <c r="D115" s="12" t="s">
        <v>340</v>
      </c>
      <c r="E115" s="13" t="n">
        <v>0.3</v>
      </c>
      <c r="F115" s="4" t="s">
        <v>341</v>
      </c>
      <c r="G115" s="4" t="s">
        <v>342</v>
      </c>
      <c r="H115" s="14" t="s">
        <v>19</v>
      </c>
      <c r="I115" s="7" t="n">
        <f aca="false">Paramètres!$B$5</f>
        <v>100</v>
      </c>
      <c r="J115" s="15" t="s">
        <v>343</v>
      </c>
      <c r="K115" s="4" t="s">
        <v>344</v>
      </c>
    </row>
    <row r="116" customFormat="false" ht="42" hidden="false" customHeight="true" outlineLevel="0" collapsed="false">
      <c r="A116" s="4"/>
      <c r="B116" s="4"/>
      <c r="C116" s="4"/>
      <c r="D116" s="4"/>
      <c r="E116" s="4"/>
      <c r="F116" s="4"/>
      <c r="G116" s="4"/>
      <c r="H116" s="16" t="s">
        <v>21</v>
      </c>
      <c r="I116" s="7" t="n">
        <f aca="false">Paramètres!$B$6</f>
        <v>80</v>
      </c>
      <c r="J116" s="15" t="s">
        <v>345</v>
      </c>
      <c r="K116" s="4" t="s">
        <v>346</v>
      </c>
    </row>
    <row r="117" customFormat="false" ht="42" hidden="false" customHeight="true" outlineLevel="0" collapsed="false">
      <c r="A117" s="4"/>
      <c r="B117" s="4"/>
      <c r="C117" s="4"/>
      <c r="D117" s="4"/>
      <c r="E117" s="4"/>
      <c r="F117" s="4"/>
      <c r="G117" s="4"/>
      <c r="H117" s="17" t="s">
        <v>23</v>
      </c>
      <c r="I117" s="7" t="n">
        <f aca="false">Paramètres!$B$7</f>
        <v>50</v>
      </c>
      <c r="J117" s="15" t="s">
        <v>347</v>
      </c>
      <c r="K117" s="4" t="s">
        <v>348</v>
      </c>
    </row>
    <row r="118" customFormat="false" ht="42" hidden="false" customHeight="true" outlineLevel="0" collapsed="false">
      <c r="A118" s="4"/>
      <c r="B118" s="4"/>
      <c r="C118" s="4"/>
      <c r="D118" s="4"/>
      <c r="E118" s="4"/>
      <c r="F118" s="4"/>
      <c r="G118" s="4"/>
      <c r="H118" s="18" t="s">
        <v>10</v>
      </c>
      <c r="I118" s="7" t="n">
        <f aca="false">Paramètres!$B$8</f>
        <v>20</v>
      </c>
      <c r="J118" s="15" t="s">
        <v>349</v>
      </c>
      <c r="K118" s="4" t="s">
        <v>350</v>
      </c>
    </row>
    <row r="119" customFormat="false" ht="42" hidden="false" customHeight="true" outlineLevel="0" collapsed="false">
      <c r="A119" s="4"/>
      <c r="B119" s="4"/>
      <c r="C119" s="4"/>
      <c r="D119" s="4"/>
      <c r="E119" s="4"/>
      <c r="F119" s="4"/>
      <c r="G119" s="4"/>
      <c r="H119" s="19" t="s">
        <v>8</v>
      </c>
      <c r="I119" s="7" t="n">
        <f aca="false">Paramètres!$B$9</f>
        <v>20</v>
      </c>
      <c r="J119" s="15" t="s">
        <v>8</v>
      </c>
      <c r="K119" s="4" t="s">
        <v>351</v>
      </c>
    </row>
    <row r="120" customFormat="false" ht="42" hidden="false" customHeight="true" outlineLevel="0" collapsed="false">
      <c r="A120" s="4" t="s">
        <v>324</v>
      </c>
      <c r="B120" s="4" t="s">
        <v>325</v>
      </c>
      <c r="C120" s="12" t="s">
        <v>352</v>
      </c>
      <c r="D120" s="12" t="s">
        <v>353</v>
      </c>
      <c r="E120" s="13" t="n">
        <v>0.15</v>
      </c>
      <c r="F120" s="4" t="s">
        <v>354</v>
      </c>
      <c r="G120" s="4" t="s">
        <v>355</v>
      </c>
      <c r="H120" s="14" t="s">
        <v>19</v>
      </c>
      <c r="I120" s="7" t="n">
        <f aca="false">Paramètres!$B$5</f>
        <v>100</v>
      </c>
      <c r="J120" s="15" t="s">
        <v>356</v>
      </c>
      <c r="K120" s="4" t="s">
        <v>357</v>
      </c>
    </row>
    <row r="121" customFormat="false" ht="42" hidden="false" customHeight="true" outlineLevel="0" collapsed="false">
      <c r="A121" s="4"/>
      <c r="B121" s="4"/>
      <c r="C121" s="4"/>
      <c r="D121" s="4"/>
      <c r="E121" s="4"/>
      <c r="F121" s="4"/>
      <c r="G121" s="4"/>
      <c r="H121" s="16" t="s">
        <v>21</v>
      </c>
      <c r="I121" s="7" t="n">
        <f aca="false">Paramètres!$B$6</f>
        <v>80</v>
      </c>
      <c r="J121" s="15" t="s">
        <v>358</v>
      </c>
      <c r="K121" s="4" t="s">
        <v>359</v>
      </c>
    </row>
    <row r="122" customFormat="false" ht="42" hidden="false" customHeight="true" outlineLevel="0" collapsed="false">
      <c r="A122" s="4"/>
      <c r="B122" s="4"/>
      <c r="C122" s="4"/>
      <c r="D122" s="4"/>
      <c r="E122" s="4"/>
      <c r="F122" s="4"/>
      <c r="G122" s="4"/>
      <c r="H122" s="17" t="s">
        <v>23</v>
      </c>
      <c r="I122" s="7" t="n">
        <f aca="false">Paramètres!$B$7</f>
        <v>50</v>
      </c>
      <c r="J122" s="15" t="s">
        <v>360</v>
      </c>
      <c r="K122" s="4" t="s">
        <v>361</v>
      </c>
    </row>
    <row r="123" customFormat="false" ht="42" hidden="false" customHeight="true" outlineLevel="0" collapsed="false">
      <c r="A123" s="4"/>
      <c r="B123" s="4"/>
      <c r="C123" s="4"/>
      <c r="D123" s="4"/>
      <c r="E123" s="4"/>
      <c r="F123" s="4"/>
      <c r="G123" s="4"/>
      <c r="H123" s="18" t="s">
        <v>10</v>
      </c>
      <c r="I123" s="7" t="n">
        <f aca="false">Paramètres!$B$8</f>
        <v>20</v>
      </c>
      <c r="J123" s="15" t="s">
        <v>362</v>
      </c>
      <c r="K123" s="4" t="s">
        <v>363</v>
      </c>
    </row>
    <row r="124" customFormat="false" ht="42" hidden="false" customHeight="true" outlineLevel="0" collapsed="false">
      <c r="A124" s="4"/>
      <c r="B124" s="4"/>
      <c r="C124" s="4"/>
      <c r="D124" s="4"/>
      <c r="E124" s="4"/>
      <c r="F124" s="4"/>
      <c r="G124" s="4"/>
      <c r="H124" s="19" t="s">
        <v>8</v>
      </c>
      <c r="I124" s="7" t="n">
        <f aca="false">Paramètres!$B$9</f>
        <v>20</v>
      </c>
      <c r="J124" s="15" t="s">
        <v>8</v>
      </c>
      <c r="K124" s="4" t="s">
        <v>364</v>
      </c>
    </row>
    <row r="125" customFormat="false" ht="42" hidden="false" customHeight="true" outlineLevel="0" collapsed="false">
      <c r="A125" s="4" t="s">
        <v>324</v>
      </c>
      <c r="B125" s="4" t="s">
        <v>325</v>
      </c>
      <c r="C125" s="12" t="s">
        <v>365</v>
      </c>
      <c r="D125" s="12" t="s">
        <v>366</v>
      </c>
      <c r="E125" s="13" t="n">
        <v>0.25</v>
      </c>
      <c r="F125" s="4" t="s">
        <v>367</v>
      </c>
      <c r="G125" s="4" t="s">
        <v>368</v>
      </c>
      <c r="H125" s="14" t="s">
        <v>19</v>
      </c>
      <c r="I125" s="7" t="n">
        <f aca="false">Paramètres!$B$5</f>
        <v>100</v>
      </c>
      <c r="J125" s="15" t="s">
        <v>369</v>
      </c>
      <c r="K125" s="4" t="s">
        <v>370</v>
      </c>
    </row>
    <row r="126" customFormat="false" ht="42" hidden="false" customHeight="true" outlineLevel="0" collapsed="false">
      <c r="A126" s="4"/>
      <c r="B126" s="4"/>
      <c r="C126" s="4"/>
      <c r="D126" s="4"/>
      <c r="E126" s="4"/>
      <c r="F126" s="4"/>
      <c r="G126" s="4"/>
      <c r="H126" s="16" t="s">
        <v>21</v>
      </c>
      <c r="I126" s="7" t="n">
        <f aca="false">Paramètres!$B$6</f>
        <v>80</v>
      </c>
      <c r="J126" s="15" t="s">
        <v>371</v>
      </c>
      <c r="K126" s="4" t="s">
        <v>372</v>
      </c>
    </row>
    <row r="127" customFormat="false" ht="42" hidden="false" customHeight="true" outlineLevel="0" collapsed="false">
      <c r="A127" s="4"/>
      <c r="B127" s="4"/>
      <c r="C127" s="4"/>
      <c r="D127" s="4"/>
      <c r="E127" s="4"/>
      <c r="F127" s="4"/>
      <c r="G127" s="4"/>
      <c r="H127" s="17" t="s">
        <v>23</v>
      </c>
      <c r="I127" s="7" t="n">
        <f aca="false">Paramètres!$B$7</f>
        <v>50</v>
      </c>
      <c r="J127" s="15" t="s">
        <v>373</v>
      </c>
      <c r="K127" s="4" t="s">
        <v>374</v>
      </c>
    </row>
    <row r="128" customFormat="false" ht="42" hidden="false" customHeight="true" outlineLevel="0" collapsed="false">
      <c r="A128" s="4"/>
      <c r="B128" s="4"/>
      <c r="C128" s="4"/>
      <c r="D128" s="4"/>
      <c r="E128" s="4"/>
      <c r="F128" s="4"/>
      <c r="G128" s="4"/>
      <c r="H128" s="18" t="s">
        <v>10</v>
      </c>
      <c r="I128" s="7" t="n">
        <f aca="false">Paramètres!$B$8</f>
        <v>20</v>
      </c>
      <c r="J128" s="15" t="s">
        <v>375</v>
      </c>
      <c r="K128" s="4" t="s">
        <v>376</v>
      </c>
    </row>
    <row r="129" customFormat="false" ht="42" hidden="false" customHeight="true" outlineLevel="0" collapsed="false">
      <c r="A129" s="4"/>
      <c r="B129" s="4"/>
      <c r="C129" s="4"/>
      <c r="D129" s="4"/>
      <c r="E129" s="4"/>
      <c r="F129" s="4"/>
      <c r="G129" s="4"/>
      <c r="H129" s="19" t="s">
        <v>8</v>
      </c>
      <c r="I129" s="7" t="n">
        <f aca="false">Paramètres!$B$9</f>
        <v>20</v>
      </c>
      <c r="J129" s="15" t="s">
        <v>8</v>
      </c>
      <c r="K129" s="4" t="s">
        <v>377</v>
      </c>
    </row>
  </sheetData>
  <autoFilter ref="A4:K129"/>
  <mergeCells count="175">
    <mergeCell ref="A5:A9"/>
    <mergeCell ref="B5:B9"/>
    <mergeCell ref="C5:C9"/>
    <mergeCell ref="D5:D9"/>
    <mergeCell ref="E5:E9"/>
    <mergeCell ref="F5:F9"/>
    <mergeCell ref="G5:G9"/>
    <mergeCell ref="A10:A14"/>
    <mergeCell ref="B10:B14"/>
    <mergeCell ref="C10:C14"/>
    <mergeCell ref="D10:D14"/>
    <mergeCell ref="E10:E14"/>
    <mergeCell ref="F10:F14"/>
    <mergeCell ref="G10:G14"/>
    <mergeCell ref="A15:A19"/>
    <mergeCell ref="B15:B19"/>
    <mergeCell ref="C15:C19"/>
    <mergeCell ref="D15:D19"/>
    <mergeCell ref="E15:E19"/>
    <mergeCell ref="F15:F19"/>
    <mergeCell ref="G15:G19"/>
    <mergeCell ref="A20:A24"/>
    <mergeCell ref="B20:B24"/>
    <mergeCell ref="C20:C24"/>
    <mergeCell ref="D20:D24"/>
    <mergeCell ref="E20:E24"/>
    <mergeCell ref="F20:F24"/>
    <mergeCell ref="G20:G24"/>
    <mergeCell ref="A25:A29"/>
    <mergeCell ref="B25:B29"/>
    <mergeCell ref="C25:C29"/>
    <mergeCell ref="D25:D29"/>
    <mergeCell ref="E25:E29"/>
    <mergeCell ref="F25:F29"/>
    <mergeCell ref="G25:G29"/>
    <mergeCell ref="A30:A34"/>
    <mergeCell ref="B30:B34"/>
    <mergeCell ref="C30:C34"/>
    <mergeCell ref="D30:D34"/>
    <mergeCell ref="E30:E34"/>
    <mergeCell ref="F30:F34"/>
    <mergeCell ref="G30:G34"/>
    <mergeCell ref="A35:A39"/>
    <mergeCell ref="B35:B39"/>
    <mergeCell ref="C35:C39"/>
    <mergeCell ref="D35:D39"/>
    <mergeCell ref="E35:E39"/>
    <mergeCell ref="F35:F39"/>
    <mergeCell ref="G35:G39"/>
    <mergeCell ref="A40:A44"/>
    <mergeCell ref="B40:B44"/>
    <mergeCell ref="C40:C44"/>
    <mergeCell ref="D40:D44"/>
    <mergeCell ref="E40:E44"/>
    <mergeCell ref="F40:F44"/>
    <mergeCell ref="G40:G44"/>
    <mergeCell ref="A45:A49"/>
    <mergeCell ref="B45:B49"/>
    <mergeCell ref="C45:C49"/>
    <mergeCell ref="D45:D49"/>
    <mergeCell ref="E45:E49"/>
    <mergeCell ref="F45:F49"/>
    <mergeCell ref="G45:G49"/>
    <mergeCell ref="A50:A54"/>
    <mergeCell ref="B50:B54"/>
    <mergeCell ref="C50:C54"/>
    <mergeCell ref="D50:D54"/>
    <mergeCell ref="E50:E54"/>
    <mergeCell ref="F50:F54"/>
    <mergeCell ref="G50:G54"/>
    <mergeCell ref="A55:A59"/>
    <mergeCell ref="B55:B59"/>
    <mergeCell ref="C55:C59"/>
    <mergeCell ref="D55:D59"/>
    <mergeCell ref="E55:E59"/>
    <mergeCell ref="F55:F59"/>
    <mergeCell ref="G55:G59"/>
    <mergeCell ref="A60:A64"/>
    <mergeCell ref="B60:B64"/>
    <mergeCell ref="C60:C64"/>
    <mergeCell ref="D60:D64"/>
    <mergeCell ref="E60:E64"/>
    <mergeCell ref="F60:F64"/>
    <mergeCell ref="G60:G64"/>
    <mergeCell ref="A65:A69"/>
    <mergeCell ref="B65:B69"/>
    <mergeCell ref="C65:C69"/>
    <mergeCell ref="D65:D69"/>
    <mergeCell ref="E65:E69"/>
    <mergeCell ref="F65:F69"/>
    <mergeCell ref="G65:G69"/>
    <mergeCell ref="A70:A74"/>
    <mergeCell ref="B70:B74"/>
    <mergeCell ref="C70:C74"/>
    <mergeCell ref="D70:D74"/>
    <mergeCell ref="E70:E74"/>
    <mergeCell ref="F70:F74"/>
    <mergeCell ref="G70:G74"/>
    <mergeCell ref="A75:A79"/>
    <mergeCell ref="B75:B79"/>
    <mergeCell ref="C75:C79"/>
    <mergeCell ref="D75:D79"/>
    <mergeCell ref="E75:E79"/>
    <mergeCell ref="F75:F79"/>
    <mergeCell ref="G75:G79"/>
    <mergeCell ref="A80:A84"/>
    <mergeCell ref="B80:B84"/>
    <mergeCell ref="C80:C84"/>
    <mergeCell ref="D80:D84"/>
    <mergeCell ref="E80:E84"/>
    <mergeCell ref="F80:F84"/>
    <mergeCell ref="G80:G84"/>
    <mergeCell ref="A85:A89"/>
    <mergeCell ref="B85:B89"/>
    <mergeCell ref="C85:C89"/>
    <mergeCell ref="D85:D89"/>
    <mergeCell ref="E85:E89"/>
    <mergeCell ref="F85:F89"/>
    <mergeCell ref="G85:G89"/>
    <mergeCell ref="A90:A94"/>
    <mergeCell ref="B90:B94"/>
    <mergeCell ref="C90:C94"/>
    <mergeCell ref="D90:D94"/>
    <mergeCell ref="E90:E94"/>
    <mergeCell ref="F90:F94"/>
    <mergeCell ref="G90:G94"/>
    <mergeCell ref="A95:A99"/>
    <mergeCell ref="B95:B99"/>
    <mergeCell ref="C95:C99"/>
    <mergeCell ref="D95:D99"/>
    <mergeCell ref="E95:E99"/>
    <mergeCell ref="F95:F99"/>
    <mergeCell ref="G95:G99"/>
    <mergeCell ref="A100:A104"/>
    <mergeCell ref="B100:B104"/>
    <mergeCell ref="C100:C104"/>
    <mergeCell ref="D100:D104"/>
    <mergeCell ref="E100:E104"/>
    <mergeCell ref="F100:F104"/>
    <mergeCell ref="G100:G104"/>
    <mergeCell ref="A105:A109"/>
    <mergeCell ref="B105:B109"/>
    <mergeCell ref="C105:C109"/>
    <mergeCell ref="D105:D109"/>
    <mergeCell ref="E105:E109"/>
    <mergeCell ref="F105:F109"/>
    <mergeCell ref="G105:G109"/>
    <mergeCell ref="A110:A114"/>
    <mergeCell ref="B110:B114"/>
    <mergeCell ref="C110:C114"/>
    <mergeCell ref="D110:D114"/>
    <mergeCell ref="E110:E114"/>
    <mergeCell ref="F110:F114"/>
    <mergeCell ref="G110:G114"/>
    <mergeCell ref="A115:A119"/>
    <mergeCell ref="B115:B119"/>
    <mergeCell ref="C115:C119"/>
    <mergeCell ref="D115:D119"/>
    <mergeCell ref="E115:E119"/>
    <mergeCell ref="F115:F119"/>
    <mergeCell ref="G115:G119"/>
    <mergeCell ref="A120:A124"/>
    <mergeCell ref="B120:B124"/>
    <mergeCell ref="C120:C124"/>
    <mergeCell ref="D120:D124"/>
    <mergeCell ref="E120:E124"/>
    <mergeCell ref="F120:F124"/>
    <mergeCell ref="G120:G124"/>
    <mergeCell ref="A125:A129"/>
    <mergeCell ref="B125:B129"/>
    <mergeCell ref="C125:C129"/>
    <mergeCell ref="D125:D129"/>
    <mergeCell ref="E125:E129"/>
    <mergeCell ref="F125:F129"/>
    <mergeCell ref="G125:G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50"/>
    <col collapsed="false" customWidth="true" hidden="false" outlineLevel="0" max="7" min="6" style="0" width="34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44"/>
    <col collapsed="false" customWidth="true" hidden="false" outlineLevel="0" max="11" min="11" style="0" width="52"/>
  </cols>
  <sheetData>
    <row r="1" customFormat="false" ht="19.7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23.85" hidden="false" customHeight="false" outlineLevel="0" collapsed="false">
      <c r="A4" s="5" t="s">
        <v>380</v>
      </c>
      <c r="B4" s="5" t="s">
        <v>381</v>
      </c>
      <c r="C4" s="5" t="s">
        <v>382</v>
      </c>
      <c r="D4" s="5" t="s">
        <v>383</v>
      </c>
      <c r="E4" s="5" t="s">
        <v>384</v>
      </c>
    </row>
    <row r="5" customFormat="false" ht="79.5" hidden="false" customHeight="true" outlineLevel="0" collapsed="false">
      <c r="A5" s="12" t="s">
        <v>385</v>
      </c>
      <c r="B5" s="4" t="s">
        <v>386</v>
      </c>
      <c r="C5" s="20" t="n">
        <v>0.25</v>
      </c>
      <c r="D5" s="4" t="s">
        <v>387</v>
      </c>
      <c r="E5" s="4" t="s">
        <v>388</v>
      </c>
    </row>
    <row r="6" customFormat="false" ht="79.5" hidden="false" customHeight="true" outlineLevel="0" collapsed="false">
      <c r="A6" s="12" t="s">
        <v>389</v>
      </c>
      <c r="B6" s="4" t="s">
        <v>390</v>
      </c>
      <c r="C6" s="20" t="n">
        <v>0.2</v>
      </c>
      <c r="D6" s="4" t="s">
        <v>391</v>
      </c>
      <c r="E6" s="4" t="s">
        <v>392</v>
      </c>
    </row>
    <row r="7" customFormat="false" ht="79.5" hidden="false" customHeight="true" outlineLevel="0" collapsed="false">
      <c r="A7" s="12" t="s">
        <v>393</v>
      </c>
      <c r="B7" s="4" t="s">
        <v>394</v>
      </c>
      <c r="C7" s="20" t="n">
        <v>0.15</v>
      </c>
      <c r="D7" s="4" t="s">
        <v>395</v>
      </c>
      <c r="E7" s="4" t="s">
        <v>396</v>
      </c>
    </row>
    <row r="9" customFormat="false" ht="23.85" hidden="false" customHeight="false" outlineLevel="0" collapsed="false">
      <c r="A9" s="12" t="s">
        <v>397</v>
      </c>
    </row>
    <row r="10" customFormat="false" ht="15" hidden="false" customHeight="false" outlineLevel="0" collapsed="false">
      <c r="A10" s="5" t="s">
        <v>29</v>
      </c>
      <c r="B10" s="5" t="s">
        <v>30</v>
      </c>
      <c r="C10" s="5" t="s">
        <v>31</v>
      </c>
      <c r="D10" s="5" t="s">
        <v>381</v>
      </c>
      <c r="E10" s="5" t="s">
        <v>382</v>
      </c>
      <c r="F10" s="5" t="s">
        <v>34</v>
      </c>
      <c r="G10" s="5" t="s">
        <v>35</v>
      </c>
      <c r="H10" s="5" t="s">
        <v>16</v>
      </c>
      <c r="I10" s="5" t="s">
        <v>17</v>
      </c>
      <c r="J10" s="5" t="s">
        <v>36</v>
      </c>
      <c r="K10" s="5" t="s">
        <v>37</v>
      </c>
    </row>
    <row r="11" customFormat="false" ht="42" hidden="false" customHeight="true" outlineLevel="0" collapsed="false">
      <c r="A11" s="4" t="s">
        <v>398</v>
      </c>
      <c r="B11" s="4" t="s">
        <v>399</v>
      </c>
      <c r="C11" s="12" t="s">
        <v>400</v>
      </c>
      <c r="D11" s="12" t="s">
        <v>401</v>
      </c>
      <c r="E11" s="13" t="n">
        <v>0.15</v>
      </c>
      <c r="F11" s="4" t="s">
        <v>402</v>
      </c>
      <c r="G11" s="4" t="s">
        <v>403</v>
      </c>
      <c r="H11" s="14" t="s">
        <v>19</v>
      </c>
      <c r="I11" s="7" t="n">
        <f aca="false">Paramètres!$B$5</f>
        <v>100</v>
      </c>
      <c r="J11" s="15" t="s">
        <v>404</v>
      </c>
      <c r="K11" s="4" t="s">
        <v>405</v>
      </c>
    </row>
    <row r="12" customFormat="false" ht="42" hidden="false" customHeight="true" outlineLevel="0" collapsed="false">
      <c r="A12" s="4"/>
      <c r="B12" s="4"/>
      <c r="C12" s="4"/>
      <c r="D12" s="4"/>
      <c r="E12" s="4"/>
      <c r="F12" s="4"/>
      <c r="G12" s="4"/>
      <c r="H12" s="16" t="s">
        <v>21</v>
      </c>
      <c r="I12" s="7" t="n">
        <f aca="false">Paramètres!$B$6</f>
        <v>80</v>
      </c>
      <c r="J12" s="15" t="s">
        <v>406</v>
      </c>
      <c r="K12" s="4" t="s">
        <v>407</v>
      </c>
    </row>
    <row r="13" customFormat="false" ht="42" hidden="false" customHeight="true" outlineLevel="0" collapsed="false">
      <c r="A13" s="4"/>
      <c r="B13" s="4"/>
      <c r="C13" s="4"/>
      <c r="D13" s="4"/>
      <c r="E13" s="4"/>
      <c r="F13" s="4"/>
      <c r="G13" s="4"/>
      <c r="H13" s="17" t="s">
        <v>23</v>
      </c>
      <c r="I13" s="7" t="n">
        <f aca="false">Paramètres!$B$7</f>
        <v>50</v>
      </c>
      <c r="J13" s="15" t="s">
        <v>408</v>
      </c>
      <c r="K13" s="4" t="s">
        <v>409</v>
      </c>
    </row>
    <row r="14" customFormat="false" ht="42" hidden="false" customHeight="true" outlineLevel="0" collapsed="false">
      <c r="A14" s="4"/>
      <c r="B14" s="4"/>
      <c r="C14" s="4"/>
      <c r="D14" s="4"/>
      <c r="E14" s="4"/>
      <c r="F14" s="4"/>
      <c r="G14" s="4"/>
      <c r="H14" s="18" t="s">
        <v>10</v>
      </c>
      <c r="I14" s="7" t="n">
        <f aca="false">Paramètres!$B$8</f>
        <v>20</v>
      </c>
      <c r="J14" s="15" t="s">
        <v>410</v>
      </c>
      <c r="K14" s="4" t="s">
        <v>411</v>
      </c>
    </row>
    <row r="15" customFormat="false" ht="42" hidden="false" customHeight="true" outlineLevel="0" collapsed="false">
      <c r="A15" s="4"/>
      <c r="B15" s="4"/>
      <c r="C15" s="4"/>
      <c r="D15" s="4"/>
      <c r="E15" s="4"/>
      <c r="F15" s="4"/>
      <c r="G15" s="4"/>
      <c r="H15" s="19" t="s">
        <v>8</v>
      </c>
      <c r="I15" s="7" t="n">
        <f aca="false">Paramètres!$B$9</f>
        <v>20</v>
      </c>
      <c r="J15" s="15" t="s">
        <v>8</v>
      </c>
      <c r="K15" s="4" t="s">
        <v>412</v>
      </c>
    </row>
    <row r="16" customFormat="false" ht="42" hidden="false" customHeight="true" outlineLevel="0" collapsed="false">
      <c r="A16" s="4" t="s">
        <v>398</v>
      </c>
      <c r="B16" s="4" t="s">
        <v>399</v>
      </c>
      <c r="C16" s="12" t="s">
        <v>413</v>
      </c>
      <c r="D16" s="12" t="s">
        <v>414</v>
      </c>
      <c r="E16" s="13" t="n">
        <v>0.15</v>
      </c>
      <c r="F16" s="4" t="s">
        <v>415</v>
      </c>
      <c r="G16" s="4" t="s">
        <v>416</v>
      </c>
      <c r="H16" s="14" t="s">
        <v>19</v>
      </c>
      <c r="I16" s="7" t="n">
        <f aca="false">Paramètres!$B$5</f>
        <v>100</v>
      </c>
      <c r="J16" s="15" t="s">
        <v>417</v>
      </c>
      <c r="K16" s="4" t="s">
        <v>418</v>
      </c>
    </row>
    <row r="17" customFormat="false" ht="42" hidden="false" customHeight="true" outlineLevel="0" collapsed="false">
      <c r="A17" s="4"/>
      <c r="B17" s="4"/>
      <c r="C17" s="4"/>
      <c r="D17" s="4"/>
      <c r="E17" s="4"/>
      <c r="F17" s="4"/>
      <c r="G17" s="4"/>
      <c r="H17" s="16" t="s">
        <v>21</v>
      </c>
      <c r="I17" s="7" t="n">
        <f aca="false">Paramètres!$B$6</f>
        <v>80</v>
      </c>
      <c r="J17" s="15" t="s">
        <v>419</v>
      </c>
      <c r="K17" s="4" t="s">
        <v>420</v>
      </c>
    </row>
    <row r="18" customFormat="false" ht="42" hidden="false" customHeight="true" outlineLevel="0" collapsed="false">
      <c r="A18" s="4"/>
      <c r="B18" s="4"/>
      <c r="C18" s="4"/>
      <c r="D18" s="4"/>
      <c r="E18" s="4"/>
      <c r="F18" s="4"/>
      <c r="G18" s="4"/>
      <c r="H18" s="17" t="s">
        <v>23</v>
      </c>
      <c r="I18" s="7" t="n">
        <f aca="false">Paramètres!$B$7</f>
        <v>50</v>
      </c>
      <c r="J18" s="15" t="s">
        <v>421</v>
      </c>
      <c r="K18" s="4" t="s">
        <v>422</v>
      </c>
    </row>
    <row r="19" customFormat="false" ht="42" hidden="false" customHeight="true" outlineLevel="0" collapsed="false">
      <c r="A19" s="4"/>
      <c r="B19" s="4"/>
      <c r="C19" s="4"/>
      <c r="D19" s="4"/>
      <c r="E19" s="4"/>
      <c r="F19" s="4"/>
      <c r="G19" s="4"/>
      <c r="H19" s="18" t="s">
        <v>10</v>
      </c>
      <c r="I19" s="7" t="n">
        <f aca="false">Paramètres!$B$8</f>
        <v>20</v>
      </c>
      <c r="J19" s="15" t="s">
        <v>423</v>
      </c>
      <c r="K19" s="4" t="s">
        <v>424</v>
      </c>
    </row>
    <row r="20" customFormat="false" ht="42" hidden="false" customHeight="true" outlineLevel="0" collapsed="false">
      <c r="A20" s="4"/>
      <c r="B20" s="4"/>
      <c r="C20" s="4"/>
      <c r="D20" s="4"/>
      <c r="E20" s="4"/>
      <c r="F20" s="4"/>
      <c r="G20" s="4"/>
      <c r="H20" s="19" t="s">
        <v>8</v>
      </c>
      <c r="I20" s="7" t="n">
        <f aca="false">Paramètres!$B$9</f>
        <v>20</v>
      </c>
      <c r="J20" s="15" t="s">
        <v>8</v>
      </c>
      <c r="K20" s="4" t="s">
        <v>425</v>
      </c>
    </row>
    <row r="21" customFormat="false" ht="42" hidden="false" customHeight="true" outlineLevel="0" collapsed="false">
      <c r="A21" s="4" t="s">
        <v>398</v>
      </c>
      <c r="B21" s="4" t="s">
        <v>399</v>
      </c>
      <c r="C21" s="12" t="s">
        <v>426</v>
      </c>
      <c r="D21" s="12" t="s">
        <v>427</v>
      </c>
      <c r="E21" s="13" t="n">
        <v>0.1</v>
      </c>
      <c r="F21" s="4" t="s">
        <v>428</v>
      </c>
      <c r="G21" s="4" t="s">
        <v>429</v>
      </c>
      <c r="H21" s="14" t="s">
        <v>19</v>
      </c>
      <c r="I21" s="7" t="n">
        <f aca="false">Paramètres!$B$5</f>
        <v>100</v>
      </c>
      <c r="J21" s="15" t="s">
        <v>430</v>
      </c>
      <c r="K21" s="4" t="s">
        <v>431</v>
      </c>
    </row>
    <row r="22" customFormat="false" ht="42" hidden="false" customHeight="true" outlineLevel="0" collapsed="false">
      <c r="A22" s="4"/>
      <c r="B22" s="4"/>
      <c r="C22" s="4"/>
      <c r="D22" s="4"/>
      <c r="E22" s="4"/>
      <c r="F22" s="4"/>
      <c r="G22" s="4"/>
      <c r="H22" s="16" t="s">
        <v>21</v>
      </c>
      <c r="I22" s="7" t="n">
        <f aca="false">Paramètres!$B$6</f>
        <v>80</v>
      </c>
      <c r="J22" s="15" t="s">
        <v>432</v>
      </c>
      <c r="K22" s="4" t="s">
        <v>433</v>
      </c>
    </row>
    <row r="23" customFormat="false" ht="42" hidden="false" customHeight="true" outlineLevel="0" collapsed="false">
      <c r="A23" s="4"/>
      <c r="B23" s="4"/>
      <c r="C23" s="4"/>
      <c r="D23" s="4"/>
      <c r="E23" s="4"/>
      <c r="F23" s="4"/>
      <c r="G23" s="4"/>
      <c r="H23" s="17" t="s">
        <v>23</v>
      </c>
      <c r="I23" s="7" t="n">
        <f aca="false">Paramètres!$B$7</f>
        <v>50</v>
      </c>
      <c r="J23" s="15" t="s">
        <v>434</v>
      </c>
      <c r="K23" s="4" t="s">
        <v>435</v>
      </c>
    </row>
    <row r="24" customFormat="false" ht="42" hidden="false" customHeight="true" outlineLevel="0" collapsed="false">
      <c r="A24" s="4"/>
      <c r="B24" s="4"/>
      <c r="C24" s="4"/>
      <c r="D24" s="4"/>
      <c r="E24" s="4"/>
      <c r="F24" s="4"/>
      <c r="G24" s="4"/>
      <c r="H24" s="18" t="s">
        <v>10</v>
      </c>
      <c r="I24" s="7" t="n">
        <f aca="false">Paramètres!$B$8</f>
        <v>20</v>
      </c>
      <c r="J24" s="15" t="s">
        <v>436</v>
      </c>
      <c r="K24" s="4" t="s">
        <v>437</v>
      </c>
    </row>
    <row r="25" customFormat="false" ht="42" hidden="false" customHeight="true" outlineLevel="0" collapsed="false">
      <c r="A25" s="4"/>
      <c r="B25" s="4"/>
      <c r="C25" s="4"/>
      <c r="D25" s="4"/>
      <c r="E25" s="4"/>
      <c r="F25" s="4"/>
      <c r="G25" s="4"/>
      <c r="H25" s="19" t="s">
        <v>8</v>
      </c>
      <c r="I25" s="7" t="n">
        <f aca="false">Paramètres!$B$9</f>
        <v>20</v>
      </c>
      <c r="J25" s="15" t="s">
        <v>8</v>
      </c>
      <c r="K25" s="4" t="s">
        <v>438</v>
      </c>
    </row>
  </sheetData>
  <mergeCells count="21">
    <mergeCell ref="A11:A15"/>
    <mergeCell ref="B11:B15"/>
    <mergeCell ref="C11:C15"/>
    <mergeCell ref="D11:D15"/>
    <mergeCell ref="E11:E15"/>
    <mergeCell ref="F11:F15"/>
    <mergeCell ref="G11:G15"/>
    <mergeCell ref="A16:A20"/>
    <mergeCell ref="B16:B20"/>
    <mergeCell ref="C16:C20"/>
    <mergeCell ref="D16:D20"/>
    <mergeCell ref="E16:E20"/>
    <mergeCell ref="F16:F20"/>
    <mergeCell ref="G16:G20"/>
    <mergeCell ref="A21:A25"/>
    <mergeCell ref="B21:B25"/>
    <mergeCell ref="C21:C25"/>
    <mergeCell ref="D21:D25"/>
    <mergeCell ref="E21:E25"/>
    <mergeCell ref="F21:F25"/>
    <mergeCell ref="G21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6" min="3" style="0" width="3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439</v>
      </c>
    </row>
    <row r="2" customFormat="false" ht="15" hidden="false" customHeight="false" outlineLevel="0" collapsed="false">
      <c r="A2" s="2" t="s">
        <v>440</v>
      </c>
    </row>
    <row r="4" customFormat="false" ht="15" hidden="false" customHeight="false" outlineLevel="0" collapsed="false">
      <c r="A4" s="5" t="s">
        <v>32</v>
      </c>
      <c r="B4" s="5" t="s">
        <v>441</v>
      </c>
      <c r="C4" s="5" t="s">
        <v>442</v>
      </c>
      <c r="D4" s="5" t="s">
        <v>443</v>
      </c>
      <c r="E4" s="5" t="s">
        <v>444</v>
      </c>
      <c r="F4" s="5" t="s">
        <v>445</v>
      </c>
      <c r="G4" s="5" t="s">
        <v>446</v>
      </c>
    </row>
    <row r="5" customFormat="false" ht="57.75" hidden="false" customHeight="true" outlineLevel="0" collapsed="false">
      <c r="A5" s="12" t="s">
        <v>447</v>
      </c>
      <c r="B5" s="4" t="s">
        <v>448</v>
      </c>
      <c r="C5" s="6" t="s">
        <v>449</v>
      </c>
      <c r="D5" s="8" t="s">
        <v>450</v>
      </c>
      <c r="E5" s="9" t="s">
        <v>451</v>
      </c>
      <c r="F5" s="10" t="s">
        <v>452</v>
      </c>
      <c r="G5" s="4" t="s">
        <v>453</v>
      </c>
    </row>
    <row r="6" customFormat="false" ht="57.75" hidden="false" customHeight="true" outlineLevel="0" collapsed="false">
      <c r="A6" s="12" t="s">
        <v>447</v>
      </c>
      <c r="B6" s="4" t="s">
        <v>454</v>
      </c>
      <c r="C6" s="6" t="s">
        <v>455</v>
      </c>
      <c r="D6" s="8" t="s">
        <v>456</v>
      </c>
      <c r="E6" s="9" t="s">
        <v>457</v>
      </c>
      <c r="F6" s="10" t="s">
        <v>458</v>
      </c>
      <c r="G6" s="4" t="s">
        <v>459</v>
      </c>
    </row>
    <row r="7" customFormat="false" ht="57.75" hidden="false" customHeight="true" outlineLevel="0" collapsed="false">
      <c r="A7" s="12" t="s">
        <v>447</v>
      </c>
      <c r="B7" s="4" t="s">
        <v>460</v>
      </c>
      <c r="C7" s="6" t="s">
        <v>461</v>
      </c>
      <c r="D7" s="8" t="s">
        <v>462</v>
      </c>
      <c r="E7" s="9" t="s">
        <v>463</v>
      </c>
      <c r="F7" s="10" t="s">
        <v>464</v>
      </c>
      <c r="G7" s="4" t="s">
        <v>465</v>
      </c>
    </row>
    <row r="8" customFormat="false" ht="57.75" hidden="false" customHeight="true" outlineLevel="0" collapsed="false">
      <c r="A8" s="12" t="s">
        <v>447</v>
      </c>
      <c r="B8" s="4" t="s">
        <v>466</v>
      </c>
      <c r="C8" s="6" t="s">
        <v>467</v>
      </c>
      <c r="D8" s="8" t="s">
        <v>468</v>
      </c>
      <c r="E8" s="9" t="s">
        <v>469</v>
      </c>
      <c r="F8" s="10" t="s">
        <v>470</v>
      </c>
      <c r="G8" s="4" t="s">
        <v>471</v>
      </c>
    </row>
    <row r="9" customFormat="false" ht="57.75" hidden="false" customHeight="true" outlineLevel="0" collapsed="false">
      <c r="A9" s="12" t="s">
        <v>447</v>
      </c>
      <c r="B9" s="4" t="s">
        <v>472</v>
      </c>
      <c r="C9" s="6" t="s">
        <v>473</v>
      </c>
      <c r="D9" s="8" t="s">
        <v>474</v>
      </c>
      <c r="E9" s="9" t="s">
        <v>475</v>
      </c>
      <c r="F9" s="10" t="s">
        <v>476</v>
      </c>
      <c r="G9" s="4" t="s">
        <v>477</v>
      </c>
    </row>
    <row r="10" customFormat="false" ht="57.75" hidden="false" customHeight="true" outlineLevel="0" collapsed="false">
      <c r="A10" s="12" t="s">
        <v>447</v>
      </c>
      <c r="B10" s="4" t="s">
        <v>478</v>
      </c>
      <c r="C10" s="6" t="s">
        <v>479</v>
      </c>
      <c r="D10" s="8" t="s">
        <v>480</v>
      </c>
      <c r="E10" s="9" t="s">
        <v>481</v>
      </c>
      <c r="F10" s="10" t="s">
        <v>482</v>
      </c>
      <c r="G10" s="4" t="s">
        <v>483</v>
      </c>
    </row>
    <row r="11" customFormat="false" ht="57.75" hidden="false" customHeight="true" outlineLevel="0" collapsed="false">
      <c r="A11" s="12" t="s">
        <v>447</v>
      </c>
      <c r="B11" s="4" t="s">
        <v>484</v>
      </c>
      <c r="C11" s="6" t="s">
        <v>485</v>
      </c>
      <c r="D11" s="8" t="s">
        <v>486</v>
      </c>
      <c r="E11" s="9" t="s">
        <v>487</v>
      </c>
      <c r="F11" s="10" t="s">
        <v>488</v>
      </c>
      <c r="G11" s="4" t="s">
        <v>489</v>
      </c>
    </row>
    <row r="12" customFormat="false" ht="57.75" hidden="false" customHeight="true" outlineLevel="0" collapsed="false">
      <c r="A12" s="12" t="s">
        <v>447</v>
      </c>
      <c r="B12" s="4" t="s">
        <v>490</v>
      </c>
      <c r="C12" s="6" t="s">
        <v>491</v>
      </c>
      <c r="D12" s="8" t="s">
        <v>492</v>
      </c>
      <c r="E12" s="9" t="s">
        <v>493</v>
      </c>
      <c r="F12" s="10" t="s">
        <v>494</v>
      </c>
      <c r="G12" s="4" t="s">
        <v>495</v>
      </c>
    </row>
    <row r="13" customFormat="false" ht="57.75" hidden="false" customHeight="true" outlineLevel="0" collapsed="false">
      <c r="A13" s="12" t="s">
        <v>447</v>
      </c>
      <c r="B13" s="4" t="s">
        <v>496</v>
      </c>
      <c r="C13" s="6" t="s">
        <v>497</v>
      </c>
      <c r="D13" s="8" t="s">
        <v>498</v>
      </c>
      <c r="E13" s="9" t="s">
        <v>499</v>
      </c>
      <c r="F13" s="10" t="s">
        <v>500</v>
      </c>
      <c r="G13" s="4" t="s">
        <v>501</v>
      </c>
    </row>
    <row r="14" customFormat="false" ht="57.75" hidden="false" customHeight="true" outlineLevel="0" collapsed="false">
      <c r="A14" s="12" t="s">
        <v>447</v>
      </c>
      <c r="B14" s="4" t="s">
        <v>502</v>
      </c>
      <c r="C14" s="6" t="s">
        <v>503</v>
      </c>
      <c r="D14" s="8" t="s">
        <v>504</v>
      </c>
      <c r="E14" s="9" t="s">
        <v>505</v>
      </c>
      <c r="F14" s="10" t="s">
        <v>506</v>
      </c>
      <c r="G14" s="4" t="s">
        <v>507</v>
      </c>
    </row>
    <row r="15" customFormat="false" ht="57.75" hidden="false" customHeight="true" outlineLevel="0" collapsed="false">
      <c r="A15" s="12" t="s">
        <v>447</v>
      </c>
      <c r="B15" s="4" t="s">
        <v>508</v>
      </c>
      <c r="C15" s="6" t="s">
        <v>509</v>
      </c>
      <c r="D15" s="8" t="s">
        <v>510</v>
      </c>
      <c r="E15" s="9" t="s">
        <v>511</v>
      </c>
      <c r="F15" s="10" t="s">
        <v>512</v>
      </c>
      <c r="G15" s="4" t="s">
        <v>513</v>
      </c>
    </row>
    <row r="16" customFormat="false" ht="57.75" hidden="false" customHeight="true" outlineLevel="0" collapsed="false">
      <c r="A16" s="12" t="s">
        <v>447</v>
      </c>
      <c r="B16" s="4" t="s">
        <v>514</v>
      </c>
      <c r="C16" s="6" t="s">
        <v>515</v>
      </c>
      <c r="D16" s="8" t="s">
        <v>516</v>
      </c>
      <c r="E16" s="9" t="s">
        <v>517</v>
      </c>
      <c r="F16" s="10" t="s">
        <v>518</v>
      </c>
      <c r="G16" s="4" t="s">
        <v>519</v>
      </c>
    </row>
    <row r="17" customFormat="false" ht="57.75" hidden="false" customHeight="true" outlineLevel="0" collapsed="false">
      <c r="A17" s="12" t="s">
        <v>520</v>
      </c>
      <c r="B17" s="4" t="s">
        <v>448</v>
      </c>
      <c r="C17" s="6" t="s">
        <v>521</v>
      </c>
      <c r="D17" s="8" t="s">
        <v>522</v>
      </c>
      <c r="E17" s="9" t="s">
        <v>523</v>
      </c>
      <c r="F17" s="10" t="s">
        <v>524</v>
      </c>
      <c r="G17" s="4" t="s">
        <v>525</v>
      </c>
    </row>
    <row r="18" customFormat="false" ht="57.75" hidden="false" customHeight="true" outlineLevel="0" collapsed="false">
      <c r="A18" s="12" t="s">
        <v>520</v>
      </c>
      <c r="B18" s="4" t="s">
        <v>454</v>
      </c>
      <c r="C18" s="6" t="s">
        <v>526</v>
      </c>
      <c r="D18" s="8" t="s">
        <v>527</v>
      </c>
      <c r="E18" s="9" t="s">
        <v>528</v>
      </c>
      <c r="F18" s="10" t="s">
        <v>529</v>
      </c>
      <c r="G18" s="4" t="s">
        <v>530</v>
      </c>
    </row>
    <row r="19" customFormat="false" ht="57.75" hidden="false" customHeight="true" outlineLevel="0" collapsed="false">
      <c r="A19" s="12" t="s">
        <v>520</v>
      </c>
      <c r="B19" s="4" t="s">
        <v>460</v>
      </c>
      <c r="C19" s="6" t="s">
        <v>531</v>
      </c>
      <c r="D19" s="8" t="s">
        <v>532</v>
      </c>
      <c r="E19" s="9" t="s">
        <v>533</v>
      </c>
      <c r="F19" s="10" t="s">
        <v>534</v>
      </c>
      <c r="G19" s="4" t="s">
        <v>535</v>
      </c>
    </row>
    <row r="20" customFormat="false" ht="57.75" hidden="false" customHeight="true" outlineLevel="0" collapsed="false">
      <c r="A20" s="12" t="s">
        <v>520</v>
      </c>
      <c r="B20" s="4" t="s">
        <v>466</v>
      </c>
      <c r="C20" s="6" t="s">
        <v>536</v>
      </c>
      <c r="D20" s="8" t="s">
        <v>537</v>
      </c>
      <c r="E20" s="9" t="s">
        <v>538</v>
      </c>
      <c r="F20" s="10" t="s">
        <v>539</v>
      </c>
      <c r="G20" s="4" t="s">
        <v>540</v>
      </c>
    </row>
    <row r="21" customFormat="false" ht="57.75" hidden="false" customHeight="true" outlineLevel="0" collapsed="false">
      <c r="A21" s="12" t="s">
        <v>520</v>
      </c>
      <c r="B21" s="4" t="s">
        <v>472</v>
      </c>
      <c r="C21" s="6" t="s">
        <v>541</v>
      </c>
      <c r="D21" s="8" t="s">
        <v>542</v>
      </c>
      <c r="E21" s="9" t="s">
        <v>543</v>
      </c>
      <c r="F21" s="10" t="s">
        <v>544</v>
      </c>
      <c r="G21" s="4" t="s">
        <v>477</v>
      </c>
    </row>
    <row r="22" customFormat="false" ht="57.75" hidden="false" customHeight="true" outlineLevel="0" collapsed="false">
      <c r="A22" s="12" t="s">
        <v>520</v>
      </c>
      <c r="B22" s="4" t="s">
        <v>478</v>
      </c>
      <c r="C22" s="6" t="s">
        <v>545</v>
      </c>
      <c r="D22" s="8" t="s">
        <v>546</v>
      </c>
      <c r="E22" s="9" t="s">
        <v>547</v>
      </c>
      <c r="F22" s="10" t="s">
        <v>548</v>
      </c>
      <c r="G22" s="4" t="s">
        <v>549</v>
      </c>
    </row>
    <row r="23" customFormat="false" ht="57.75" hidden="false" customHeight="true" outlineLevel="0" collapsed="false">
      <c r="A23" s="12" t="s">
        <v>520</v>
      </c>
      <c r="B23" s="4" t="s">
        <v>484</v>
      </c>
      <c r="C23" s="6" t="s">
        <v>550</v>
      </c>
      <c r="D23" s="8" t="s">
        <v>551</v>
      </c>
      <c r="E23" s="9" t="s">
        <v>552</v>
      </c>
      <c r="F23" s="10" t="s">
        <v>553</v>
      </c>
      <c r="G23" s="4" t="s">
        <v>554</v>
      </c>
    </row>
    <row r="24" customFormat="false" ht="57.75" hidden="false" customHeight="true" outlineLevel="0" collapsed="false">
      <c r="A24" s="12" t="s">
        <v>520</v>
      </c>
      <c r="B24" s="4" t="s">
        <v>490</v>
      </c>
      <c r="C24" s="6" t="s">
        <v>555</v>
      </c>
      <c r="D24" s="8" t="s">
        <v>556</v>
      </c>
      <c r="E24" s="9" t="s">
        <v>557</v>
      </c>
      <c r="F24" s="10" t="s">
        <v>558</v>
      </c>
      <c r="G24" s="4" t="s">
        <v>559</v>
      </c>
    </row>
    <row r="25" customFormat="false" ht="57.75" hidden="false" customHeight="true" outlineLevel="0" collapsed="false">
      <c r="A25" s="12" t="s">
        <v>520</v>
      </c>
      <c r="B25" s="4" t="s">
        <v>496</v>
      </c>
      <c r="C25" s="6" t="s">
        <v>560</v>
      </c>
      <c r="D25" s="8" t="s">
        <v>561</v>
      </c>
      <c r="E25" s="9" t="s">
        <v>562</v>
      </c>
      <c r="F25" s="10" t="s">
        <v>563</v>
      </c>
      <c r="G25" s="4" t="s">
        <v>501</v>
      </c>
    </row>
    <row r="26" customFormat="false" ht="57.75" hidden="false" customHeight="true" outlineLevel="0" collapsed="false">
      <c r="A26" s="12" t="s">
        <v>520</v>
      </c>
      <c r="B26" s="4" t="s">
        <v>502</v>
      </c>
      <c r="C26" s="6" t="s">
        <v>564</v>
      </c>
      <c r="D26" s="8" t="s">
        <v>565</v>
      </c>
      <c r="E26" s="9" t="s">
        <v>566</v>
      </c>
      <c r="F26" s="10" t="s">
        <v>567</v>
      </c>
      <c r="G26" s="4" t="s">
        <v>568</v>
      </c>
    </row>
    <row r="27" customFormat="false" ht="57.75" hidden="false" customHeight="true" outlineLevel="0" collapsed="false">
      <c r="A27" s="12" t="s">
        <v>520</v>
      </c>
      <c r="B27" s="4" t="s">
        <v>508</v>
      </c>
      <c r="C27" s="6" t="s">
        <v>569</v>
      </c>
      <c r="D27" s="8" t="s">
        <v>570</v>
      </c>
      <c r="E27" s="9" t="s">
        <v>571</v>
      </c>
      <c r="F27" s="10" t="s">
        <v>572</v>
      </c>
      <c r="G27" s="4" t="s">
        <v>573</v>
      </c>
    </row>
    <row r="28" customFormat="false" ht="57.75" hidden="false" customHeight="true" outlineLevel="0" collapsed="false">
      <c r="A28" s="12" t="s">
        <v>520</v>
      </c>
      <c r="B28" s="4" t="s">
        <v>514</v>
      </c>
      <c r="C28" s="6" t="s">
        <v>574</v>
      </c>
      <c r="D28" s="8" t="s">
        <v>575</v>
      </c>
      <c r="E28" s="9" t="s">
        <v>576</v>
      </c>
      <c r="F28" s="10" t="s">
        <v>577</v>
      </c>
      <c r="G28" s="4" t="s">
        <v>578</v>
      </c>
    </row>
    <row r="29" customFormat="false" ht="57.75" hidden="false" customHeight="true" outlineLevel="0" collapsed="false">
      <c r="A29" s="12" t="s">
        <v>579</v>
      </c>
      <c r="B29" s="4" t="s">
        <v>448</v>
      </c>
      <c r="C29" s="6" t="s">
        <v>580</v>
      </c>
      <c r="D29" s="8" t="s">
        <v>581</v>
      </c>
      <c r="E29" s="9" t="s">
        <v>582</v>
      </c>
      <c r="F29" s="10" t="s">
        <v>583</v>
      </c>
      <c r="G29" s="4" t="s">
        <v>525</v>
      </c>
    </row>
    <row r="30" customFormat="false" ht="57.75" hidden="false" customHeight="true" outlineLevel="0" collapsed="false">
      <c r="A30" s="12" t="s">
        <v>579</v>
      </c>
      <c r="B30" s="4" t="s">
        <v>454</v>
      </c>
      <c r="C30" s="6" t="s">
        <v>584</v>
      </c>
      <c r="D30" s="8" t="s">
        <v>585</v>
      </c>
      <c r="E30" s="9" t="s">
        <v>586</v>
      </c>
      <c r="F30" s="10" t="s">
        <v>587</v>
      </c>
      <c r="G30" s="4" t="s">
        <v>459</v>
      </c>
    </row>
    <row r="31" customFormat="false" ht="57.75" hidden="false" customHeight="true" outlineLevel="0" collapsed="false">
      <c r="A31" s="12" t="s">
        <v>579</v>
      </c>
      <c r="B31" s="4" t="s">
        <v>460</v>
      </c>
      <c r="C31" s="6" t="s">
        <v>588</v>
      </c>
      <c r="D31" s="8" t="s">
        <v>589</v>
      </c>
      <c r="E31" s="9" t="s">
        <v>590</v>
      </c>
      <c r="F31" s="10" t="s">
        <v>591</v>
      </c>
      <c r="G31" s="4" t="s">
        <v>535</v>
      </c>
    </row>
    <row r="32" customFormat="false" ht="57.75" hidden="false" customHeight="true" outlineLevel="0" collapsed="false">
      <c r="A32" s="12" t="s">
        <v>579</v>
      </c>
      <c r="B32" s="4" t="s">
        <v>466</v>
      </c>
      <c r="C32" s="6" t="s">
        <v>592</v>
      </c>
      <c r="D32" s="8" t="s">
        <v>593</v>
      </c>
      <c r="E32" s="9" t="s">
        <v>594</v>
      </c>
      <c r="F32" s="10" t="s">
        <v>595</v>
      </c>
      <c r="G32" s="4" t="s">
        <v>540</v>
      </c>
    </row>
    <row r="33" customFormat="false" ht="57.75" hidden="false" customHeight="true" outlineLevel="0" collapsed="false">
      <c r="A33" s="12" t="s">
        <v>579</v>
      </c>
      <c r="B33" s="4" t="s">
        <v>472</v>
      </c>
      <c r="C33" s="6" t="s">
        <v>596</v>
      </c>
      <c r="D33" s="8" t="s">
        <v>597</v>
      </c>
      <c r="E33" s="9" t="s">
        <v>598</v>
      </c>
      <c r="F33" s="10" t="s">
        <v>599</v>
      </c>
      <c r="G33" s="4" t="s">
        <v>477</v>
      </c>
    </row>
    <row r="34" customFormat="false" ht="57.75" hidden="false" customHeight="true" outlineLevel="0" collapsed="false">
      <c r="A34" s="12" t="s">
        <v>579</v>
      </c>
      <c r="B34" s="4" t="s">
        <v>478</v>
      </c>
      <c r="C34" s="6" t="s">
        <v>600</v>
      </c>
      <c r="D34" s="8" t="s">
        <v>601</v>
      </c>
      <c r="E34" s="9" t="s">
        <v>602</v>
      </c>
      <c r="F34" s="10" t="s">
        <v>603</v>
      </c>
      <c r="G34" s="4" t="s">
        <v>549</v>
      </c>
    </row>
    <row r="35" customFormat="false" ht="57.75" hidden="false" customHeight="true" outlineLevel="0" collapsed="false">
      <c r="A35" s="12" t="s">
        <v>579</v>
      </c>
      <c r="B35" s="4" t="s">
        <v>484</v>
      </c>
      <c r="C35" s="6" t="s">
        <v>604</v>
      </c>
      <c r="D35" s="8" t="s">
        <v>605</v>
      </c>
      <c r="E35" s="9" t="s">
        <v>606</v>
      </c>
      <c r="F35" s="10" t="s">
        <v>607</v>
      </c>
      <c r="G35" s="4" t="s">
        <v>489</v>
      </c>
    </row>
    <row r="36" customFormat="false" ht="57.75" hidden="false" customHeight="true" outlineLevel="0" collapsed="false">
      <c r="A36" s="12" t="s">
        <v>579</v>
      </c>
      <c r="B36" s="4" t="s">
        <v>490</v>
      </c>
      <c r="C36" s="6" t="s">
        <v>608</v>
      </c>
      <c r="D36" s="8" t="s">
        <v>609</v>
      </c>
      <c r="E36" s="9" t="s">
        <v>610</v>
      </c>
      <c r="F36" s="10" t="s">
        <v>611</v>
      </c>
      <c r="G36" s="4" t="s">
        <v>559</v>
      </c>
    </row>
    <row r="37" customFormat="false" ht="57.75" hidden="false" customHeight="true" outlineLevel="0" collapsed="false">
      <c r="A37" s="12" t="s">
        <v>579</v>
      </c>
      <c r="B37" s="4" t="s">
        <v>496</v>
      </c>
      <c r="C37" s="6" t="s">
        <v>612</v>
      </c>
      <c r="D37" s="8" t="s">
        <v>613</v>
      </c>
      <c r="E37" s="9" t="s">
        <v>614</v>
      </c>
      <c r="F37" s="10" t="s">
        <v>615</v>
      </c>
      <c r="G37" s="4" t="s">
        <v>616</v>
      </c>
    </row>
    <row r="38" customFormat="false" ht="57.75" hidden="false" customHeight="true" outlineLevel="0" collapsed="false">
      <c r="A38" s="12" t="s">
        <v>579</v>
      </c>
      <c r="B38" s="4" t="s">
        <v>502</v>
      </c>
      <c r="C38" s="6" t="s">
        <v>617</v>
      </c>
      <c r="D38" s="8" t="s">
        <v>618</v>
      </c>
      <c r="E38" s="9" t="s">
        <v>619</v>
      </c>
      <c r="F38" s="10" t="s">
        <v>620</v>
      </c>
      <c r="G38" s="4" t="s">
        <v>621</v>
      </c>
    </row>
    <row r="39" customFormat="false" ht="57.75" hidden="false" customHeight="true" outlineLevel="0" collapsed="false">
      <c r="A39" s="12" t="s">
        <v>579</v>
      </c>
      <c r="B39" s="4" t="s">
        <v>508</v>
      </c>
      <c r="C39" s="6" t="s">
        <v>622</v>
      </c>
      <c r="D39" s="8" t="s">
        <v>623</v>
      </c>
      <c r="E39" s="9" t="s">
        <v>624</v>
      </c>
      <c r="F39" s="10" t="s">
        <v>625</v>
      </c>
      <c r="G39" s="4" t="s">
        <v>626</v>
      </c>
    </row>
    <row r="40" customFormat="false" ht="57.75" hidden="false" customHeight="true" outlineLevel="0" collapsed="false">
      <c r="A40" s="12" t="s">
        <v>579</v>
      </c>
      <c r="B40" s="4" t="s">
        <v>514</v>
      </c>
      <c r="C40" s="6" t="s">
        <v>627</v>
      </c>
      <c r="D40" s="8" t="s">
        <v>628</v>
      </c>
      <c r="E40" s="9" t="s">
        <v>629</v>
      </c>
      <c r="F40" s="10" t="s">
        <v>630</v>
      </c>
      <c r="G40" s="4" t="s">
        <v>631</v>
      </c>
    </row>
    <row r="41" customFormat="false" ht="57.75" hidden="false" customHeight="true" outlineLevel="0" collapsed="false">
      <c r="A41" s="12" t="s">
        <v>632</v>
      </c>
      <c r="B41" s="4" t="s">
        <v>448</v>
      </c>
      <c r="C41" s="6" t="s">
        <v>633</v>
      </c>
      <c r="D41" s="8" t="s">
        <v>634</v>
      </c>
      <c r="E41" s="9" t="s">
        <v>635</v>
      </c>
      <c r="F41" s="10" t="s">
        <v>636</v>
      </c>
      <c r="G41" s="4" t="s">
        <v>637</v>
      </c>
    </row>
    <row r="42" customFormat="false" ht="57.75" hidden="false" customHeight="true" outlineLevel="0" collapsed="false">
      <c r="A42" s="12" t="s">
        <v>632</v>
      </c>
      <c r="B42" s="4" t="s">
        <v>454</v>
      </c>
      <c r="C42" s="6" t="s">
        <v>638</v>
      </c>
      <c r="D42" s="8" t="s">
        <v>639</v>
      </c>
      <c r="E42" s="9" t="s">
        <v>640</v>
      </c>
      <c r="F42" s="10" t="s">
        <v>641</v>
      </c>
      <c r="G42" s="4" t="s">
        <v>642</v>
      </c>
    </row>
    <row r="43" customFormat="false" ht="57.75" hidden="false" customHeight="true" outlineLevel="0" collapsed="false">
      <c r="A43" s="12" t="s">
        <v>632</v>
      </c>
      <c r="B43" s="4" t="s">
        <v>460</v>
      </c>
      <c r="C43" s="6" t="s">
        <v>643</v>
      </c>
      <c r="D43" s="8" t="s">
        <v>644</v>
      </c>
      <c r="E43" s="9" t="s">
        <v>645</v>
      </c>
      <c r="F43" s="10" t="s">
        <v>646</v>
      </c>
      <c r="G43" s="4" t="s">
        <v>647</v>
      </c>
    </row>
    <row r="44" customFormat="false" ht="57.75" hidden="false" customHeight="true" outlineLevel="0" collapsed="false">
      <c r="A44" s="12" t="s">
        <v>632</v>
      </c>
      <c r="B44" s="4" t="s">
        <v>466</v>
      </c>
      <c r="C44" s="6" t="s">
        <v>648</v>
      </c>
      <c r="D44" s="8" t="s">
        <v>649</v>
      </c>
      <c r="E44" s="9" t="s">
        <v>650</v>
      </c>
      <c r="F44" s="10" t="s">
        <v>651</v>
      </c>
      <c r="G44" s="4" t="s">
        <v>652</v>
      </c>
    </row>
    <row r="45" customFormat="false" ht="57.75" hidden="false" customHeight="true" outlineLevel="0" collapsed="false">
      <c r="A45" s="12" t="s">
        <v>632</v>
      </c>
      <c r="B45" s="4" t="s">
        <v>472</v>
      </c>
      <c r="C45" s="6" t="s">
        <v>653</v>
      </c>
      <c r="D45" s="8" t="s">
        <v>654</v>
      </c>
      <c r="E45" s="9" t="s">
        <v>655</v>
      </c>
      <c r="F45" s="10" t="s">
        <v>656</v>
      </c>
      <c r="G45" s="4" t="s">
        <v>477</v>
      </c>
    </row>
    <row r="46" customFormat="false" ht="57.75" hidden="false" customHeight="true" outlineLevel="0" collapsed="false">
      <c r="A46" s="12" t="s">
        <v>632</v>
      </c>
      <c r="B46" s="4" t="s">
        <v>478</v>
      </c>
      <c r="C46" s="6" t="s">
        <v>657</v>
      </c>
      <c r="D46" s="8" t="s">
        <v>658</v>
      </c>
      <c r="E46" s="9" t="s">
        <v>659</v>
      </c>
      <c r="F46" s="10" t="s">
        <v>660</v>
      </c>
      <c r="G46" s="4" t="s">
        <v>483</v>
      </c>
    </row>
    <row r="47" customFormat="false" ht="57.75" hidden="false" customHeight="true" outlineLevel="0" collapsed="false">
      <c r="A47" s="12" t="s">
        <v>632</v>
      </c>
      <c r="B47" s="4" t="s">
        <v>484</v>
      </c>
      <c r="C47" s="6" t="s">
        <v>661</v>
      </c>
      <c r="D47" s="8" t="s">
        <v>662</v>
      </c>
      <c r="E47" s="9" t="s">
        <v>663</v>
      </c>
      <c r="F47" s="10" t="s">
        <v>664</v>
      </c>
      <c r="G47" s="4" t="s">
        <v>489</v>
      </c>
    </row>
    <row r="48" customFormat="false" ht="57.75" hidden="false" customHeight="true" outlineLevel="0" collapsed="false">
      <c r="A48" s="12" t="s">
        <v>632</v>
      </c>
      <c r="B48" s="4" t="s">
        <v>490</v>
      </c>
      <c r="C48" s="6" t="s">
        <v>665</v>
      </c>
      <c r="D48" s="8" t="s">
        <v>666</v>
      </c>
      <c r="E48" s="9" t="s">
        <v>667</v>
      </c>
      <c r="F48" s="10" t="s">
        <v>668</v>
      </c>
      <c r="G48" s="4" t="s">
        <v>559</v>
      </c>
    </row>
    <row r="49" customFormat="false" ht="57.75" hidden="false" customHeight="true" outlineLevel="0" collapsed="false">
      <c r="A49" s="12" t="s">
        <v>632</v>
      </c>
      <c r="B49" s="4" t="s">
        <v>496</v>
      </c>
      <c r="C49" s="6" t="s">
        <v>669</v>
      </c>
      <c r="D49" s="8" t="s">
        <v>670</v>
      </c>
      <c r="E49" s="9" t="s">
        <v>671</v>
      </c>
      <c r="F49" s="10" t="s">
        <v>672</v>
      </c>
      <c r="G49" s="4" t="s">
        <v>501</v>
      </c>
    </row>
    <row r="50" customFormat="false" ht="57.75" hidden="false" customHeight="true" outlineLevel="0" collapsed="false">
      <c r="A50" s="12" t="s">
        <v>632</v>
      </c>
      <c r="B50" s="4" t="s">
        <v>502</v>
      </c>
      <c r="C50" s="6" t="s">
        <v>673</v>
      </c>
      <c r="D50" s="8" t="s">
        <v>674</v>
      </c>
      <c r="E50" s="9" t="s">
        <v>675</v>
      </c>
      <c r="F50" s="10" t="s">
        <v>676</v>
      </c>
      <c r="G50" s="4" t="s">
        <v>507</v>
      </c>
    </row>
    <row r="51" customFormat="false" ht="57.75" hidden="false" customHeight="true" outlineLevel="0" collapsed="false">
      <c r="A51" s="12" t="s">
        <v>632</v>
      </c>
      <c r="B51" s="4" t="s">
        <v>508</v>
      </c>
      <c r="C51" s="6" t="s">
        <v>677</v>
      </c>
      <c r="D51" s="8" t="s">
        <v>678</v>
      </c>
      <c r="E51" s="9" t="s">
        <v>679</v>
      </c>
      <c r="F51" s="10" t="s">
        <v>680</v>
      </c>
      <c r="G51" s="4" t="s">
        <v>681</v>
      </c>
    </row>
    <row r="52" customFormat="false" ht="57.75" hidden="false" customHeight="true" outlineLevel="0" collapsed="false">
      <c r="A52" s="12" t="s">
        <v>632</v>
      </c>
      <c r="B52" s="4" t="s">
        <v>514</v>
      </c>
      <c r="C52" s="6" t="s">
        <v>682</v>
      </c>
      <c r="D52" s="8" t="s">
        <v>683</v>
      </c>
      <c r="E52" s="9" t="s">
        <v>684</v>
      </c>
      <c r="F52" s="10" t="s">
        <v>685</v>
      </c>
      <c r="G52" s="4" t="s">
        <v>519</v>
      </c>
    </row>
  </sheetData>
  <autoFilter ref="A4:G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50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1" t="s">
        <v>686</v>
      </c>
    </row>
    <row r="2" customFormat="false" ht="15" hidden="false" customHeight="false" outlineLevel="0" collapsed="false">
      <c r="A2" s="2" t="s">
        <v>687</v>
      </c>
    </row>
    <row r="4" customFormat="false" ht="15" hidden="false" customHeight="true" outlineLevel="0" collapsed="false">
      <c r="A4" s="5" t="s">
        <v>688</v>
      </c>
      <c r="B4" s="5" t="s">
        <v>689</v>
      </c>
      <c r="C4" s="5" t="s">
        <v>690</v>
      </c>
      <c r="D4" s="5" t="s">
        <v>691</v>
      </c>
      <c r="E4" s="5" t="s">
        <v>692</v>
      </c>
      <c r="F4" s="5" t="s">
        <v>384</v>
      </c>
      <c r="H4" s="3" t="s">
        <v>693</v>
      </c>
      <c r="I4" s="3"/>
      <c r="J4" s="3"/>
    </row>
    <row r="5" customFormat="false" ht="15" hidden="false" customHeight="false" outlineLevel="0" collapsed="false">
      <c r="A5" s="12" t="s">
        <v>694</v>
      </c>
      <c r="B5" s="4" t="s">
        <v>695</v>
      </c>
      <c r="C5" s="21" t="n">
        <v>1.1</v>
      </c>
      <c r="D5" s="21" t="n">
        <v>1.2</v>
      </c>
      <c r="E5" s="21" t="n">
        <v>1.3</v>
      </c>
      <c r="F5" s="4" t="s">
        <v>696</v>
      </c>
      <c r="H5" s="12" t="s">
        <v>688</v>
      </c>
      <c r="I5" s="22" t="s">
        <v>697</v>
      </c>
    </row>
    <row r="6" customFormat="false" ht="15" hidden="false" customHeight="false" outlineLevel="0" collapsed="false">
      <c r="A6" s="12" t="s">
        <v>698</v>
      </c>
      <c r="B6" s="4" t="s">
        <v>699</v>
      </c>
      <c r="C6" s="21" t="n">
        <v>1.12</v>
      </c>
      <c r="D6" s="21" t="n">
        <v>1.22</v>
      </c>
      <c r="E6" s="21" t="n">
        <v>1.32</v>
      </c>
      <c r="F6" s="4" t="s">
        <v>700</v>
      </c>
      <c r="H6" s="12" t="s">
        <v>441</v>
      </c>
      <c r="I6" s="22" t="s">
        <v>701</v>
      </c>
    </row>
    <row r="7" customFormat="false" ht="15" hidden="false" customHeight="false" outlineLevel="0" collapsed="false">
      <c r="A7" s="12" t="s">
        <v>702</v>
      </c>
      <c r="B7" s="4" t="s">
        <v>703</v>
      </c>
      <c r="C7" s="21" t="n">
        <v>1.2</v>
      </c>
      <c r="D7" s="21" t="n">
        <v>1.35</v>
      </c>
      <c r="E7" s="21" t="n">
        <v>1.5</v>
      </c>
      <c r="F7" s="4" t="s">
        <v>704</v>
      </c>
      <c r="H7" s="12" t="s">
        <v>705</v>
      </c>
      <c r="I7" s="22" t="s">
        <v>706</v>
      </c>
    </row>
    <row r="8" customFormat="false" ht="15" hidden="false" customHeight="false" outlineLevel="0" collapsed="false">
      <c r="A8" s="12" t="s">
        <v>697</v>
      </c>
      <c r="B8" s="4" t="s">
        <v>707</v>
      </c>
      <c r="C8" s="21" t="n">
        <v>1.35</v>
      </c>
      <c r="D8" s="21" t="n">
        <v>1.55</v>
      </c>
      <c r="E8" s="21" t="n">
        <v>1.8</v>
      </c>
      <c r="F8" s="4" t="s">
        <v>708</v>
      </c>
    </row>
    <row r="9" customFormat="false" ht="15" hidden="false" customHeight="false" outlineLevel="0" collapsed="false">
      <c r="H9" s="12" t="s">
        <v>709</v>
      </c>
      <c r="I9" s="23" t="n">
        <f aca="false">INDEX($C$5:$C$8,MATCH($I$5,$A$5:$A$8,0))+INDEX($C$12:$C$23,MATCH($I$6,$A$12:$A$23,0))+INDEX($C$27:$C$29,MATCH($I$7,$A$27:$A$29,0))</f>
        <v>1.6</v>
      </c>
    </row>
    <row r="10" customFormat="false" ht="15" hidden="false" customHeight="false" outlineLevel="0" collapsed="false">
      <c r="H10" s="12" t="s">
        <v>710</v>
      </c>
      <c r="I10" s="23" t="n">
        <f aca="false">INDEX($D$5:$D$8,MATCH($I$5,$A$5:$A$8,0))+INDEX($C$12:$C$23,MATCH($I$6,$A$12:$A$23,0))+INDEX($C$27:$C$29,MATCH($I$7,$A$27:$A$29,0))</f>
        <v>1.8</v>
      </c>
    </row>
    <row r="11" customFormat="false" ht="15" hidden="false" customHeight="false" outlineLevel="0" collapsed="false">
      <c r="A11" s="5" t="s">
        <v>441</v>
      </c>
      <c r="B11" s="5" t="s">
        <v>689</v>
      </c>
      <c r="C11" s="5" t="s">
        <v>711</v>
      </c>
      <c r="H11" s="12" t="s">
        <v>712</v>
      </c>
      <c r="I11" s="23" t="n">
        <f aca="false">INDEX($E$5:$E$8,MATCH($I$5,$A$5:$A$8,0))+INDEX($C$12:$C$23,MATCH($I$6,$A$12:$A$23,0))+INDEX($C$27:$C$29,MATCH($I$7,$A$27:$A$29,0))</f>
        <v>2.05</v>
      </c>
    </row>
    <row r="12" customFormat="false" ht="15" hidden="false" customHeight="false" outlineLevel="0" collapsed="false">
      <c r="A12" s="12" t="s">
        <v>713</v>
      </c>
      <c r="B12" s="4" t="s">
        <v>714</v>
      </c>
      <c r="C12" s="24" t="n">
        <v>-0.05</v>
      </c>
    </row>
    <row r="13" customFormat="false" ht="15" hidden="false" customHeight="false" outlineLevel="0" collapsed="false">
      <c r="A13" s="12" t="s">
        <v>715</v>
      </c>
      <c r="B13" s="4" t="s">
        <v>716</v>
      </c>
      <c r="C13" s="24" t="n">
        <v>0</v>
      </c>
      <c r="H13" s="12" t="s">
        <v>717</v>
      </c>
      <c r="I13" s="25" t="n">
        <v>1.059</v>
      </c>
    </row>
    <row r="14" customFormat="false" ht="15" hidden="false" customHeight="false" outlineLevel="0" collapsed="false">
      <c r="A14" s="12" t="s">
        <v>718</v>
      </c>
      <c r="B14" s="4" t="s">
        <v>719</v>
      </c>
      <c r="C14" s="24" t="n">
        <v>0</v>
      </c>
      <c r="H14" s="12" t="s">
        <v>720</v>
      </c>
      <c r="I14" s="7" t="n">
        <f aca="false">IF(I13&lt;I9,Paramètres!$B$8,IF(I13&lt;I10,Paramètres!$B$7,IF(I13&lt;I11,Paramètres!$B$6,Paramètres!$B$5)))</f>
        <v>20</v>
      </c>
    </row>
    <row r="15" customFormat="false" ht="15" hidden="false" customHeight="false" outlineLevel="0" collapsed="false">
      <c r="A15" s="12" t="s">
        <v>721</v>
      </c>
      <c r="B15" s="4" t="s">
        <v>722</v>
      </c>
      <c r="C15" s="24" t="n">
        <v>0.05</v>
      </c>
      <c r="H15" s="12" t="s">
        <v>723</v>
      </c>
      <c r="I15" s="7" t="str">
        <f aca="false">IF(I13&lt;I9,"Actif : note ≤ 5","Non")</f>
        <v>Actif : note ≤ 5</v>
      </c>
    </row>
    <row r="16" customFormat="false" ht="15" hidden="false" customHeight="true" outlineLevel="0" collapsed="false">
      <c r="A16" s="12" t="s">
        <v>724</v>
      </c>
      <c r="B16" s="4" t="s">
        <v>725</v>
      </c>
      <c r="C16" s="24" t="n">
        <v>0.05</v>
      </c>
      <c r="H16" s="4" t="s">
        <v>726</v>
      </c>
      <c r="I16" s="4"/>
      <c r="J16" s="4"/>
    </row>
    <row r="17" customFormat="false" ht="15" hidden="false" customHeight="false" outlineLevel="0" collapsed="false">
      <c r="A17" s="12" t="s">
        <v>727</v>
      </c>
      <c r="B17" s="4" t="s">
        <v>728</v>
      </c>
      <c r="C17" s="24" t="n">
        <v>0.05</v>
      </c>
      <c r="H17" s="4"/>
      <c r="I17" s="4"/>
      <c r="J17" s="4"/>
    </row>
    <row r="18" customFormat="false" ht="15" hidden="false" customHeight="false" outlineLevel="0" collapsed="false">
      <c r="A18" s="12" t="s">
        <v>729</v>
      </c>
      <c r="B18" s="4" t="s">
        <v>730</v>
      </c>
      <c r="C18" s="24" t="n">
        <v>0.05</v>
      </c>
      <c r="H18" s="4"/>
      <c r="I18" s="4"/>
      <c r="J18" s="4"/>
    </row>
    <row r="19" customFormat="false" ht="15" hidden="false" customHeight="false" outlineLevel="0" collapsed="false">
      <c r="A19" s="12" t="s">
        <v>731</v>
      </c>
      <c r="B19" s="4" t="s">
        <v>732</v>
      </c>
      <c r="C19" s="24" t="n">
        <v>0.05</v>
      </c>
      <c r="H19" s="4"/>
      <c r="I19" s="4"/>
      <c r="J19" s="4"/>
    </row>
    <row r="20" customFormat="false" ht="15" hidden="false" customHeight="false" outlineLevel="0" collapsed="false">
      <c r="A20" s="12" t="s">
        <v>733</v>
      </c>
      <c r="B20" s="4" t="s">
        <v>734</v>
      </c>
      <c r="C20" s="24" t="n">
        <v>0.1</v>
      </c>
    </row>
    <row r="21" customFormat="false" ht="15" hidden="false" customHeight="false" outlineLevel="0" collapsed="false">
      <c r="A21" s="12" t="s">
        <v>735</v>
      </c>
      <c r="B21" s="4" t="s">
        <v>736</v>
      </c>
      <c r="C21" s="24" t="n">
        <v>0.15</v>
      </c>
    </row>
    <row r="22" customFormat="false" ht="15" hidden="false" customHeight="false" outlineLevel="0" collapsed="false">
      <c r="A22" s="12" t="s">
        <v>701</v>
      </c>
      <c r="B22" s="4" t="s">
        <v>737</v>
      </c>
      <c r="C22" s="24" t="n">
        <v>0.2</v>
      </c>
    </row>
    <row r="23" customFormat="false" ht="15" hidden="false" customHeight="false" outlineLevel="0" collapsed="false">
      <c r="A23" s="12" t="s">
        <v>738</v>
      </c>
      <c r="B23" s="4" t="s">
        <v>739</v>
      </c>
      <c r="C23" s="24" t="n">
        <v>0.25</v>
      </c>
    </row>
    <row r="26" customFormat="false" ht="15" hidden="false" customHeight="false" outlineLevel="0" collapsed="false">
      <c r="A26" s="5" t="s">
        <v>705</v>
      </c>
      <c r="B26" s="5" t="s">
        <v>689</v>
      </c>
      <c r="C26" s="5" t="s">
        <v>740</v>
      </c>
    </row>
    <row r="27" customFormat="false" ht="15" hidden="false" customHeight="false" outlineLevel="0" collapsed="false">
      <c r="A27" s="12" t="s">
        <v>741</v>
      </c>
      <c r="B27" s="4" t="s">
        <v>742</v>
      </c>
      <c r="C27" s="21" t="n">
        <v>0</v>
      </c>
    </row>
    <row r="28" customFormat="false" ht="15" hidden="false" customHeight="false" outlineLevel="0" collapsed="false">
      <c r="A28" s="12" t="s">
        <v>706</v>
      </c>
      <c r="B28" s="4" t="s">
        <v>743</v>
      </c>
      <c r="C28" s="21" t="n">
        <v>0.05</v>
      </c>
    </row>
    <row r="29" customFormat="false" ht="15" hidden="false" customHeight="false" outlineLevel="0" collapsed="false">
      <c r="A29" s="12" t="s">
        <v>744</v>
      </c>
      <c r="B29" s="4" t="s">
        <v>745</v>
      </c>
      <c r="C29" s="21" t="n">
        <v>0</v>
      </c>
    </row>
    <row r="32" customFormat="false" ht="15" hidden="false" customHeight="false" outlineLevel="0" collapsed="false">
      <c r="A32" s="5" t="s">
        <v>29</v>
      </c>
      <c r="B32" s="5" t="s">
        <v>689</v>
      </c>
      <c r="C32" s="5" t="s">
        <v>746</v>
      </c>
      <c r="D32" s="5" t="s">
        <v>747</v>
      </c>
      <c r="E32" s="5" t="s">
        <v>748</v>
      </c>
    </row>
    <row r="33" customFormat="false" ht="15" hidden="false" customHeight="false" outlineLevel="0" collapsed="false">
      <c r="A33" s="12" t="s">
        <v>749</v>
      </c>
      <c r="B33" s="4" t="s">
        <v>750</v>
      </c>
      <c r="C33" s="26" t="n">
        <v>0.1</v>
      </c>
      <c r="D33" s="26" t="n">
        <v>0.08</v>
      </c>
      <c r="E33" s="26" t="n">
        <v>0.05</v>
      </c>
    </row>
    <row r="34" customFormat="false" ht="15" hidden="false" customHeight="false" outlineLevel="0" collapsed="false">
      <c r="A34" s="12" t="s">
        <v>751</v>
      </c>
      <c r="B34" s="4" t="s">
        <v>752</v>
      </c>
      <c r="C34" s="26" t="n">
        <v>0.1</v>
      </c>
      <c r="D34" s="26" t="n">
        <v>0.07</v>
      </c>
      <c r="E34" s="26" t="n">
        <v>0.05</v>
      </c>
    </row>
    <row r="35" customFormat="false" ht="15" hidden="false" customHeight="false" outlineLevel="0" collapsed="false">
      <c r="A35" s="12" t="s">
        <v>753</v>
      </c>
      <c r="B35" s="4" t="s">
        <v>754</v>
      </c>
      <c r="C35" s="26" t="n">
        <v>0.2</v>
      </c>
      <c r="D35" s="26" t="n">
        <v>0.08</v>
      </c>
      <c r="E35" s="26" t="n">
        <v>0</v>
      </c>
    </row>
    <row r="36" customFormat="false" ht="15" hidden="false" customHeight="false" outlineLevel="0" collapsed="false">
      <c r="A36" s="12" t="s">
        <v>755</v>
      </c>
      <c r="B36" s="4" t="s">
        <v>756</v>
      </c>
      <c r="C36" s="26" t="n">
        <v>0.05</v>
      </c>
      <c r="D36" s="26" t="n">
        <v>0.12</v>
      </c>
      <c r="E36" s="26" t="n">
        <v>0.15</v>
      </c>
    </row>
    <row r="37" customFormat="false" ht="15" hidden="false" customHeight="false" outlineLevel="0" collapsed="false">
      <c r="A37" s="12" t="s">
        <v>757</v>
      </c>
      <c r="B37" s="4" t="s">
        <v>758</v>
      </c>
      <c r="C37" s="26" t="n">
        <v>0.05</v>
      </c>
      <c r="D37" s="26" t="n">
        <v>0.12</v>
      </c>
      <c r="E37" s="26" t="n">
        <v>0.15</v>
      </c>
    </row>
    <row r="38" customFormat="false" ht="15" hidden="false" customHeight="false" outlineLevel="0" collapsed="false">
      <c r="A38" s="12" t="s">
        <v>759</v>
      </c>
      <c r="B38" s="4" t="s">
        <v>760</v>
      </c>
      <c r="C38" s="26" t="n">
        <v>0.1</v>
      </c>
      <c r="D38" s="26" t="n">
        <v>0.12</v>
      </c>
      <c r="E38" s="26" t="n">
        <v>0.15</v>
      </c>
    </row>
    <row r="39" customFormat="false" ht="15" hidden="false" customHeight="false" outlineLevel="0" collapsed="false">
      <c r="A39" s="12" t="s">
        <v>761</v>
      </c>
      <c r="B39" s="4" t="s">
        <v>762</v>
      </c>
      <c r="C39" s="26" t="n">
        <v>0.25</v>
      </c>
      <c r="D39" s="26" t="n">
        <v>0.28</v>
      </c>
      <c r="E39" s="26" t="n">
        <v>0.3</v>
      </c>
    </row>
    <row r="40" customFormat="false" ht="15" hidden="false" customHeight="false" outlineLevel="0" collapsed="false">
      <c r="A40" s="12" t="s">
        <v>763</v>
      </c>
      <c r="B40" s="4" t="s">
        <v>764</v>
      </c>
      <c r="C40" s="26" t="n">
        <v>0.1</v>
      </c>
      <c r="D40" s="26" t="n">
        <v>0.08</v>
      </c>
      <c r="E40" s="26" t="n">
        <v>0.1</v>
      </c>
    </row>
    <row r="41" customFormat="false" ht="15" hidden="false" customHeight="false" outlineLevel="0" collapsed="false">
      <c r="A41" s="12" t="s">
        <v>765</v>
      </c>
      <c r="B41" s="4" t="s">
        <v>766</v>
      </c>
      <c r="C41" s="26" t="n">
        <v>0.05</v>
      </c>
      <c r="D41" s="26" t="n">
        <v>0.05</v>
      </c>
      <c r="E41" s="26" t="n">
        <v>0.05</v>
      </c>
    </row>
    <row r="42" customFormat="false" ht="15" hidden="false" customHeight="false" outlineLevel="0" collapsed="false">
      <c r="B42" s="12" t="s">
        <v>767</v>
      </c>
      <c r="C42" s="27" t="n">
        <f aca="false">SUM(C33:C41)</f>
        <v>1</v>
      </c>
      <c r="D42" s="27" t="n">
        <f aca="false">SUM(D33:D41)</f>
        <v>1</v>
      </c>
      <c r="E42" s="27" t="n">
        <f aca="false">SUM(E33:E41)</f>
        <v>1</v>
      </c>
    </row>
  </sheetData>
  <mergeCells count="2">
    <mergeCell ref="H4:J4"/>
    <mergeCell ref="H16:J19"/>
  </mergeCells>
  <dataValidations count="3">
    <dataValidation allowBlank="false" errorStyle="stop" operator="between" showDropDown="false" showErrorMessage="false" showInputMessage="false" sqref="I5" type="list">
      <formula1>$A$5:$A$8</formula1>
      <formula2>0</formula2>
    </dataValidation>
    <dataValidation allowBlank="false" errorStyle="stop" operator="between" showDropDown="false" showErrorMessage="false" showInputMessage="false" sqref="I6" type="list">
      <formula1>$A$12:$A$23</formula1>
      <formula2>0</formula2>
    </dataValidation>
    <dataValidation allowBlank="false" errorStyle="stop" operator="between" showDropDown="false" showErrorMessage="false" showInputMessage="false" sqref="I7" type="list">
      <formula1>$A$27:$A$29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768</v>
      </c>
    </row>
    <row r="2" customFormat="false" ht="15" hidden="false" customHeight="false" outlineLevel="0" collapsed="false">
      <c r="A2" s="2" t="s">
        <v>769</v>
      </c>
    </row>
    <row r="4" customFormat="false" ht="15" hidden="false" customHeight="false" outlineLevel="0" collapsed="false">
      <c r="A4" s="5" t="s">
        <v>380</v>
      </c>
      <c r="B4" s="5" t="s">
        <v>770</v>
      </c>
      <c r="C4" s="5" t="s">
        <v>771</v>
      </c>
      <c r="D4" s="5" t="s">
        <v>772</v>
      </c>
    </row>
    <row r="5" customFormat="false" ht="31.5" hidden="false" customHeight="true" outlineLevel="0" collapsed="false">
      <c r="A5" s="12" t="s">
        <v>773</v>
      </c>
      <c r="B5" s="4" t="s">
        <v>774</v>
      </c>
      <c r="C5" s="28" t="n">
        <v>3</v>
      </c>
      <c r="D5" s="4" t="s">
        <v>775</v>
      </c>
    </row>
    <row r="6" customFormat="false" ht="31.5" hidden="false" customHeight="true" outlineLevel="0" collapsed="false">
      <c r="A6" s="12" t="s">
        <v>776</v>
      </c>
      <c r="B6" s="4" t="s">
        <v>777</v>
      </c>
      <c r="C6" s="28" t="n">
        <v>5</v>
      </c>
      <c r="D6" s="4" t="s">
        <v>778</v>
      </c>
    </row>
    <row r="7" customFormat="false" ht="31.5" hidden="false" customHeight="true" outlineLevel="0" collapsed="false">
      <c r="A7" s="12" t="s">
        <v>779</v>
      </c>
      <c r="B7" s="4" t="s">
        <v>780</v>
      </c>
      <c r="C7" s="28" t="n">
        <v>4</v>
      </c>
      <c r="D7" s="4" t="s">
        <v>781</v>
      </c>
    </row>
    <row r="8" customFormat="false" ht="31.5" hidden="false" customHeight="true" outlineLevel="0" collapsed="false">
      <c r="A8" s="12" t="s">
        <v>782</v>
      </c>
      <c r="B8" s="4" t="s">
        <v>783</v>
      </c>
      <c r="C8" s="28" t="n">
        <v>4</v>
      </c>
      <c r="D8" s="4" t="s">
        <v>784</v>
      </c>
    </row>
    <row r="9" customFormat="false" ht="31.5" hidden="false" customHeight="true" outlineLevel="0" collapsed="false">
      <c r="A9" s="12" t="s">
        <v>785</v>
      </c>
      <c r="B9" s="4" t="s">
        <v>786</v>
      </c>
      <c r="C9" s="28" t="n">
        <v>5</v>
      </c>
      <c r="D9" s="4" t="s">
        <v>787</v>
      </c>
    </row>
    <row r="10" customFormat="false" ht="31.5" hidden="false" customHeight="true" outlineLevel="0" collapsed="false">
      <c r="A10" s="12" t="s">
        <v>788</v>
      </c>
      <c r="B10" s="4" t="s">
        <v>789</v>
      </c>
      <c r="C10" s="28" t="n">
        <v>5</v>
      </c>
      <c r="D10" s="4" t="s">
        <v>790</v>
      </c>
    </row>
    <row r="11" customFormat="false" ht="31.5" hidden="false" customHeight="true" outlineLevel="0" collapsed="false">
      <c r="A11" s="12" t="s">
        <v>791</v>
      </c>
      <c r="B11" s="4" t="s">
        <v>792</v>
      </c>
      <c r="C11" s="28" t="n">
        <v>6</v>
      </c>
      <c r="D11" s="4" t="s">
        <v>793</v>
      </c>
    </row>
    <row r="12" customFormat="false" ht="31.5" hidden="false" customHeight="true" outlineLevel="0" collapsed="false">
      <c r="A12" s="12" t="s">
        <v>794</v>
      </c>
      <c r="B12" s="4" t="s">
        <v>795</v>
      </c>
      <c r="C12" s="28" t="n">
        <v>5</v>
      </c>
      <c r="D12" s="4" t="s">
        <v>796</v>
      </c>
    </row>
    <row r="13" customFormat="false" ht="31.5" hidden="false" customHeight="true" outlineLevel="0" collapsed="false">
      <c r="A13" s="12" t="s">
        <v>797</v>
      </c>
      <c r="B13" s="4" t="s">
        <v>798</v>
      </c>
      <c r="C13" s="28" t="n">
        <v>5</v>
      </c>
      <c r="D13" s="4" t="s">
        <v>799</v>
      </c>
    </row>
    <row r="14" customFormat="false" ht="31.5" hidden="false" customHeight="true" outlineLevel="0" collapsed="false">
      <c r="A14" s="12" t="s">
        <v>800</v>
      </c>
      <c r="B14" s="4" t="s">
        <v>801</v>
      </c>
      <c r="C14" s="28" t="n">
        <v>6</v>
      </c>
      <c r="D14" s="4" t="s">
        <v>802</v>
      </c>
    </row>
    <row r="15" customFormat="false" ht="31.5" hidden="false" customHeight="true" outlineLevel="0" collapsed="false">
      <c r="A15" s="12" t="s">
        <v>803</v>
      </c>
      <c r="B15" s="4" t="s">
        <v>804</v>
      </c>
      <c r="C15" s="28" t="n">
        <v>6</v>
      </c>
      <c r="D15" s="4" t="s">
        <v>805</v>
      </c>
    </row>
    <row r="16" customFormat="false" ht="31.5" hidden="false" customHeight="true" outlineLevel="0" collapsed="false">
      <c r="A16" s="12" t="s">
        <v>806</v>
      </c>
      <c r="B16" s="4" t="s">
        <v>807</v>
      </c>
      <c r="C16" s="28" t="n">
        <v>6</v>
      </c>
      <c r="D16" s="4" t="s">
        <v>808</v>
      </c>
    </row>
    <row r="17" customFormat="false" ht="31.5" hidden="false" customHeight="true" outlineLevel="0" collapsed="false">
      <c r="A17" s="12" t="s">
        <v>809</v>
      </c>
      <c r="B17" s="4" t="s">
        <v>810</v>
      </c>
      <c r="C17" s="28" t="n">
        <v>7</v>
      </c>
      <c r="D17" s="4" t="s">
        <v>811</v>
      </c>
    </row>
    <row r="18" customFormat="false" ht="31.5" hidden="false" customHeight="true" outlineLevel="0" collapsed="false">
      <c r="A18" s="12" t="s">
        <v>812</v>
      </c>
      <c r="B18" s="4" t="s">
        <v>813</v>
      </c>
      <c r="C18" s="28" t="n">
        <v>6</v>
      </c>
      <c r="D18" s="4" t="s">
        <v>814</v>
      </c>
    </row>
    <row r="19" customFormat="false" ht="31.5" hidden="false" customHeight="true" outlineLevel="0" collapsed="false">
      <c r="A19" s="12" t="s">
        <v>815</v>
      </c>
      <c r="B19" s="4" t="s">
        <v>816</v>
      </c>
      <c r="C19" s="28" t="n">
        <v>6</v>
      </c>
      <c r="D19" s="4" t="s">
        <v>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818</v>
      </c>
    </row>
    <row r="2" customFormat="false" ht="15" hidden="false" customHeight="false" outlineLevel="0" collapsed="false">
      <c r="A2" s="2" t="s">
        <v>819</v>
      </c>
    </row>
    <row r="4" customFormat="false" ht="15" hidden="false" customHeight="false" outlineLevel="0" collapsed="false">
      <c r="A4" s="5" t="s">
        <v>380</v>
      </c>
      <c r="B4" s="5" t="s">
        <v>770</v>
      </c>
      <c r="C4" s="5" t="s">
        <v>820</v>
      </c>
      <c r="D4" s="5" t="s">
        <v>384</v>
      </c>
    </row>
    <row r="5" customFormat="false" ht="31.5" hidden="false" customHeight="true" outlineLevel="0" collapsed="false">
      <c r="A5" s="12" t="s">
        <v>821</v>
      </c>
      <c r="B5" s="4" t="s">
        <v>822</v>
      </c>
      <c r="C5" s="4" t="s">
        <v>823</v>
      </c>
      <c r="D5" s="4" t="s">
        <v>824</v>
      </c>
    </row>
    <row r="6" customFormat="false" ht="31.5" hidden="false" customHeight="true" outlineLevel="0" collapsed="false">
      <c r="A6" s="12" t="s">
        <v>825</v>
      </c>
      <c r="B6" s="4" t="s">
        <v>826</v>
      </c>
      <c r="C6" s="4" t="s">
        <v>823</v>
      </c>
      <c r="D6" s="4" t="s">
        <v>827</v>
      </c>
    </row>
    <row r="7" customFormat="false" ht="31.5" hidden="false" customHeight="true" outlineLevel="0" collapsed="false">
      <c r="A7" s="12" t="s">
        <v>828</v>
      </c>
      <c r="B7" s="4" t="s">
        <v>829</v>
      </c>
      <c r="C7" s="4" t="s">
        <v>823</v>
      </c>
      <c r="D7" s="4" t="s">
        <v>830</v>
      </c>
    </row>
    <row r="8" customFormat="false" ht="31.5" hidden="false" customHeight="true" outlineLevel="0" collapsed="false">
      <c r="A8" s="12" t="s">
        <v>831</v>
      </c>
      <c r="B8" s="4" t="s">
        <v>832</v>
      </c>
      <c r="C8" s="4" t="s">
        <v>823</v>
      </c>
      <c r="D8" s="4" t="s">
        <v>833</v>
      </c>
    </row>
    <row r="9" customFormat="false" ht="31.5" hidden="false" customHeight="true" outlineLevel="0" collapsed="false">
      <c r="A9" s="12" t="s">
        <v>834</v>
      </c>
      <c r="B9" s="4" t="s">
        <v>835</v>
      </c>
      <c r="C9" s="4" t="s">
        <v>836</v>
      </c>
      <c r="D9" s="4" t="s">
        <v>837</v>
      </c>
    </row>
    <row r="10" customFormat="false" ht="31.5" hidden="false" customHeight="true" outlineLevel="0" collapsed="false">
      <c r="A10" s="12" t="s">
        <v>838</v>
      </c>
      <c r="B10" s="4" t="s">
        <v>839</v>
      </c>
      <c r="C10" s="4" t="s">
        <v>836</v>
      </c>
      <c r="D10" s="4" t="s">
        <v>840</v>
      </c>
    </row>
    <row r="11" customFormat="false" ht="31.5" hidden="false" customHeight="true" outlineLevel="0" collapsed="false">
      <c r="A11" s="12" t="s">
        <v>841</v>
      </c>
      <c r="B11" s="4" t="s">
        <v>842</v>
      </c>
      <c r="C11" s="4" t="s">
        <v>843</v>
      </c>
      <c r="D11" s="4" t="s">
        <v>844</v>
      </c>
    </row>
    <row r="12" customFormat="false" ht="31.5" hidden="false" customHeight="true" outlineLevel="0" collapsed="false">
      <c r="A12" s="12" t="s">
        <v>845</v>
      </c>
      <c r="B12" s="4" t="s">
        <v>846</v>
      </c>
      <c r="C12" s="4" t="s">
        <v>836</v>
      </c>
      <c r="D12" s="4" t="s">
        <v>847</v>
      </c>
    </row>
    <row r="13" customFormat="false" ht="31.5" hidden="false" customHeight="true" outlineLevel="0" collapsed="false">
      <c r="A13" s="12" t="s">
        <v>848</v>
      </c>
      <c r="B13" s="4" t="s">
        <v>849</v>
      </c>
      <c r="C13" s="4" t="s">
        <v>843</v>
      </c>
      <c r="D13" s="4" t="s">
        <v>850</v>
      </c>
    </row>
    <row r="14" customFormat="false" ht="31.5" hidden="false" customHeight="true" outlineLevel="0" collapsed="false">
      <c r="A14" s="12" t="s">
        <v>851</v>
      </c>
      <c r="B14" s="4" t="s">
        <v>852</v>
      </c>
      <c r="C14" s="4" t="s">
        <v>853</v>
      </c>
      <c r="D14" s="4" t="s">
        <v>854</v>
      </c>
    </row>
    <row r="15" customFormat="false" ht="31.5" hidden="false" customHeight="true" outlineLevel="0" collapsed="false">
      <c r="A15" s="12" t="s">
        <v>855</v>
      </c>
      <c r="B15" s="4" t="s">
        <v>856</v>
      </c>
      <c r="C15" s="4" t="s">
        <v>853</v>
      </c>
      <c r="D15" s="4" t="s">
        <v>817</v>
      </c>
    </row>
    <row r="16" customFormat="false" ht="31.5" hidden="false" customHeight="true" outlineLevel="0" collapsed="false">
      <c r="A16" s="12" t="s">
        <v>857</v>
      </c>
      <c r="B16" s="4" t="s">
        <v>858</v>
      </c>
      <c r="C16" s="4" t="s">
        <v>836</v>
      </c>
      <c r="D16" s="4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860</v>
      </c>
    </row>
    <row r="2" customFormat="false" ht="15" hidden="false" customHeight="false" outlineLevel="0" collapsed="false">
      <c r="A2" s="2" t="s">
        <v>861</v>
      </c>
    </row>
    <row r="4" customFormat="false" ht="15" hidden="false" customHeight="false" outlineLevel="0" collapsed="false">
      <c r="A4" s="5" t="s">
        <v>862</v>
      </c>
      <c r="B4" s="5" t="s">
        <v>17</v>
      </c>
      <c r="C4" s="5" t="s">
        <v>689</v>
      </c>
      <c r="D4" s="5" t="s">
        <v>863</v>
      </c>
      <c r="F4" s="12" t="s">
        <v>864</v>
      </c>
      <c r="G4" s="29" t="n">
        <v>73.7</v>
      </c>
    </row>
    <row r="5" customFormat="false" ht="15" hidden="false" customHeight="false" outlineLevel="0" collapsed="false">
      <c r="A5" s="28" t="n">
        <v>0</v>
      </c>
      <c r="B5" s="7" t="n">
        <v>1</v>
      </c>
      <c r="C5" s="4" t="s">
        <v>865</v>
      </c>
      <c r="D5" s="4" t="s">
        <v>866</v>
      </c>
      <c r="F5" s="12" t="s">
        <v>867</v>
      </c>
      <c r="G5" s="7" t="n">
        <f aca="false">INDEX($B$5:$B$14,MATCH(G4,$A$5:$A$14,1))</f>
        <v>7</v>
      </c>
    </row>
    <row r="6" customFormat="false" ht="15" hidden="false" customHeight="false" outlineLevel="0" collapsed="false">
      <c r="A6" s="28" t="n">
        <v>32</v>
      </c>
      <c r="B6" s="7" t="n">
        <v>2</v>
      </c>
      <c r="C6" s="4" t="s">
        <v>10</v>
      </c>
      <c r="D6" s="4" t="s">
        <v>868</v>
      </c>
      <c r="F6" s="12" t="s">
        <v>869</v>
      </c>
      <c r="G6" s="22" t="n">
        <v>4</v>
      </c>
    </row>
    <row r="7" customFormat="false" ht="15" hidden="false" customHeight="false" outlineLevel="0" collapsed="false">
      <c r="A7" s="28" t="n">
        <v>42</v>
      </c>
      <c r="B7" s="7" t="n">
        <v>3</v>
      </c>
      <c r="C7" s="4" t="s">
        <v>870</v>
      </c>
      <c r="D7" s="4" t="s">
        <v>871</v>
      </c>
      <c r="F7" s="12" t="s">
        <v>872</v>
      </c>
      <c r="G7" s="30" t="n">
        <f aca="false">MIN(G5,G6)</f>
        <v>4</v>
      </c>
    </row>
    <row r="8" customFormat="false" ht="15" hidden="false" customHeight="false" outlineLevel="0" collapsed="false">
      <c r="A8" s="28" t="n">
        <v>50</v>
      </c>
      <c r="B8" s="7" t="n">
        <v>4</v>
      </c>
      <c r="C8" s="4" t="s">
        <v>873</v>
      </c>
      <c r="D8" s="4" t="s">
        <v>874</v>
      </c>
      <c r="F8" s="12" t="s">
        <v>689</v>
      </c>
      <c r="G8" s="7" t="str">
        <f aca="false">INDEX($C$5:$C$14,MATCH(G7,$B$5:$B$14,0))</f>
        <v>Fragile</v>
      </c>
    </row>
    <row r="9" customFormat="false" ht="15" hidden="false" customHeight="true" outlineLevel="0" collapsed="false">
      <c r="A9" s="28" t="n">
        <v>58</v>
      </c>
      <c r="B9" s="7" t="n">
        <v>5</v>
      </c>
      <c r="C9" s="4" t="s">
        <v>875</v>
      </c>
      <c r="D9" s="4" t="s">
        <v>876</v>
      </c>
      <c r="F9" s="4" t="s">
        <v>877</v>
      </c>
      <c r="G9" s="4"/>
    </row>
    <row r="10" customFormat="false" ht="15" hidden="false" customHeight="false" outlineLevel="0" collapsed="false">
      <c r="A10" s="28" t="n">
        <v>66</v>
      </c>
      <c r="B10" s="7" t="n">
        <v>6</v>
      </c>
      <c r="C10" s="4" t="s">
        <v>878</v>
      </c>
      <c r="D10" s="4" t="s">
        <v>879</v>
      </c>
      <c r="F10" s="4"/>
      <c r="G10" s="4"/>
    </row>
    <row r="11" customFormat="false" ht="15" hidden="false" customHeight="false" outlineLevel="0" collapsed="false">
      <c r="A11" s="28" t="n">
        <v>73</v>
      </c>
      <c r="B11" s="7" t="n">
        <v>7</v>
      </c>
      <c r="C11" s="4" t="s">
        <v>880</v>
      </c>
      <c r="D11" s="4" t="s">
        <v>881</v>
      </c>
      <c r="F11" s="4"/>
      <c r="G11" s="4"/>
    </row>
    <row r="12" customFormat="false" ht="15" hidden="false" customHeight="false" outlineLevel="0" collapsed="false">
      <c r="A12" s="28" t="n">
        <v>80</v>
      </c>
      <c r="B12" s="7" t="n">
        <v>8</v>
      </c>
      <c r="C12" s="4" t="s">
        <v>882</v>
      </c>
      <c r="D12" s="4" t="s">
        <v>883</v>
      </c>
    </row>
    <row r="13" customFormat="false" ht="15" hidden="false" customHeight="false" outlineLevel="0" collapsed="false">
      <c r="A13" s="28" t="n">
        <v>86</v>
      </c>
      <c r="B13" s="7" t="n">
        <v>9</v>
      </c>
      <c r="C13" s="4" t="s">
        <v>884</v>
      </c>
      <c r="D13" s="4" t="s">
        <v>885</v>
      </c>
    </row>
    <row r="14" customFormat="false" ht="15" hidden="false" customHeight="false" outlineLevel="0" collapsed="false">
      <c r="A14" s="28" t="n">
        <v>92</v>
      </c>
      <c r="B14" s="7" t="n">
        <v>10</v>
      </c>
      <c r="C14" s="4" t="s">
        <v>886</v>
      </c>
      <c r="D14" s="4" t="s">
        <v>887</v>
      </c>
    </row>
  </sheetData>
  <mergeCells count="1">
    <mergeCell ref="F9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888</v>
      </c>
    </row>
    <row r="2" customFormat="false" ht="15" hidden="false" customHeight="false" outlineLevel="0" collapsed="false">
      <c r="A2" s="2" t="s">
        <v>889</v>
      </c>
    </row>
    <row r="4" customFormat="false" ht="15" hidden="false" customHeight="false" outlineLevel="0" collapsed="false">
      <c r="A4" s="5" t="s">
        <v>29</v>
      </c>
      <c r="B4" s="5" t="s">
        <v>31</v>
      </c>
      <c r="C4" s="5" t="s">
        <v>32</v>
      </c>
      <c r="D4" s="5" t="s">
        <v>890</v>
      </c>
      <c r="E4" s="5" t="s">
        <v>17</v>
      </c>
      <c r="F4" s="5" t="s">
        <v>891</v>
      </c>
      <c r="G4" s="5" t="s">
        <v>892</v>
      </c>
    </row>
    <row r="5" customFormat="false" ht="15" hidden="false" customHeight="false" outlineLevel="0" collapsed="false">
      <c r="A5" s="4" t="s">
        <v>749</v>
      </c>
      <c r="B5" s="4" t="s">
        <v>40</v>
      </c>
      <c r="C5" s="4" t="s">
        <v>41</v>
      </c>
      <c r="D5" s="8" t="s">
        <v>21</v>
      </c>
      <c r="E5" s="7" t="n">
        <f aca="false">Paramètres!$B$6</f>
        <v>80</v>
      </c>
      <c r="F5" s="20" t="n">
        <v>0.4</v>
      </c>
      <c r="G5" s="31" t="n">
        <f aca="false">E5*F5</f>
        <v>32</v>
      </c>
    </row>
    <row r="6" customFormat="false" ht="15" hidden="false" customHeight="false" outlineLevel="0" collapsed="false">
      <c r="A6" s="4" t="s">
        <v>749</v>
      </c>
      <c r="B6" s="4" t="s">
        <v>53</v>
      </c>
      <c r="C6" s="4" t="s">
        <v>54</v>
      </c>
      <c r="D6" s="6" t="s">
        <v>19</v>
      </c>
      <c r="E6" s="7" t="n">
        <f aca="false">Paramètres!$B$5</f>
        <v>100</v>
      </c>
      <c r="F6" s="20" t="n">
        <v>0.35</v>
      </c>
      <c r="G6" s="31" t="n">
        <f aca="false">E6*F6</f>
        <v>35</v>
      </c>
    </row>
    <row r="7" customFormat="false" ht="15" hidden="false" customHeight="false" outlineLevel="0" collapsed="false">
      <c r="A7" s="4" t="s">
        <v>749</v>
      </c>
      <c r="B7" s="4" t="s">
        <v>66</v>
      </c>
      <c r="C7" s="4" t="s">
        <v>67</v>
      </c>
      <c r="D7" s="8" t="s">
        <v>21</v>
      </c>
      <c r="E7" s="7" t="n">
        <f aca="false">Paramètres!$B$6</f>
        <v>80</v>
      </c>
      <c r="F7" s="20" t="n">
        <v>0.25</v>
      </c>
      <c r="G7" s="31" t="n">
        <f aca="false">E7*F7</f>
        <v>20</v>
      </c>
    </row>
    <row r="8" customFormat="false" ht="15" hidden="false" customHeight="false" outlineLevel="0" collapsed="false">
      <c r="C8" s="3" t="s">
        <v>893</v>
      </c>
      <c r="G8" s="32" t="n">
        <f aca="false">SUM(G5:G7)</f>
        <v>87</v>
      </c>
    </row>
    <row r="9" customFormat="false" ht="15" hidden="false" customHeight="false" outlineLevel="0" collapsed="false">
      <c r="A9" s="4" t="s">
        <v>751</v>
      </c>
      <c r="B9" s="4" t="s">
        <v>81</v>
      </c>
      <c r="C9" s="4" t="s">
        <v>82</v>
      </c>
      <c r="D9" s="6" t="s">
        <v>19</v>
      </c>
      <c r="E9" s="7" t="n">
        <f aca="false">Paramètres!$B$5</f>
        <v>100</v>
      </c>
      <c r="F9" s="20" t="n">
        <v>0.35</v>
      </c>
      <c r="G9" s="31" t="n">
        <f aca="false">E9*F9</f>
        <v>35</v>
      </c>
    </row>
    <row r="10" customFormat="false" ht="15" hidden="false" customHeight="false" outlineLevel="0" collapsed="false">
      <c r="A10" s="4" t="s">
        <v>751</v>
      </c>
      <c r="B10" s="4" t="s">
        <v>94</v>
      </c>
      <c r="C10" s="4" t="s">
        <v>95</v>
      </c>
      <c r="D10" s="8" t="s">
        <v>21</v>
      </c>
      <c r="E10" s="7" t="n">
        <f aca="false">Paramètres!$B$6</f>
        <v>80</v>
      </c>
      <c r="F10" s="20" t="n">
        <v>0.4</v>
      </c>
      <c r="G10" s="31" t="n">
        <f aca="false">E10*F10</f>
        <v>32</v>
      </c>
    </row>
    <row r="11" customFormat="false" ht="15" hidden="false" customHeight="false" outlineLevel="0" collapsed="false">
      <c r="A11" s="4" t="s">
        <v>751</v>
      </c>
      <c r="B11" s="4" t="s">
        <v>107</v>
      </c>
      <c r="C11" s="4" t="s">
        <v>108</v>
      </c>
      <c r="D11" s="8" t="s">
        <v>21</v>
      </c>
      <c r="E11" s="7" t="n">
        <f aca="false">Paramètres!$B$6</f>
        <v>80</v>
      </c>
      <c r="F11" s="20" t="n">
        <v>0.25</v>
      </c>
      <c r="G11" s="31" t="n">
        <f aca="false">E11*F11</f>
        <v>20</v>
      </c>
    </row>
    <row r="12" customFormat="false" ht="15" hidden="false" customHeight="false" outlineLevel="0" collapsed="false">
      <c r="C12" s="3" t="s">
        <v>894</v>
      </c>
      <c r="G12" s="32" t="n">
        <f aca="false">SUM(G9:G11)</f>
        <v>87</v>
      </c>
    </row>
    <row r="13" customFormat="false" ht="15" hidden="false" customHeight="false" outlineLevel="0" collapsed="false">
      <c r="A13" s="4" t="s">
        <v>753</v>
      </c>
      <c r="B13" s="4" t="s">
        <v>122</v>
      </c>
      <c r="C13" s="4" t="s">
        <v>123</v>
      </c>
      <c r="D13" s="6" t="s">
        <v>19</v>
      </c>
      <c r="E13" s="7" t="n">
        <f aca="false">Paramètres!$B$5</f>
        <v>100</v>
      </c>
      <c r="F13" s="20" t="n">
        <v>0.4</v>
      </c>
      <c r="G13" s="31" t="n">
        <f aca="false">E13*F13</f>
        <v>40</v>
      </c>
    </row>
    <row r="14" customFormat="false" ht="15" hidden="false" customHeight="false" outlineLevel="0" collapsed="false">
      <c r="A14" s="4" t="s">
        <v>753</v>
      </c>
      <c r="B14" s="4" t="s">
        <v>135</v>
      </c>
      <c r="C14" s="4" t="s">
        <v>136</v>
      </c>
      <c r="D14" s="8" t="s">
        <v>21</v>
      </c>
      <c r="E14" s="7" t="n">
        <f aca="false">Paramètres!$B$6</f>
        <v>80</v>
      </c>
      <c r="F14" s="20" t="n">
        <v>0.25</v>
      </c>
      <c r="G14" s="31" t="n">
        <f aca="false">E14*F14</f>
        <v>20</v>
      </c>
    </row>
    <row r="15" customFormat="false" ht="15" hidden="false" customHeight="false" outlineLevel="0" collapsed="false">
      <c r="A15" s="4" t="s">
        <v>753</v>
      </c>
      <c r="B15" s="4" t="s">
        <v>148</v>
      </c>
      <c r="C15" s="4" t="s">
        <v>149</v>
      </c>
      <c r="D15" s="8" t="s">
        <v>21</v>
      </c>
      <c r="E15" s="7" t="n">
        <f aca="false">Paramètres!$B$6</f>
        <v>80</v>
      </c>
      <c r="F15" s="20" t="n">
        <v>0.35</v>
      </c>
      <c r="G15" s="31" t="n">
        <f aca="false">E15*F15</f>
        <v>28</v>
      </c>
    </row>
    <row r="16" customFormat="false" ht="15" hidden="false" customHeight="false" outlineLevel="0" collapsed="false">
      <c r="C16" s="3" t="s">
        <v>895</v>
      </c>
      <c r="G16" s="32" t="n">
        <f aca="false">SUM(G13:G15)</f>
        <v>88</v>
      </c>
    </row>
    <row r="17" customFormat="false" ht="15" hidden="false" customHeight="false" outlineLevel="0" collapsed="false">
      <c r="A17" s="4" t="s">
        <v>755</v>
      </c>
      <c r="B17" s="4" t="s">
        <v>163</v>
      </c>
      <c r="C17" s="4" t="s">
        <v>164</v>
      </c>
      <c r="D17" s="6" t="s">
        <v>19</v>
      </c>
      <c r="E17" s="7" t="n">
        <f aca="false">Paramètres!$B$5</f>
        <v>100</v>
      </c>
      <c r="F17" s="20" t="n">
        <v>0.45</v>
      </c>
      <c r="G17" s="31" t="n">
        <f aca="false">E17*F17</f>
        <v>45</v>
      </c>
    </row>
    <row r="18" customFormat="false" ht="15" hidden="false" customHeight="false" outlineLevel="0" collapsed="false">
      <c r="A18" s="4" t="s">
        <v>755</v>
      </c>
      <c r="B18" s="4" t="s">
        <v>176</v>
      </c>
      <c r="C18" s="4" t="s">
        <v>177</v>
      </c>
      <c r="D18" s="8" t="s">
        <v>21</v>
      </c>
      <c r="E18" s="7" t="n">
        <f aca="false">Paramètres!$B$6</f>
        <v>80</v>
      </c>
      <c r="F18" s="20" t="n">
        <v>0.3</v>
      </c>
      <c r="G18" s="31" t="n">
        <f aca="false">E18*F18</f>
        <v>24</v>
      </c>
    </row>
    <row r="19" customFormat="false" ht="15" hidden="false" customHeight="false" outlineLevel="0" collapsed="false">
      <c r="A19" s="4" t="s">
        <v>755</v>
      </c>
      <c r="B19" s="4" t="s">
        <v>189</v>
      </c>
      <c r="C19" s="4" t="s">
        <v>190</v>
      </c>
      <c r="D19" s="6" t="s">
        <v>19</v>
      </c>
      <c r="E19" s="7" t="n">
        <f aca="false">Paramètres!$B$5</f>
        <v>100</v>
      </c>
      <c r="F19" s="20" t="n">
        <v>0.25</v>
      </c>
      <c r="G19" s="31" t="n">
        <f aca="false">E19*F19</f>
        <v>25</v>
      </c>
    </row>
    <row r="20" customFormat="false" ht="15" hidden="false" customHeight="false" outlineLevel="0" collapsed="false">
      <c r="C20" s="3" t="s">
        <v>896</v>
      </c>
      <c r="G20" s="32" t="n">
        <f aca="false">SUM(G17:G19)</f>
        <v>94</v>
      </c>
    </row>
    <row r="21" customFormat="false" ht="15" hidden="false" customHeight="false" outlineLevel="0" collapsed="false">
      <c r="A21" s="4" t="s">
        <v>757</v>
      </c>
      <c r="B21" s="4" t="s">
        <v>203</v>
      </c>
      <c r="C21" s="4" t="s">
        <v>204</v>
      </c>
      <c r="D21" s="8" t="s">
        <v>21</v>
      </c>
      <c r="E21" s="7" t="n">
        <f aca="false">Paramètres!$B$6</f>
        <v>80</v>
      </c>
      <c r="F21" s="20" t="n">
        <v>0.35</v>
      </c>
      <c r="G21" s="31" t="n">
        <f aca="false">E21*F21</f>
        <v>28</v>
      </c>
    </row>
    <row r="22" customFormat="false" ht="15" hidden="false" customHeight="false" outlineLevel="0" collapsed="false">
      <c r="A22" s="4" t="s">
        <v>757</v>
      </c>
      <c r="B22" s="4" t="s">
        <v>216</v>
      </c>
      <c r="C22" s="4" t="s">
        <v>217</v>
      </c>
      <c r="D22" s="8" t="s">
        <v>21</v>
      </c>
      <c r="E22" s="7" t="n">
        <f aca="false">Paramètres!$B$6</f>
        <v>80</v>
      </c>
      <c r="F22" s="20" t="n">
        <v>0.4</v>
      </c>
      <c r="G22" s="31" t="n">
        <f aca="false">E22*F22</f>
        <v>32</v>
      </c>
    </row>
    <row r="23" customFormat="false" ht="15" hidden="false" customHeight="false" outlineLevel="0" collapsed="false">
      <c r="A23" s="4" t="s">
        <v>757</v>
      </c>
      <c r="B23" s="4" t="s">
        <v>229</v>
      </c>
      <c r="C23" s="4" t="s">
        <v>230</v>
      </c>
      <c r="D23" s="8" t="s">
        <v>21</v>
      </c>
      <c r="E23" s="7" t="n">
        <f aca="false">Paramètres!$B$6</f>
        <v>80</v>
      </c>
      <c r="F23" s="20" t="n">
        <v>0.25</v>
      </c>
      <c r="G23" s="31" t="n">
        <f aca="false">E23*F23</f>
        <v>20</v>
      </c>
    </row>
    <row r="24" customFormat="false" ht="15" hidden="false" customHeight="false" outlineLevel="0" collapsed="false">
      <c r="C24" s="3" t="s">
        <v>897</v>
      </c>
      <c r="G24" s="32" t="n">
        <f aca="false">SUM(G21:G23)</f>
        <v>80</v>
      </c>
    </row>
    <row r="25" customFormat="false" ht="15" hidden="false" customHeight="false" outlineLevel="0" collapsed="false">
      <c r="A25" s="4" t="s">
        <v>759</v>
      </c>
      <c r="B25" s="4" t="s">
        <v>244</v>
      </c>
      <c r="C25" s="4" t="s">
        <v>245</v>
      </c>
      <c r="D25" s="8" t="s">
        <v>21</v>
      </c>
      <c r="E25" s="7" t="n">
        <f aca="false">Paramètres!$B$6</f>
        <v>80</v>
      </c>
      <c r="F25" s="20" t="n">
        <v>0.5</v>
      </c>
      <c r="G25" s="31" t="n">
        <f aca="false">E25*F25</f>
        <v>40</v>
      </c>
    </row>
    <row r="26" customFormat="false" ht="15" hidden="false" customHeight="false" outlineLevel="0" collapsed="false">
      <c r="A26" s="4" t="s">
        <v>759</v>
      </c>
      <c r="B26" s="4" t="s">
        <v>257</v>
      </c>
      <c r="C26" s="4" t="s">
        <v>258</v>
      </c>
      <c r="D26" s="9" t="s">
        <v>23</v>
      </c>
      <c r="E26" s="7" t="n">
        <f aca="false">Paramètres!$B$7</f>
        <v>50</v>
      </c>
      <c r="F26" s="20" t="n">
        <v>0.2</v>
      </c>
      <c r="G26" s="31" t="n">
        <f aca="false">E26*F26</f>
        <v>10</v>
      </c>
    </row>
    <row r="27" customFormat="false" ht="15" hidden="false" customHeight="false" outlineLevel="0" collapsed="false">
      <c r="A27" s="4" t="s">
        <v>759</v>
      </c>
      <c r="B27" s="4" t="s">
        <v>270</v>
      </c>
      <c r="C27" s="4" t="s">
        <v>271</v>
      </c>
      <c r="D27" s="6" t="s">
        <v>19</v>
      </c>
      <c r="E27" s="7" t="n">
        <f aca="false">Paramètres!$B$5</f>
        <v>100</v>
      </c>
      <c r="F27" s="20" t="n">
        <v>0.3</v>
      </c>
      <c r="G27" s="31" t="n">
        <f aca="false">E27*F27</f>
        <v>30</v>
      </c>
    </row>
    <row r="28" customFormat="false" ht="15" hidden="false" customHeight="false" outlineLevel="0" collapsed="false">
      <c r="C28" s="3" t="s">
        <v>898</v>
      </c>
      <c r="G28" s="32" t="n">
        <f aca="false">SUM(G25:G27)</f>
        <v>80</v>
      </c>
    </row>
    <row r="29" customFormat="false" ht="15" hidden="false" customHeight="false" outlineLevel="0" collapsed="false">
      <c r="A29" s="4" t="s">
        <v>763</v>
      </c>
      <c r="B29" s="4" t="s">
        <v>285</v>
      </c>
      <c r="C29" s="4" t="s">
        <v>286</v>
      </c>
      <c r="D29" s="8" t="s">
        <v>21</v>
      </c>
      <c r="E29" s="7" t="n">
        <f aca="false">Paramètres!$B$6</f>
        <v>80</v>
      </c>
      <c r="F29" s="20" t="n">
        <v>0.35</v>
      </c>
      <c r="G29" s="31" t="n">
        <f aca="false">E29*F29</f>
        <v>28</v>
      </c>
    </row>
    <row r="30" customFormat="false" ht="15" hidden="false" customHeight="false" outlineLevel="0" collapsed="false">
      <c r="A30" s="4" t="s">
        <v>763</v>
      </c>
      <c r="B30" s="4" t="s">
        <v>298</v>
      </c>
      <c r="C30" s="4" t="s">
        <v>299</v>
      </c>
      <c r="D30" s="8" t="s">
        <v>21</v>
      </c>
      <c r="E30" s="7" t="n">
        <f aca="false">Paramètres!$B$6</f>
        <v>80</v>
      </c>
      <c r="F30" s="20" t="n">
        <v>0.4</v>
      </c>
      <c r="G30" s="31" t="n">
        <f aca="false">E30*F30</f>
        <v>32</v>
      </c>
    </row>
    <row r="31" customFormat="false" ht="15" hidden="false" customHeight="false" outlineLevel="0" collapsed="false">
      <c r="A31" s="4" t="s">
        <v>763</v>
      </c>
      <c r="B31" s="4" t="s">
        <v>311</v>
      </c>
      <c r="C31" s="4" t="s">
        <v>312</v>
      </c>
      <c r="D31" s="6" t="s">
        <v>19</v>
      </c>
      <c r="E31" s="7" t="n">
        <f aca="false">Paramètres!$B$5</f>
        <v>100</v>
      </c>
      <c r="F31" s="20" t="n">
        <v>0.25</v>
      </c>
      <c r="G31" s="31" t="n">
        <f aca="false">E31*F31</f>
        <v>25</v>
      </c>
    </row>
    <row r="32" customFormat="false" ht="15" hidden="false" customHeight="false" outlineLevel="0" collapsed="false">
      <c r="C32" s="3" t="s">
        <v>899</v>
      </c>
      <c r="G32" s="32" t="n">
        <f aca="false">SUM(G29:G31)</f>
        <v>85</v>
      </c>
    </row>
    <row r="33" customFormat="false" ht="15" hidden="false" customHeight="false" outlineLevel="0" collapsed="false">
      <c r="A33" s="4" t="s">
        <v>765</v>
      </c>
      <c r="B33" s="4" t="s">
        <v>326</v>
      </c>
      <c r="C33" s="4" t="s">
        <v>327</v>
      </c>
      <c r="D33" s="6" t="s">
        <v>19</v>
      </c>
      <c r="E33" s="7" t="n">
        <f aca="false">Paramètres!$B$5</f>
        <v>100</v>
      </c>
      <c r="F33" s="20" t="n">
        <v>0.3</v>
      </c>
      <c r="G33" s="31" t="n">
        <f aca="false">E33*F33</f>
        <v>30</v>
      </c>
    </row>
    <row r="34" customFormat="false" ht="15" hidden="false" customHeight="false" outlineLevel="0" collapsed="false">
      <c r="A34" s="4" t="s">
        <v>765</v>
      </c>
      <c r="B34" s="4" t="s">
        <v>339</v>
      </c>
      <c r="C34" s="4" t="s">
        <v>340</v>
      </c>
      <c r="D34" s="8" t="s">
        <v>21</v>
      </c>
      <c r="E34" s="7" t="n">
        <f aca="false">Paramètres!$B$6</f>
        <v>80</v>
      </c>
      <c r="F34" s="20" t="n">
        <v>0.3</v>
      </c>
      <c r="G34" s="31" t="n">
        <f aca="false">E34*F34</f>
        <v>24</v>
      </c>
    </row>
    <row r="35" customFormat="false" ht="15" hidden="false" customHeight="false" outlineLevel="0" collapsed="false">
      <c r="A35" s="4" t="s">
        <v>765</v>
      </c>
      <c r="B35" s="4" t="s">
        <v>352</v>
      </c>
      <c r="C35" s="4" t="s">
        <v>353</v>
      </c>
      <c r="D35" s="8" t="s">
        <v>21</v>
      </c>
      <c r="E35" s="7" t="n">
        <f aca="false">Paramètres!$B$6</f>
        <v>80</v>
      </c>
      <c r="F35" s="20" t="n">
        <v>0.15</v>
      </c>
      <c r="G35" s="31" t="n">
        <f aca="false">E35*F35</f>
        <v>12</v>
      </c>
    </row>
    <row r="36" customFormat="false" ht="15" hidden="false" customHeight="false" outlineLevel="0" collapsed="false">
      <c r="A36" s="4" t="s">
        <v>765</v>
      </c>
      <c r="B36" s="4" t="s">
        <v>365</v>
      </c>
      <c r="C36" s="4" t="s">
        <v>366</v>
      </c>
      <c r="D36" s="8" t="s">
        <v>21</v>
      </c>
      <c r="E36" s="7" t="n">
        <f aca="false">Paramètres!$B$6</f>
        <v>80</v>
      </c>
      <c r="F36" s="20" t="n">
        <v>0.25</v>
      </c>
      <c r="G36" s="31" t="n">
        <f aca="false">E36*F36</f>
        <v>20</v>
      </c>
    </row>
    <row r="37" customFormat="false" ht="15" hidden="false" customHeight="false" outlineLevel="0" collapsed="false">
      <c r="C37" s="3" t="s">
        <v>900</v>
      </c>
      <c r="G37" s="32" t="n">
        <f aca="false">SUM(G33:G36)</f>
        <v>86</v>
      </c>
    </row>
    <row r="39" customFormat="false" ht="15" hidden="false" customHeight="false" outlineLevel="0" collapsed="false">
      <c r="A39" s="12" t="s">
        <v>901</v>
      </c>
    </row>
    <row r="40" customFormat="false" ht="15" hidden="false" customHeight="false" outlineLevel="0" collapsed="false">
      <c r="A40" s="5" t="s">
        <v>380</v>
      </c>
      <c r="B40" s="5"/>
      <c r="C40" s="5" t="s">
        <v>381</v>
      </c>
      <c r="D40" s="5" t="s">
        <v>902</v>
      </c>
      <c r="E40" s="5" t="s">
        <v>17</v>
      </c>
      <c r="F40" s="5" t="s">
        <v>891</v>
      </c>
      <c r="G40" s="5" t="s">
        <v>892</v>
      </c>
    </row>
    <row r="41" customFormat="false" ht="15" hidden="false" customHeight="false" outlineLevel="0" collapsed="false">
      <c r="A41" s="4" t="s">
        <v>385</v>
      </c>
      <c r="C41" s="4" t="s">
        <v>386</v>
      </c>
      <c r="D41" s="4" t="s">
        <v>903</v>
      </c>
      <c r="E41" s="7" t="n">
        <f aca="false">Paramètres!$B$5</f>
        <v>100</v>
      </c>
      <c r="F41" s="20" t="n">
        <v>0.25</v>
      </c>
      <c r="G41" s="31" t="n">
        <f aca="false">E41*F41</f>
        <v>25</v>
      </c>
    </row>
    <row r="42" customFormat="false" ht="15" hidden="false" customHeight="false" outlineLevel="0" collapsed="false">
      <c r="A42" s="4" t="s">
        <v>389</v>
      </c>
      <c r="C42" s="4" t="s">
        <v>390</v>
      </c>
      <c r="D42" s="4" t="s">
        <v>904</v>
      </c>
      <c r="E42" s="7" t="n">
        <f aca="false">Paramètres!$B$7</f>
        <v>50</v>
      </c>
      <c r="F42" s="20" t="n">
        <v>0.2</v>
      </c>
      <c r="G42" s="31" t="n">
        <f aca="false">E42*F42</f>
        <v>10</v>
      </c>
    </row>
    <row r="43" customFormat="false" ht="15" hidden="false" customHeight="false" outlineLevel="0" collapsed="false">
      <c r="A43" s="4" t="s">
        <v>393</v>
      </c>
      <c r="C43" s="4" t="s">
        <v>905</v>
      </c>
      <c r="D43" s="4" t="s">
        <v>906</v>
      </c>
      <c r="E43" s="7" t="n">
        <f aca="false">Paramètres!$B$6</f>
        <v>80</v>
      </c>
      <c r="F43" s="20" t="n">
        <v>0.15</v>
      </c>
      <c r="G43" s="31" t="n">
        <f aca="false">E43*F43</f>
        <v>12</v>
      </c>
    </row>
    <row r="44" customFormat="false" ht="15" hidden="false" customHeight="false" outlineLevel="0" collapsed="false">
      <c r="A44" s="4" t="s">
        <v>400</v>
      </c>
      <c r="C44" s="4" t="s">
        <v>401</v>
      </c>
      <c r="D44" s="4" t="s">
        <v>907</v>
      </c>
      <c r="E44" s="7" t="n">
        <f aca="false">Paramètres!$B$5</f>
        <v>100</v>
      </c>
      <c r="F44" s="20" t="n">
        <v>0.15</v>
      </c>
      <c r="G44" s="31" t="n">
        <f aca="false">E44*F44</f>
        <v>15</v>
      </c>
    </row>
    <row r="45" customFormat="false" ht="15" hidden="false" customHeight="false" outlineLevel="0" collapsed="false">
      <c r="A45" s="4" t="s">
        <v>413</v>
      </c>
      <c r="C45" s="4" t="s">
        <v>414</v>
      </c>
      <c r="D45" s="4" t="s">
        <v>907</v>
      </c>
      <c r="E45" s="7" t="n">
        <f aca="false">Paramètres!$B$5</f>
        <v>100</v>
      </c>
      <c r="F45" s="20" t="n">
        <v>0.15</v>
      </c>
      <c r="G45" s="31" t="n">
        <f aca="false">E45*F45</f>
        <v>15</v>
      </c>
    </row>
    <row r="46" customFormat="false" ht="15" hidden="false" customHeight="false" outlineLevel="0" collapsed="false">
      <c r="A46" s="4" t="s">
        <v>426</v>
      </c>
      <c r="C46" s="4" t="s">
        <v>427</v>
      </c>
      <c r="D46" s="4" t="s">
        <v>907</v>
      </c>
      <c r="E46" s="7" t="n">
        <f aca="false">Paramètres!$B$5</f>
        <v>100</v>
      </c>
      <c r="F46" s="20" t="n">
        <v>0.1</v>
      </c>
      <c r="G46" s="31" t="n">
        <f aca="false">E46*F46</f>
        <v>10</v>
      </c>
    </row>
    <row r="47" customFormat="false" ht="15" hidden="false" customHeight="false" outlineLevel="0" collapsed="false">
      <c r="C47" s="3" t="s">
        <v>908</v>
      </c>
      <c r="G47" s="32" t="n">
        <f aca="false">SUM(G41:G46)</f>
        <v>87</v>
      </c>
    </row>
    <row r="49" customFormat="false" ht="15" hidden="false" customHeight="false" outlineLevel="0" collapsed="false">
      <c r="A49" s="5" t="s">
        <v>29</v>
      </c>
      <c r="B49" s="5"/>
      <c r="C49" s="5" t="s">
        <v>689</v>
      </c>
      <c r="D49" s="5"/>
      <c r="E49" s="5" t="s">
        <v>909</v>
      </c>
      <c r="F49" s="5" t="s">
        <v>910</v>
      </c>
      <c r="G49" s="5" t="s">
        <v>911</v>
      </c>
    </row>
    <row r="50" customFormat="false" ht="15" hidden="false" customHeight="false" outlineLevel="0" collapsed="false">
      <c r="A50" s="4" t="s">
        <v>749</v>
      </c>
      <c r="C50" s="4" t="s">
        <v>750</v>
      </c>
      <c r="E50" s="31" t="n">
        <f aca="false">G8</f>
        <v>87</v>
      </c>
      <c r="F50" s="20" t="n">
        <v>0.1</v>
      </c>
      <c r="G50" s="23" t="n">
        <f aca="false">E50*F50</f>
        <v>8.7</v>
      </c>
    </row>
    <row r="51" customFormat="false" ht="15" hidden="false" customHeight="false" outlineLevel="0" collapsed="false">
      <c r="A51" s="4" t="s">
        <v>751</v>
      </c>
      <c r="C51" s="4" t="s">
        <v>752</v>
      </c>
      <c r="E51" s="31" t="n">
        <f aca="false">G12</f>
        <v>87</v>
      </c>
      <c r="F51" s="20" t="n">
        <v>0.1</v>
      </c>
      <c r="G51" s="23" t="n">
        <f aca="false">E51*F51</f>
        <v>8.7</v>
      </c>
    </row>
    <row r="52" customFormat="false" ht="15" hidden="false" customHeight="false" outlineLevel="0" collapsed="false">
      <c r="A52" s="4" t="s">
        <v>753</v>
      </c>
      <c r="C52" s="4" t="s">
        <v>754</v>
      </c>
      <c r="E52" s="31" t="n">
        <f aca="false">G16</f>
        <v>88</v>
      </c>
      <c r="F52" s="20" t="n">
        <v>0.2</v>
      </c>
      <c r="G52" s="23" t="n">
        <f aca="false">E52*F52</f>
        <v>17.6</v>
      </c>
    </row>
    <row r="53" customFormat="false" ht="15" hidden="false" customHeight="false" outlineLevel="0" collapsed="false">
      <c r="A53" s="4" t="s">
        <v>755</v>
      </c>
      <c r="C53" s="4" t="s">
        <v>756</v>
      </c>
      <c r="E53" s="31" t="n">
        <f aca="false">G20</f>
        <v>94</v>
      </c>
      <c r="F53" s="20" t="n">
        <v>0.05</v>
      </c>
      <c r="G53" s="23" t="n">
        <f aca="false">E53*F53</f>
        <v>4.7</v>
      </c>
    </row>
    <row r="54" customFormat="false" ht="15" hidden="false" customHeight="false" outlineLevel="0" collapsed="false">
      <c r="A54" s="4" t="s">
        <v>757</v>
      </c>
      <c r="C54" s="4" t="s">
        <v>758</v>
      </c>
      <c r="E54" s="31" t="n">
        <f aca="false">G24</f>
        <v>80</v>
      </c>
      <c r="F54" s="20" t="n">
        <v>0.05</v>
      </c>
      <c r="G54" s="23" t="n">
        <f aca="false">E54*F54</f>
        <v>4</v>
      </c>
    </row>
    <row r="55" customFormat="false" ht="15" hidden="false" customHeight="false" outlineLevel="0" collapsed="false">
      <c r="A55" s="4" t="s">
        <v>759</v>
      </c>
      <c r="C55" s="4" t="s">
        <v>760</v>
      </c>
      <c r="E55" s="31" t="n">
        <f aca="false">G28</f>
        <v>80</v>
      </c>
      <c r="F55" s="20" t="n">
        <v>0.1</v>
      </c>
      <c r="G55" s="23" t="n">
        <f aca="false">E55*F55</f>
        <v>8</v>
      </c>
    </row>
    <row r="56" customFormat="false" ht="15" hidden="false" customHeight="false" outlineLevel="0" collapsed="false">
      <c r="A56" s="4" t="s">
        <v>761</v>
      </c>
      <c r="C56" s="4" t="s">
        <v>762</v>
      </c>
      <c r="E56" s="31" t="n">
        <f aca="false">G47</f>
        <v>87</v>
      </c>
      <c r="F56" s="20" t="n">
        <v>0.25</v>
      </c>
      <c r="G56" s="23" t="n">
        <f aca="false">E56*F56</f>
        <v>21.75</v>
      </c>
    </row>
    <row r="57" customFormat="false" ht="15" hidden="false" customHeight="false" outlineLevel="0" collapsed="false">
      <c r="A57" s="4" t="s">
        <v>763</v>
      </c>
      <c r="C57" s="4" t="s">
        <v>764</v>
      </c>
      <c r="E57" s="31" t="n">
        <f aca="false">G32</f>
        <v>85</v>
      </c>
      <c r="F57" s="20" t="n">
        <v>0.1</v>
      </c>
      <c r="G57" s="23" t="n">
        <f aca="false">E57*F57</f>
        <v>8.5</v>
      </c>
    </row>
    <row r="58" customFormat="false" ht="15" hidden="false" customHeight="false" outlineLevel="0" collapsed="false">
      <c r="A58" s="4" t="s">
        <v>765</v>
      </c>
      <c r="C58" s="4" t="s">
        <v>766</v>
      </c>
      <c r="E58" s="31" t="n">
        <f aca="false">G37</f>
        <v>86</v>
      </c>
      <c r="F58" s="20" t="n">
        <v>0.05</v>
      </c>
      <c r="G58" s="23" t="n">
        <f aca="false">E58*F58</f>
        <v>4.3</v>
      </c>
    </row>
    <row r="59" customFormat="false" ht="15" hidden="false" customHeight="false" outlineLevel="0" collapsed="false">
      <c r="C59" s="3" t="s">
        <v>912</v>
      </c>
      <c r="G59" s="33" t="n">
        <f aca="false">SUM(G50:G58)</f>
        <v>86.25</v>
      </c>
    </row>
    <row r="60" customFormat="false" ht="15" hidden="false" customHeight="false" outlineLevel="0" collapsed="false">
      <c r="C60" s="12" t="s">
        <v>913</v>
      </c>
      <c r="G60" s="30" t="n">
        <f aca="false">INDEX(Conversion!$B$5:$B$14,MATCH(G59,Conversion!$A$5:$A$14,1))</f>
        <v>9</v>
      </c>
    </row>
    <row r="61" customFormat="false" ht="15" hidden="false" customHeight="false" outlineLevel="0" collapsed="false">
      <c r="C61" s="4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915</v>
      </c>
    </row>
    <row r="2" customFormat="false" ht="15" hidden="false" customHeight="false" outlineLevel="0" collapsed="false">
      <c r="A2" s="2" t="s">
        <v>916</v>
      </c>
    </row>
    <row r="4" customFormat="false" ht="15" hidden="false" customHeight="false" outlineLevel="0" collapsed="false">
      <c r="A4" s="5" t="s">
        <v>917</v>
      </c>
      <c r="B4" s="5" t="s">
        <v>918</v>
      </c>
      <c r="C4" s="5" t="s">
        <v>384</v>
      </c>
    </row>
    <row r="5" customFormat="false" ht="31.5" hidden="false" customHeight="true" outlineLevel="0" collapsed="false">
      <c r="A5" s="12" t="s">
        <v>919</v>
      </c>
      <c r="B5" s="4" t="s">
        <v>920</v>
      </c>
      <c r="C5" s="4" t="s">
        <v>921</v>
      </c>
    </row>
    <row r="6" customFormat="false" ht="31.5" hidden="false" customHeight="true" outlineLevel="0" collapsed="false">
      <c r="A6" s="12" t="s">
        <v>922</v>
      </c>
      <c r="B6" s="4" t="s">
        <v>923</v>
      </c>
      <c r="C6" s="4" t="s">
        <v>924</v>
      </c>
    </row>
    <row r="7" customFormat="false" ht="31.5" hidden="false" customHeight="true" outlineLevel="0" collapsed="false">
      <c r="A7" s="12" t="s">
        <v>925</v>
      </c>
      <c r="B7" s="4" t="s">
        <v>926</v>
      </c>
      <c r="C7" s="4" t="s">
        <v>927</v>
      </c>
    </row>
    <row r="8" customFormat="false" ht="31.5" hidden="false" customHeight="true" outlineLevel="0" collapsed="false">
      <c r="A8" s="12" t="s">
        <v>928</v>
      </c>
      <c r="B8" s="4" t="s">
        <v>929</v>
      </c>
      <c r="C8" s="4" t="s">
        <v>930</v>
      </c>
    </row>
    <row r="9" customFormat="false" ht="31.5" hidden="false" customHeight="true" outlineLevel="0" collapsed="false">
      <c r="A9" s="12" t="s">
        <v>931</v>
      </c>
      <c r="B9" s="4" t="s">
        <v>932</v>
      </c>
      <c r="C9" s="4" t="s">
        <v>933</v>
      </c>
    </row>
    <row r="10" customFormat="false" ht="31.5" hidden="false" customHeight="true" outlineLevel="0" collapsed="false">
      <c r="A10" s="12" t="s">
        <v>934</v>
      </c>
      <c r="B10" s="4" t="s">
        <v>935</v>
      </c>
      <c r="C10" s="4" t="s">
        <v>936</v>
      </c>
    </row>
    <row r="11" customFormat="false" ht="31.5" hidden="false" customHeight="true" outlineLevel="0" collapsed="false">
      <c r="A11" s="12" t="s">
        <v>699</v>
      </c>
      <c r="B11" s="4" t="s">
        <v>937</v>
      </c>
      <c r="C11" s="4" t="s">
        <v>938</v>
      </c>
    </row>
    <row r="12" customFormat="false" ht="31.5" hidden="false" customHeight="true" outlineLevel="0" collapsed="false">
      <c r="A12" s="12" t="s">
        <v>939</v>
      </c>
      <c r="B12" s="4" t="s">
        <v>940</v>
      </c>
      <c r="C12" s="4" t="s">
        <v>941</v>
      </c>
    </row>
    <row r="13" customFormat="false" ht="31.5" hidden="false" customHeight="true" outlineLevel="0" collapsed="false">
      <c r="A13" s="12" t="s">
        <v>942</v>
      </c>
      <c r="B13" s="4" t="s">
        <v>943</v>
      </c>
      <c r="C13" s="4" t="s">
        <v>944</v>
      </c>
    </row>
    <row r="14" customFormat="false" ht="31.5" hidden="false" customHeight="true" outlineLevel="0" collapsed="false">
      <c r="A14" s="12" t="s">
        <v>945</v>
      </c>
      <c r="B14" s="4" t="s">
        <v>946</v>
      </c>
      <c r="C14" s="4" t="s">
        <v>947</v>
      </c>
    </row>
    <row r="15" customFormat="false" ht="31.5" hidden="false" customHeight="true" outlineLevel="0" collapsed="false">
      <c r="A15" s="12" t="s">
        <v>948</v>
      </c>
      <c r="B15" s="4" t="s">
        <v>949</v>
      </c>
      <c r="C15" s="4" t="s">
        <v>950</v>
      </c>
    </row>
    <row r="16" customFormat="false" ht="31.5" hidden="false" customHeight="true" outlineLevel="0" collapsed="false">
      <c r="A16" s="12" t="s">
        <v>951</v>
      </c>
      <c r="B16" s="4" t="s">
        <v>952</v>
      </c>
      <c r="C16" s="4" t="s">
        <v>953</v>
      </c>
    </row>
    <row r="17" customFormat="false" ht="31.5" hidden="false" customHeight="true" outlineLevel="0" collapsed="false">
      <c r="A17" s="12" t="s">
        <v>954</v>
      </c>
      <c r="B17" s="4" t="s">
        <v>955</v>
      </c>
      <c r="C17" s="4" t="s">
        <v>956</v>
      </c>
    </row>
    <row r="18" customFormat="false" ht="31.5" hidden="false" customHeight="true" outlineLevel="0" collapsed="false">
      <c r="A18" s="12" t="s">
        <v>957</v>
      </c>
      <c r="B18" s="4" t="s">
        <v>958</v>
      </c>
      <c r="C18" s="4" t="s">
        <v>959</v>
      </c>
    </row>
    <row r="19" customFormat="false" ht="31.5" hidden="false" customHeight="true" outlineLevel="0" collapsed="false">
      <c r="A19" s="12" t="s">
        <v>960</v>
      </c>
      <c r="B19" s="4" t="s">
        <v>961</v>
      </c>
      <c r="C19" s="4" t="s">
        <v>962</v>
      </c>
    </row>
    <row r="20" customFormat="false" ht="31.5" hidden="false" customHeight="true" outlineLevel="0" collapsed="false">
      <c r="A20" s="12" t="s">
        <v>963</v>
      </c>
      <c r="B20" s="4" t="s">
        <v>964</v>
      </c>
      <c r="C20" s="4" t="s">
        <v>965</v>
      </c>
    </row>
    <row r="21" customFormat="false" ht="31.5" hidden="false" customHeight="true" outlineLevel="0" collapsed="false">
      <c r="A21" s="12" t="s">
        <v>966</v>
      </c>
      <c r="B21" s="4" t="s">
        <v>967</v>
      </c>
      <c r="C21" s="4" t="s">
        <v>968</v>
      </c>
    </row>
    <row r="22" customFormat="false" ht="31.5" hidden="false" customHeight="true" outlineLevel="0" collapsed="false">
      <c r="A22" s="12" t="s">
        <v>969</v>
      </c>
      <c r="B22" s="4" t="s">
        <v>970</v>
      </c>
      <c r="C22" s="4" t="s">
        <v>971</v>
      </c>
    </row>
    <row r="23" customFormat="false" ht="31.5" hidden="false" customHeight="true" outlineLevel="0" collapsed="false">
      <c r="A23" s="12" t="s">
        <v>972</v>
      </c>
      <c r="B23" s="4" t="s">
        <v>973</v>
      </c>
      <c r="C23" s="4" t="s">
        <v>974</v>
      </c>
    </row>
    <row r="24" customFormat="false" ht="31.5" hidden="false" customHeight="true" outlineLevel="0" collapsed="false">
      <c r="A24" s="12" t="s">
        <v>975</v>
      </c>
      <c r="B24" s="4" t="s">
        <v>976</v>
      </c>
      <c r="C24" s="4" t="s">
        <v>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8" min="4" style="0" width="18"/>
  </cols>
  <sheetData>
    <row r="1" customFormat="false" ht="19.7" hidden="false" customHeight="false" outlineLevel="0" collapsed="false">
      <c r="A1" s="1" t="s">
        <v>978</v>
      </c>
    </row>
    <row r="2" customFormat="false" ht="15" hidden="false" customHeight="false" outlineLevel="0" collapsed="false">
      <c r="A2" s="2" t="s">
        <v>979</v>
      </c>
    </row>
    <row r="4" customFormat="false" ht="15" hidden="false" customHeight="true" outlineLevel="0" collapsed="false">
      <c r="A4" s="5" t="s">
        <v>16</v>
      </c>
      <c r="B4" s="5" t="s">
        <v>17</v>
      </c>
      <c r="D4" s="34" t="s">
        <v>980</v>
      </c>
      <c r="E4" s="34"/>
      <c r="F4" s="34"/>
      <c r="G4" s="34"/>
      <c r="H4" s="34"/>
    </row>
    <row r="5" customFormat="false" ht="15" hidden="false" customHeight="false" outlineLevel="0" collapsed="false">
      <c r="A5" s="6" t="s">
        <v>19</v>
      </c>
      <c r="B5" s="28" t="n">
        <v>100</v>
      </c>
      <c r="D5" s="34"/>
      <c r="E5" s="34"/>
      <c r="F5" s="34"/>
      <c r="G5" s="34"/>
      <c r="H5" s="34"/>
    </row>
    <row r="6" customFormat="false" ht="15" hidden="false" customHeight="false" outlineLevel="0" collapsed="false">
      <c r="A6" s="8" t="s">
        <v>21</v>
      </c>
      <c r="B6" s="28" t="n">
        <v>80</v>
      </c>
      <c r="D6" s="34"/>
      <c r="E6" s="34"/>
      <c r="F6" s="34"/>
      <c r="G6" s="34"/>
      <c r="H6" s="34"/>
    </row>
    <row r="7" customFormat="false" ht="15" hidden="false" customHeight="false" outlineLevel="0" collapsed="false">
      <c r="A7" s="9" t="s">
        <v>23</v>
      </c>
      <c r="B7" s="28" t="n">
        <v>50</v>
      </c>
      <c r="D7" s="34"/>
      <c r="E7" s="34"/>
      <c r="F7" s="34"/>
      <c r="G7" s="34"/>
      <c r="H7" s="34"/>
    </row>
    <row r="8" customFormat="false" ht="12.65" hidden="false" customHeight="false" outlineLevel="0" collapsed="false">
      <c r="A8" s="10" t="s">
        <v>10</v>
      </c>
      <c r="B8" s="28" t="n">
        <v>20</v>
      </c>
      <c r="D8" s="34"/>
      <c r="E8" s="34"/>
      <c r="F8" s="34"/>
      <c r="G8" s="34"/>
      <c r="H8" s="34"/>
    </row>
    <row r="9" customFormat="false" ht="15" hidden="false" customHeight="false" outlineLevel="0" collapsed="false">
      <c r="A9" s="11" t="s">
        <v>8</v>
      </c>
      <c r="B9" s="28" t="n">
        <v>20</v>
      </c>
    </row>
  </sheetData>
  <mergeCells count="1">
    <mergeCell ref="D4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2026-10-18T16:50:03Z</dcterms:created>
  <dc:creator>openpyxl</dc:creator>
  <dc:description/>
  <dc:language>en-US</dc:language>
  <cp:lastModifiedBy/>
  <dcterms:modified xsi:type="dcterms:W3CDTF">2026-10-18T16:50:03Z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