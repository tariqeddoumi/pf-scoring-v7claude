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Grille" sheetId="2" state="visible" r:id="rId2"/>
    <sheet xmlns:r="http://schemas.openxmlformats.org/officeDocument/2006/relationships" name="Noyau N1-N6" sheetId="3" state="visible" r:id="rId3"/>
    <sheet xmlns:r="http://schemas.openxmlformats.org/officeDocument/2006/relationships" name="Variantes sectorielles" sheetId="4" state="visible" r:id="rId4"/>
    <sheet xmlns:r="http://schemas.openxmlformats.org/officeDocument/2006/relationships" name="Routage et seuils" sheetId="5" state="visible" r:id="rId5"/>
    <sheet xmlns:r="http://schemas.openxmlformats.org/officeDocument/2006/relationships" name="Plafonds" sheetId="6" state="visible" r:id="rId6"/>
    <sheet xmlns:r="http://schemas.openxmlformats.org/officeDocument/2006/relationships" name="Volet climatique" sheetId="7" state="visible" r:id="rId7"/>
    <sheet xmlns:r="http://schemas.openxmlformats.org/officeDocument/2006/relationships" name="Verrous" sheetId="8" state="visible" r:id="rId8"/>
    <sheet xmlns:r="http://schemas.openxmlformats.org/officeDocument/2006/relationships" name="Conversion" sheetId="9" state="visible" r:id="rId9"/>
    <sheet xmlns:r="http://schemas.openxmlformats.org/officeDocument/2006/relationships" name="Exemple de calcul" sheetId="10" state="visible" r:id="rId10"/>
    <sheet xmlns:r="http://schemas.openxmlformats.org/officeDocument/2006/relationships" name="Glossaire" sheetId="11" state="visible" r:id="rId11"/>
    <sheet xmlns:r="http://schemas.openxmlformats.org/officeDocument/2006/relationships" name="Paramètres" sheetId="12" state="visible" r:id="rId12"/>
  </sheets>
  <definedNames>
    <definedName name="_xlnm._FilterDatabase" localSheetId="1" hidden="1">'Grille'!$A$4:$K$129</definedName>
    <definedName name="_xlnm._FilterDatabase" localSheetId="3" hidden="1">'Variantes sectorielles'!$A$4:$G$52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+0.00;\-0.00;0.00"/>
    <numFmt numFmtId="165" formatCode="0.000"/>
    <numFmt numFmtId="166" formatCode="0.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3D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</fonts>
  <fills count="10">
    <fill>
      <patternFill/>
    </fill>
    <fill>
      <patternFill patternType="gray125"/>
    </fill>
    <fill>
      <patternFill patternType="solid">
        <fgColor rgb="FFDDE8E3"/>
        <bgColor rgb="FFE2F0D9"/>
      </patternFill>
    </fill>
    <fill>
      <patternFill patternType="solid">
        <fgColor rgb="FF1F4E3D"/>
        <bgColor rgb="FF003366"/>
      </patternFill>
    </fill>
    <fill>
      <patternFill patternType="solid">
        <fgColor rgb="FFC6EFCE"/>
        <bgColor rgb="FFDDE8E3"/>
      </patternFill>
    </fill>
    <fill>
      <patternFill patternType="solid">
        <fgColor rgb="FFE2F0D9"/>
        <bgColor rgb="FFDDE8E3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8E3"/>
      </patternFill>
    </fill>
    <fill>
      <patternFill patternType="solid">
        <fgColor rgb="FFFFF2CC"/>
        <bgColor rgb="FFE2F0D9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6" fontId="9" fillId="9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6" fillId="2" borderId="1" applyAlignment="1" pivotButton="0" quotePrefix="0" xfId="0">
      <alignment horizontal="center" vertical="center" wrapText="1"/>
    </xf>
    <xf numFmtId="2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0" fillId="0" borderId="3" pivotButton="0" quotePrefix="0" xfId="0"/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6" fillId="8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2" fontId="9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9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166" fontId="9" fillId="9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6" fillId="2" borderId="1" applyAlignment="1" pivotButton="0" quotePrefix="0" xfId="0">
      <alignment horizontal="center" vertical="center" wrapText="1"/>
    </xf>
    <xf numFmtId="2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8E3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5" min="1" max="1"/>
    <col width="110" customWidth="1" style="35" min="2" max="2"/>
    <col width="80" customWidth="1" style="35" min="3" max="3"/>
  </cols>
  <sheetData>
    <row r="1" ht="19.7" customHeight="1" s="36">
      <c r="A1" s="80" t="inlineStr">
        <is>
          <t>Grille de scoring Project Finance — expliquée</t>
        </is>
      </c>
    </row>
    <row r="2" ht="15" customHeight="1" s="36">
      <c r="A2" s="79" t="inlineStr">
        <is>
          <t>Pour le chargé d'affaires : quelle situation choisir pour chaque sous-critère, avec un exemple par situation. Dossiers et exemples fictifs.</t>
        </is>
      </c>
    </row>
    <row r="4" ht="48" customHeight="1" s="36">
      <c r="A4" s="39" t="inlineStr">
        <is>
          <t>Comment la note est construite</t>
        </is>
      </c>
      <c r="B4" s="77" t="inlineStr">
        <is>
          <t>1. Routage (régime de revenus, secteur, phase) → seuils DSCR et poids.  2. Noyau financier D7 (N1 à N6).  3. Grille qualitative D1 à D9 (25 sous-critères).  4. Score sur 100 → note de 1 à 10.  5. Plafonds et verrous : la note approuvée est le minimum.</t>
        </is>
      </c>
    </row>
    <row r="5" ht="48" customHeight="1" s="36">
      <c r="A5" s="39" t="inlineStr">
        <is>
          <t>Ce que fait le chargé d'affaires</t>
        </is>
      </c>
      <c r="B5" s="77" t="inlineStr">
        <is>
          <t>Pour chaque sous-critère, il lit la question « Ce qu'on évalue », vérifie les pièces listées, puis choisit dans l'outil la situation qui décrit le mieux le dossier. La note (100, 80, 50 ou 20) s'en déduit.</t>
        </is>
      </c>
    </row>
    <row r="6" ht="48" customHeight="1" s="36">
      <c r="A6" s="39" t="inlineStr">
        <is>
          <t>Règle de choix</t>
        </is>
      </c>
      <c r="B6" s="77" t="inlineStr">
        <is>
          <t>Choisir la situation qui décrit le dossier AUJOURD'HUI, preuves à l'appui. En cas d'hésitation entre deux niveaux, retenir le plus prudent et l'expliquer en commentaire. Une promesse non signée vaut la situation sans la promesse.</t>
        </is>
      </c>
    </row>
    <row r="7" ht="48" customHeight="1" s="36">
      <c r="A7" s="39" t="inlineStr">
        <is>
          <t>Info. insuffisante</t>
        </is>
      </c>
      <c r="B7" s="77" t="inlineStr">
        <is>
          <t>À choisir quand la pièce qui permettrait de trancher n'est pas au dossier. Elle compte 20, rend la note provisoire et exige un commentaire indiquant la pièce attendue.</t>
        </is>
      </c>
    </row>
    <row r="8" ht="48" customHeight="1" s="36">
      <c r="A8" s="39" t="inlineStr">
        <is>
          <t>Critique</t>
        </is>
      </c>
      <c r="B8" s="77" t="inlineStr">
        <is>
          <t>Un commentaire est obligatoire : constat, pièce, et ce qui permettrait de remonter le niveau.</t>
        </is>
      </c>
    </row>
    <row r="9" ht="48" customHeight="1" s="36">
      <c r="A9" s="39" t="inlineStr">
        <is>
          <t>Onglets</t>
        </is>
      </c>
      <c r="B9" s="77" t="inlineStr">
        <is>
          <t>Grille (D1 à D9) · Noyau N1-N6 · Variantes sectorielles (D2.1, D4.1, D4.3, D5.2 par secteur) · Routage et seuils (calculateur) · Plafonds · Verrous · Conversion (calculateur) · Exemple de calcul · Glossaire · Paramètres · Volet climatique (aléas, transition, D9.5, scénario climatique).</t>
        </is>
      </c>
    </row>
    <row r="10" ht="48" customHeight="1" s="36">
      <c r="A10" s="39" t="inlineStr">
        <is>
          <t>Légende</t>
        </is>
      </c>
      <c r="B10" s="77" t="inlineStr">
        <is>
          <t>Cellules bleues : valeurs modifiables (paramètres, calculateurs). Les notes de la grille et les calculs sont des formules qui lisent l'onglet Paramètres.</t>
        </is>
      </c>
    </row>
    <row r="12" ht="15" customHeight="1" s="36">
      <c r="A12" s="81" t="inlineStr">
        <is>
          <t>Niveau</t>
        </is>
      </c>
      <c r="B12" s="81" t="inlineStr">
        <is>
          <t>Note</t>
        </is>
      </c>
      <c r="C12" s="81" t="inlineStr">
        <is>
          <t>Signification générale</t>
        </is>
      </c>
    </row>
    <row r="13" ht="15" customHeight="1" s="36">
      <c r="A13" s="42" t="inlineStr">
        <is>
          <t>Très favorable</t>
        </is>
      </c>
      <c r="B13" s="43">
        <f>Paramètres!$B$5</f>
        <v/>
      </c>
      <c r="C13" s="77" t="inlineStr">
        <is>
          <t>Meilleure pratique du marché, établie par des pièces signées ou indépendantes.</t>
        </is>
      </c>
    </row>
    <row r="14" ht="15" customHeight="1" s="36">
      <c r="A14" s="44" t="inlineStr">
        <is>
          <t>Favorable</t>
        </is>
      </c>
      <c r="B14" s="43">
        <f>Paramètres!$B$6</f>
        <v/>
      </c>
      <c r="C14" s="77" t="inlineStr">
        <is>
          <t>Bon niveau, avec une limite mineure identifiée.</t>
        </is>
      </c>
    </row>
    <row r="15" ht="15" customHeight="1" s="36">
      <c r="A15" s="45" t="inlineStr">
        <is>
          <t>Vigilance</t>
        </is>
      </c>
      <c r="B15" s="43">
        <f>Paramètres!$B$7</f>
        <v/>
      </c>
      <c r="C15" s="77" t="inlineStr">
        <is>
          <t>Faiblesse réelle qui demande un mitigant ou une condition.</t>
        </is>
      </c>
    </row>
    <row r="16" ht="15" customHeight="1" s="36">
      <c r="A16" s="46" t="inlineStr">
        <is>
          <t>Critique</t>
        </is>
      </c>
      <c r="B16" s="43">
        <f>Paramètres!$B$8</f>
        <v/>
      </c>
      <c r="C16" s="77" t="inlineStr">
        <is>
          <t>Point de rupture possible ; souvent lié à un plafond ou à un verrou.</t>
        </is>
      </c>
    </row>
    <row r="17" ht="15" customHeight="1" s="36">
      <c r="A17" s="47" t="inlineStr">
        <is>
          <t>Info. insuffisante</t>
        </is>
      </c>
      <c r="B17" s="43">
        <f>Paramètres!$B$9</f>
        <v/>
      </c>
      <c r="C17" s="77" t="inlineStr">
        <is>
          <t>La pièce manque : on ne peut pas juger.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2" customWidth="1" style="35" min="1" max="1"/>
    <col width="12" customWidth="1" style="35" min="2" max="2"/>
    <col width="7" customWidth="1" style="35" min="3" max="3"/>
    <col width="22" customWidth="1" style="35" min="4" max="4"/>
    <col width="10" customWidth="1" style="35" min="5" max="5"/>
    <col width="34" customWidth="1" style="35" min="6" max="7"/>
    <col width="15" customWidth="1" style="35" min="8" max="8"/>
    <col width="7" customWidth="1" style="35" min="9" max="9"/>
    <col width="44" customWidth="1" style="35" min="10" max="10"/>
    <col width="52" customWidth="1" style="35" min="11" max="11"/>
  </cols>
  <sheetData>
    <row r="1" ht="19.7" customHeight="1" s="36">
      <c r="A1" s="80" t="inlineStr">
        <is>
          <t>Grille qualitative D1 à D9 — situations et exemples</t>
        </is>
      </c>
    </row>
    <row r="2" ht="15" customHeight="1" s="36">
      <c r="A2" s="79" t="inlineStr">
        <is>
          <t>Une ligne par situation. Colonne « Dans l'outil » : texte exact de la liste déroulante. Les variantes par secteur de D2.1, D4.1, D4.3 et D5.2 sont dans l'onglet Variantes sectorielles.</t>
        </is>
      </c>
    </row>
    <row r="4" ht="31.5" customHeight="1" s="36">
      <c r="A4" s="81" t="inlineStr">
        <is>
          <t>Domaine</t>
        </is>
      </c>
      <c r="B4" s="81" t="inlineStr">
        <is>
          <t>Poids P1 / P2 / P3</t>
        </is>
      </c>
      <c r="C4" s="81" t="inlineStr">
        <is>
          <t>Clé</t>
        </is>
      </c>
      <c r="D4" s="81" t="inlineStr">
        <is>
          <t>Sous-critère</t>
        </is>
      </c>
      <c r="E4" s="81" t="inlineStr">
        <is>
          <t>Poids dans le domaine</t>
        </is>
      </c>
      <c r="F4" s="81" t="inlineStr">
        <is>
          <t>Ce qu'on évalue</t>
        </is>
      </c>
      <c r="G4" s="81" t="inlineStr">
        <is>
          <t>Pièces à vérifier</t>
        </is>
      </c>
      <c r="H4" s="81" t="inlineStr">
        <is>
          <t>Niveau</t>
        </is>
      </c>
      <c r="I4" s="81" t="inlineStr">
        <is>
          <t>Note</t>
        </is>
      </c>
      <c r="J4" s="81" t="inlineStr">
        <is>
          <t>Dans l'outil (liste)</t>
        </is>
      </c>
      <c r="K4" s="81" t="inlineStr">
        <is>
          <t>Exemple : on choisit ce niveau quand…</t>
        </is>
      </c>
    </row>
    <row r="5" ht="42" customHeight="1" s="36">
      <c r="A5" s="77" t="inlineStr">
        <is>
          <t>D1 — Sponsors et actionnariat</t>
        </is>
      </c>
      <c r="B5" s="77" t="inlineStr">
        <is>
          <t>10 % / 8 % / 5 %</t>
        </is>
      </c>
      <c r="C5" s="76" t="inlineStr">
        <is>
          <t>D1.1</t>
        </is>
      </c>
      <c r="D5" s="76" t="inlineStr">
        <is>
          <t>Capacité financière du sponsor</t>
        </is>
      </c>
      <c r="E5" s="49" t="n">
        <v>0.4</v>
      </c>
      <c r="F5" s="77" t="inlineStr">
        <is>
          <t>La solidité financière du sponsor : peut-il apporter l'argent promis, et plus si le projet dérape ?</t>
        </is>
      </c>
      <c r="G5" s="77" t="inlineStr">
        <is>
          <t>États financiers des 3 derniers exercices, notation (interne ou agence), lettre d'engagement de fonds propres, liste des autres projets en cours.</t>
        </is>
      </c>
      <c r="H5" s="50" t="inlineStr">
        <is>
          <t>Très favorable</t>
        </is>
      </c>
      <c r="I5" s="43">
        <f>Paramètres!$B$5</f>
        <v/>
      </c>
      <c r="J5" s="51" t="inlineStr">
        <is>
          <t>Très favorable — Sponsor noté ≥ BBB, fonds propres disponibles &gt; 3 × l'appel restant</t>
        </is>
      </c>
      <c r="K5" s="77" t="inlineStr">
        <is>
          <t>Énergéticien international noté BBB+, 2 milliards MAD de fonds propres, il lui reste 150 MMAD à apporter.</t>
        </is>
      </c>
    </row>
    <row r="6" ht="42" customHeight="1" s="36">
      <c r="A6" s="52" t="n"/>
      <c r="B6" s="52" t="n"/>
      <c r="C6" s="52" t="n"/>
      <c r="D6" s="52" t="n"/>
      <c r="E6" s="52" t="n"/>
      <c r="F6" s="52" t="n"/>
      <c r="G6" s="52" t="n"/>
      <c r="H6" s="53" t="inlineStr">
        <is>
          <t>Favorable</t>
        </is>
      </c>
      <c r="I6" s="43">
        <f>Paramètres!$B$6</f>
        <v/>
      </c>
      <c r="J6" s="51" t="inlineStr">
        <is>
          <t>Favorable — Sponsor solide, capacité couvrant l'appel restant avec marge</t>
        </is>
      </c>
      <c r="K6" s="77" t="inlineStr">
        <is>
          <t>Groupe industriel marocain solide, trésorerie de 400 MMAD pour 120 MMAD restant à apporter.</t>
        </is>
      </c>
    </row>
    <row r="7" ht="42" customHeight="1" s="36">
      <c r="A7" s="52" t="n"/>
      <c r="B7" s="52" t="n"/>
      <c r="C7" s="52" t="n"/>
      <c r="D7" s="52" t="n"/>
      <c r="E7" s="52" t="n"/>
      <c r="F7" s="52" t="n"/>
      <c r="G7" s="52" t="n"/>
      <c r="H7" s="54" t="inlineStr">
        <is>
          <t>Vigilance</t>
        </is>
      </c>
      <c r="I7" s="43">
        <f>Paramètres!$B$7</f>
        <v/>
      </c>
      <c r="J7" s="51" t="inlineStr">
        <is>
          <t>Vigilance — Capacité juste suffisante ou dépendante d'autres projets</t>
        </is>
      </c>
      <c r="K7" s="77" t="inlineStr">
        <is>
          <t>Promoteur qui finance trois projets en même temps : sa trésorerie couvre l'appel restant de justesse.</t>
        </is>
      </c>
    </row>
    <row r="8" ht="42" customHeight="1" s="36">
      <c r="A8" s="52" t="n"/>
      <c r="B8" s="52" t="n"/>
      <c r="C8" s="52" t="n"/>
      <c r="D8" s="52" t="n"/>
      <c r="E8" s="52" t="n"/>
      <c r="F8" s="52" t="n"/>
      <c r="G8" s="52" t="n"/>
      <c r="H8" s="55" t="inlineStr">
        <is>
          <t>Critique</t>
        </is>
      </c>
      <c r="I8" s="43">
        <f>Paramètres!$B$8</f>
        <v/>
      </c>
      <c r="J8" s="51" t="inlineStr">
        <is>
          <t>Critique — Capacité insuffisante ou sponsor en difficulté financière</t>
        </is>
      </c>
      <c r="K8" s="77" t="inlineStr">
        <is>
          <t>Sponsor en pertes depuis deux ans, fonds propres négatifs, ou en restructuration de sa propre dette.</t>
        </is>
      </c>
    </row>
    <row r="9" ht="42" customHeight="1" s="36">
      <c r="A9" s="56" t="n"/>
      <c r="B9" s="56" t="n"/>
      <c r="C9" s="56" t="n"/>
      <c r="D9" s="56" t="n"/>
      <c r="E9" s="56" t="n"/>
      <c r="F9" s="56" t="n"/>
      <c r="G9" s="56" t="n"/>
      <c r="H9" s="57" t="inlineStr">
        <is>
          <t>Info. insuffisante</t>
        </is>
      </c>
      <c r="I9" s="43">
        <f>Paramètres!$B$9</f>
        <v/>
      </c>
      <c r="J9" s="51" t="inlineStr">
        <is>
          <t>Info. insuffisante</t>
        </is>
      </c>
      <c r="K9" s="77" t="inlineStr">
        <is>
          <t>États financiers non remis ou datant de plus de 18 mois.</t>
        </is>
      </c>
    </row>
    <row r="10" ht="42" customHeight="1" s="36">
      <c r="A10" s="77" t="inlineStr">
        <is>
          <t>D1 — Sponsors et actionnariat</t>
        </is>
      </c>
      <c r="B10" s="77" t="inlineStr">
        <is>
          <t>10 % / 8 % / 5 %</t>
        </is>
      </c>
      <c r="C10" s="76" t="inlineStr">
        <is>
          <t>D1.2</t>
        </is>
      </c>
      <c r="D10" s="76" t="inlineStr">
        <is>
          <t>Obligation juridique de soutien</t>
        </is>
      </c>
      <c r="E10" s="49" t="n">
        <v>0.35</v>
      </c>
      <c r="F10" s="77" t="inlineStr">
        <is>
          <t>Ce que le sponsor s'est engagé juridiquement à faire, pas seulement ce qu'il pourrait faire.</t>
        </is>
      </c>
      <c r="G10" s="77" t="inlineStr">
        <is>
          <t>Contrat d'apport (equity contribution agreement), garantie de dépassement de coûts (cost overrun), garantie de bonne fin (completion guarantee).</t>
        </is>
      </c>
      <c r="H10" s="50" t="inlineStr">
        <is>
          <t>Très favorable</t>
        </is>
      </c>
      <c r="I10" s="43">
        <f>Paramètres!$B$5</f>
        <v/>
      </c>
      <c r="J10" s="51" t="inlineStr">
        <is>
          <t>Très favorable — Engagements signés : fonds propres, dépassement, garanties de complétion</t>
        </is>
      </c>
      <c r="K10" s="77" t="inlineStr">
        <is>
          <t>Contrat d'apport signé, garantie de dépassement de 10 % du CAPEX et garantie de bonne fin jusqu'à la réception.</t>
        </is>
      </c>
    </row>
    <row r="11" ht="42" customHeight="1" s="36">
      <c r="A11" s="52" t="n"/>
      <c r="B11" s="52" t="n"/>
      <c r="C11" s="52" t="n"/>
      <c r="D11" s="52" t="n"/>
      <c r="E11" s="52" t="n"/>
      <c r="F11" s="52" t="n"/>
      <c r="G11" s="52" t="n"/>
      <c r="H11" s="53" t="inlineStr">
        <is>
          <t>Favorable</t>
        </is>
      </c>
      <c r="I11" s="43">
        <f>Paramètres!$B$6</f>
        <v/>
      </c>
      <c r="J11" s="51" t="inlineStr">
        <is>
          <t>Favorable — Engagement de fonds propres signé, dépassement partiellement couvert</t>
        </is>
      </c>
      <c r="K11" s="77" t="inlineStr">
        <is>
          <t>Apport de fonds propres signé ; dépassement couvert à 5 % seulement.</t>
        </is>
      </c>
    </row>
    <row r="12" ht="42" customHeight="1" s="36">
      <c r="A12" s="52" t="n"/>
      <c r="B12" s="52" t="n"/>
      <c r="C12" s="52" t="n"/>
      <c r="D12" s="52" t="n"/>
      <c r="E12" s="52" t="n"/>
      <c r="F12" s="52" t="n"/>
      <c r="G12" s="52" t="n"/>
      <c r="H12" s="54" t="inlineStr">
        <is>
          <t>Vigilance</t>
        </is>
      </c>
      <c r="I12" s="43">
        <f>Paramètres!$B$7</f>
        <v/>
      </c>
      <c r="J12" s="51" t="inlineStr">
        <is>
          <t>Vigilance — Lettre de confort ou engagement non encore signé</t>
        </is>
      </c>
      <c r="K12" s="77" t="inlineStr">
        <is>
          <t>Simple lettre de confort (« nous soutiendrons le projet ») sans engagement chiffré.</t>
        </is>
      </c>
    </row>
    <row r="13" ht="42" customHeight="1" s="36">
      <c r="A13" s="52" t="n"/>
      <c r="B13" s="52" t="n"/>
      <c r="C13" s="52" t="n"/>
      <c r="D13" s="52" t="n"/>
      <c r="E13" s="52" t="n"/>
      <c r="F13" s="52" t="n"/>
      <c r="G13" s="52" t="n"/>
      <c r="H13" s="55" t="inlineStr">
        <is>
          <t>Critique</t>
        </is>
      </c>
      <c r="I13" s="43">
        <f>Paramètres!$B$8</f>
        <v/>
      </c>
      <c r="J13" s="51" t="inlineStr">
        <is>
          <t>Critique — Aucun engagement juridique du sponsor</t>
        </is>
      </c>
      <c r="K13" s="77" t="inlineStr">
        <is>
          <t>Aucun document : le sponsor peut se retirer sans pénalité.</t>
        </is>
      </c>
    </row>
    <row r="14" ht="42" customHeight="1" s="36">
      <c r="A14" s="56" t="n"/>
      <c r="B14" s="56" t="n"/>
      <c r="C14" s="56" t="n"/>
      <c r="D14" s="56" t="n"/>
      <c r="E14" s="56" t="n"/>
      <c r="F14" s="56" t="n"/>
      <c r="G14" s="56" t="n"/>
      <c r="H14" s="57" t="inlineStr">
        <is>
          <t>Info. insuffisante</t>
        </is>
      </c>
      <c r="I14" s="43">
        <f>Paramètres!$B$9</f>
        <v/>
      </c>
      <c r="J14" s="51" t="inlineStr">
        <is>
          <t>Info. insuffisante</t>
        </is>
      </c>
      <c r="K14" s="77" t="inlineStr">
        <is>
          <t>Engagements annoncés mais aucun projet de contrat communiqué.</t>
        </is>
      </c>
    </row>
    <row r="15" ht="42" customHeight="1" s="36">
      <c r="A15" s="77" t="inlineStr">
        <is>
          <t>D1 — Sponsors et actionnariat</t>
        </is>
      </c>
      <c r="B15" s="77" t="inlineStr">
        <is>
          <t>10 % / 8 % / 5 %</t>
        </is>
      </c>
      <c r="C15" s="76" t="inlineStr">
        <is>
          <t>D1.3</t>
        </is>
      </c>
      <c r="D15" s="76" t="inlineStr">
        <is>
          <t>Structure actionnariale et gouvernance</t>
        </is>
      </c>
      <c r="E15" s="49" t="n">
        <v>0.25</v>
      </c>
      <c r="F15" s="77" t="inlineStr">
        <is>
          <t>Qui détient la société de projet (SPV), comment elle est gouvernée, et le risque de départ d'un actionnaire.</t>
        </is>
      </c>
      <c r="G15" s="77" t="inlineStr">
        <is>
          <t>Organigramme actionnarial jusqu'aux bénéficiaires effectifs, pacte d'actionnaires, clauses de cession (lock-up).</t>
        </is>
      </c>
      <c r="H15" s="50" t="inlineStr">
        <is>
          <t>Très favorable</t>
        </is>
      </c>
      <c r="I15" s="43">
        <f>Paramètres!$B$5</f>
        <v/>
      </c>
      <c r="J15" s="51" t="inlineStr">
        <is>
          <t>Très favorable — Actionnariat stable, pacte signé, gouvernance de la SPV documentée</t>
        </is>
      </c>
      <c r="K15" s="77" t="inlineStr">
        <is>
          <t>Deux actionnaires stables (60/40), pacte signé, interdiction de céder avant la réception, bénéficiaires connus.</t>
        </is>
      </c>
    </row>
    <row r="16" ht="42" customHeight="1" s="36">
      <c r="A16" s="52" t="n"/>
      <c r="B16" s="52" t="n"/>
      <c r="C16" s="52" t="n"/>
      <c r="D16" s="52" t="n"/>
      <c r="E16" s="52" t="n"/>
      <c r="F16" s="52" t="n"/>
      <c r="G16" s="52" t="n"/>
      <c r="H16" s="53" t="inlineStr">
        <is>
          <t>Favorable</t>
        </is>
      </c>
      <c r="I16" s="43">
        <f>Paramètres!$B$6</f>
        <v/>
      </c>
      <c r="J16" s="51" t="inlineStr">
        <is>
          <t>Favorable — Actionnariat stable, pacte en cours de finalisation</t>
        </is>
      </c>
      <c r="K16" s="77" t="inlineStr">
        <is>
          <t>Actionnariat stable, pacte en cours de signature, bénéficiaires connus.</t>
        </is>
      </c>
    </row>
    <row r="17" ht="42" customHeight="1" s="36">
      <c r="A17" s="52" t="n"/>
      <c r="B17" s="52" t="n"/>
      <c r="C17" s="52" t="n"/>
      <c r="D17" s="52" t="n"/>
      <c r="E17" s="52" t="n"/>
      <c r="F17" s="52" t="n"/>
      <c r="G17" s="52" t="n"/>
      <c r="H17" s="54" t="inlineStr">
        <is>
          <t>Vigilance</t>
        </is>
      </c>
      <c r="I17" s="43">
        <f>Paramètres!$B$7</f>
        <v/>
      </c>
      <c r="J17" s="51" t="inlineStr">
        <is>
          <t>Vigilance — Actionnariat dispersé ou clauses de sortie précoces</t>
        </is>
      </c>
      <c r="K17" s="77" t="inlineStr">
        <is>
          <t>Cinq actionnaires minoritaires, ou un fonds qui peut sortir dès la 3e année.</t>
        </is>
      </c>
    </row>
    <row r="18" ht="42" customHeight="1" s="36">
      <c r="A18" s="52" t="n"/>
      <c r="B18" s="52" t="n"/>
      <c r="C18" s="52" t="n"/>
      <c r="D18" s="52" t="n"/>
      <c r="E18" s="52" t="n"/>
      <c r="F18" s="52" t="n"/>
      <c r="G18" s="52" t="n"/>
      <c r="H18" s="55" t="inlineStr">
        <is>
          <t>Critique</t>
        </is>
      </c>
      <c r="I18" s="43">
        <f>Paramètres!$B$8</f>
        <v/>
      </c>
      <c r="J18" s="51" t="inlineStr">
        <is>
          <t>Critique — Actionnariat instable, conflit ou bénéficiaire effectif non établi</t>
        </is>
      </c>
      <c r="K18" s="77" t="inlineStr">
        <is>
          <t>Conflit entre actionnaires, ou bénéficiaire effectif non identifié (exigence KYC / LBC-FT).</t>
        </is>
      </c>
    </row>
    <row r="19" ht="42" customHeight="1" s="36">
      <c r="A19" s="56" t="n"/>
      <c r="B19" s="56" t="n"/>
      <c r="C19" s="56" t="n"/>
      <c r="D19" s="56" t="n"/>
      <c r="E19" s="56" t="n"/>
      <c r="F19" s="56" t="n"/>
      <c r="G19" s="56" t="n"/>
      <c r="H19" s="57" t="inlineStr">
        <is>
          <t>Info. insuffisante</t>
        </is>
      </c>
      <c r="I19" s="43">
        <f>Paramètres!$B$9</f>
        <v/>
      </c>
      <c r="J19" s="51" t="inlineStr">
        <is>
          <t>Info. insuffisante</t>
        </is>
      </c>
      <c r="K19" s="77" t="inlineStr">
        <is>
          <t>Organigramme incomplet, bénéficiaires effectifs non documentés.</t>
        </is>
      </c>
    </row>
    <row r="20" ht="42" customHeight="1" s="36">
      <c r="A20" s="77" t="inlineStr">
        <is>
          <t>D2 — Projet, site, technologie</t>
        </is>
      </c>
      <c r="B20" s="77" t="inlineStr">
        <is>
          <t>10 % / 7 % / 5 %</t>
        </is>
      </c>
      <c r="C20" s="76" t="inlineStr">
        <is>
          <t>D2.1</t>
        </is>
      </c>
      <c r="D20" s="76" t="inlineStr">
        <is>
          <t>Technologie et performance</t>
        </is>
      </c>
      <c r="E20" s="49" t="n">
        <v>0.35</v>
      </c>
      <c r="F20" s="77" t="inlineStr">
        <is>
          <t>La technologie fonctionne-t-elle comme prévu, à cette taille ? (variante par secteur dans l'onglet Variantes sectorielles)</t>
        </is>
      </c>
      <c r="G20" s="77" t="inlineStr">
        <is>
          <t>Rapport de l'ingénieur indépendant, références du fournisseur, garanties de performance.</t>
        </is>
      </c>
      <c r="H20" s="50" t="inlineStr">
        <is>
          <t>Très favorable</t>
        </is>
      </c>
      <c r="I20" s="43">
        <f>Paramètres!$B$5</f>
        <v/>
      </c>
      <c r="J20" s="51" t="inlineStr">
        <is>
          <t>Très favorable — Technologie éprouvée, références nombreuses et comparables</t>
        </is>
      </c>
      <c r="K20" s="77" t="inlineStr">
        <is>
          <t>Station de dessalement par osmose inverse, procédé utilisé dans 30 usines de taille comparable.</t>
        </is>
      </c>
    </row>
    <row r="21" ht="42" customHeight="1" s="36">
      <c r="A21" s="52" t="n"/>
      <c r="B21" s="52" t="n"/>
      <c r="C21" s="52" t="n"/>
      <c r="D21" s="52" t="n"/>
      <c r="E21" s="52" t="n"/>
      <c r="F21" s="52" t="n"/>
      <c r="G21" s="52" t="n"/>
      <c r="H21" s="53" t="inlineStr">
        <is>
          <t>Favorable</t>
        </is>
      </c>
      <c r="I21" s="43">
        <f>Paramètres!$B$6</f>
        <v/>
      </c>
      <c r="J21" s="51" t="inlineStr">
        <is>
          <t>Favorable — Technologie éprouvée, références moins nombreuses ou plus petites</t>
        </is>
      </c>
      <c r="K21" s="77" t="inlineStr">
        <is>
          <t>Technologie éprouvée mais le fournisseur n'a que 2 références de cette taille.</t>
        </is>
      </c>
    </row>
    <row r="22" ht="42" customHeight="1" s="36">
      <c r="A22" s="52" t="n"/>
      <c r="B22" s="52" t="n"/>
      <c r="C22" s="52" t="n"/>
      <c r="D22" s="52" t="n"/>
      <c r="E22" s="52" t="n"/>
      <c r="F22" s="52" t="n"/>
      <c r="G22" s="52" t="n"/>
      <c r="H22" s="54" t="inlineStr">
        <is>
          <t>Vigilance</t>
        </is>
      </c>
      <c r="I22" s="43">
        <f>Paramètres!$B$7</f>
        <v/>
      </c>
      <c r="J22" s="51" t="inlineStr">
        <is>
          <t>Vigilance — Technologie récente ou extrapolée à une taille supérieure</t>
        </is>
      </c>
      <c r="K22" s="77" t="inlineStr">
        <is>
          <t>Unité de nouvelle génération extrapolée au double de la taille des références existantes.</t>
        </is>
      </c>
    </row>
    <row r="23" ht="42" customHeight="1" s="36">
      <c r="A23" s="52" t="n"/>
      <c r="B23" s="52" t="n"/>
      <c r="C23" s="52" t="n"/>
      <c r="D23" s="52" t="n"/>
      <c r="E23" s="52" t="n"/>
      <c r="F23" s="52" t="n"/>
      <c r="G23" s="52" t="n"/>
      <c r="H23" s="55" t="inlineStr">
        <is>
          <t>Critique</t>
        </is>
      </c>
      <c r="I23" s="43">
        <f>Paramètres!$B$8</f>
        <v/>
      </c>
      <c r="J23" s="51" t="inlineStr">
        <is>
          <t>Critique — Technologie non éprouvée à cette échelle</t>
        </is>
      </c>
      <c r="K23" s="77" t="inlineStr">
        <is>
          <t>Premier déploiement industriel d'un procédé testé seulement en pilote.</t>
        </is>
      </c>
    </row>
    <row r="24" ht="42" customHeight="1" s="36">
      <c r="A24" s="56" t="n"/>
      <c r="B24" s="56" t="n"/>
      <c r="C24" s="56" t="n"/>
      <c r="D24" s="56" t="n"/>
      <c r="E24" s="56" t="n"/>
      <c r="F24" s="56" t="n"/>
      <c r="G24" s="56" t="n"/>
      <c r="H24" s="57" t="inlineStr">
        <is>
          <t>Info. insuffisante</t>
        </is>
      </c>
      <c r="I24" s="43">
        <f>Paramètres!$B$9</f>
        <v/>
      </c>
      <c r="J24" s="51" t="inlineStr">
        <is>
          <t>Info. insuffisante</t>
        </is>
      </c>
      <c r="K24" s="77" t="inlineStr">
        <is>
          <t>Pas de rapport technique indépendant.</t>
        </is>
      </c>
    </row>
    <row r="25" ht="42" customHeight="1" s="36">
      <c r="A25" s="77" t="inlineStr">
        <is>
          <t>D2 — Projet, site, technologie</t>
        </is>
      </c>
      <c r="B25" s="77" t="inlineStr">
        <is>
          <t>10 % / 7 % / 5 %</t>
        </is>
      </c>
      <c r="C25" s="76" t="inlineStr">
        <is>
          <t>D2.2</t>
        </is>
      </c>
      <c r="D25" s="76" t="inlineStr">
        <is>
          <t>Site, foncier physique et accès</t>
        </is>
      </c>
      <c r="E25" s="49" t="n">
        <v>0.4</v>
      </c>
      <c r="F25" s="77" t="inlineStr">
        <is>
          <t>Le terrain est-il acquis, sain et accessible (routes, réseau électrique, eau) ?</t>
        </is>
      </c>
      <c r="G25" s="77" t="inlineStr">
        <is>
          <t>Titre foncier ou contrat de location, études géotechniques, autorisations de raccordement.</t>
        </is>
      </c>
      <c r="H25" s="50" t="inlineStr">
        <is>
          <t>Très favorable</t>
        </is>
      </c>
      <c r="I25" s="43">
        <f>Paramètres!$B$5</f>
        <v/>
      </c>
      <c r="J25" s="51" t="inlineStr">
        <is>
          <t>Très favorable — Foncier sécurisé, études de sol faites, accès et réseaux disponibles</t>
        </is>
      </c>
      <c r="K25" s="77" t="inlineStr">
        <is>
          <t>Terrain acquis et immatriculé, sol étudié, poste électrique à 2 km avec accord de raccordement.</t>
        </is>
      </c>
    </row>
    <row r="26" ht="42" customHeight="1" s="36">
      <c r="A26" s="52" t="n"/>
      <c r="B26" s="52" t="n"/>
      <c r="C26" s="52" t="n"/>
      <c r="D26" s="52" t="n"/>
      <c r="E26" s="52" t="n"/>
      <c r="F26" s="52" t="n"/>
      <c r="G26" s="52" t="n"/>
      <c r="H26" s="53" t="inlineStr">
        <is>
          <t>Favorable</t>
        </is>
      </c>
      <c r="I26" s="43">
        <f>Paramètres!$B$6</f>
        <v/>
      </c>
      <c r="J26" s="51" t="inlineStr">
        <is>
          <t>Favorable — Foncier sécurisé, études ou raccordements encore à finaliser</t>
        </is>
      </c>
      <c r="K26" s="77" t="inlineStr">
        <is>
          <t>Terrain sécurisé par bail long, raccordement électrique accordé mais travaux non commencés.</t>
        </is>
      </c>
    </row>
    <row r="27" ht="42" customHeight="1" s="36">
      <c r="A27" s="52" t="n"/>
      <c r="B27" s="52" t="n"/>
      <c r="C27" s="52" t="n"/>
      <c r="D27" s="52" t="n"/>
      <c r="E27" s="52" t="n"/>
      <c r="F27" s="52" t="n"/>
      <c r="G27" s="52" t="n"/>
      <c r="H27" s="54" t="inlineStr">
        <is>
          <t>Vigilance</t>
        </is>
      </c>
      <c r="I27" s="43">
        <f>Paramètres!$B$7</f>
        <v/>
      </c>
      <c r="J27" s="51" t="inlineStr">
        <is>
          <t>Vigilance — Foncier ou accès en cours d'obtention, contraintes de site identifiées</t>
        </is>
      </c>
      <c r="K27" s="77" t="inlineStr">
        <is>
          <t>Achat du terrain en cours, ou piste d'accès à construire par une commune.</t>
        </is>
      </c>
    </row>
    <row r="28" ht="42" customHeight="1" s="36">
      <c r="A28" s="52" t="n"/>
      <c r="B28" s="52" t="n"/>
      <c r="C28" s="52" t="n"/>
      <c r="D28" s="52" t="n"/>
      <c r="E28" s="52" t="n"/>
      <c r="F28" s="52" t="n"/>
      <c r="G28" s="52" t="n"/>
      <c r="H28" s="55" t="inlineStr">
        <is>
          <t>Critique</t>
        </is>
      </c>
      <c r="I28" s="43">
        <f>Paramètres!$B$8</f>
        <v/>
      </c>
      <c r="J28" s="51" t="inlineStr">
        <is>
          <t>Critique — Foncier non sécurisé ou contrainte de site non résolue</t>
        </is>
      </c>
      <c r="K28" s="77" t="inlineStr">
        <is>
          <t>Terrain non acquis ou litige foncier en cours (voir aussi le verrou B4).</t>
        </is>
      </c>
    </row>
    <row r="29" ht="42" customHeight="1" s="36">
      <c r="A29" s="56" t="n"/>
      <c r="B29" s="56" t="n"/>
      <c r="C29" s="56" t="n"/>
      <c r="D29" s="56" t="n"/>
      <c r="E29" s="56" t="n"/>
      <c r="F29" s="56" t="n"/>
      <c r="G29" s="56" t="n"/>
      <c r="H29" s="57" t="inlineStr">
        <is>
          <t>Info. insuffisante</t>
        </is>
      </c>
      <c r="I29" s="43">
        <f>Paramètres!$B$9</f>
        <v/>
      </c>
      <c r="J29" s="51" t="inlineStr">
        <is>
          <t>Info. insuffisante</t>
        </is>
      </c>
      <c r="K29" s="77" t="inlineStr">
        <is>
          <t>Statut foncier non communiqué.</t>
        </is>
      </c>
    </row>
    <row r="30" ht="42" customHeight="1" s="36">
      <c r="A30" s="77" t="inlineStr">
        <is>
          <t>D2 — Projet, site, technologie</t>
        </is>
      </c>
      <c r="B30" s="77" t="inlineStr">
        <is>
          <t>10 % / 7 % / 5 %</t>
        </is>
      </c>
      <c r="C30" s="76" t="inlineStr">
        <is>
          <t>D2.3</t>
        </is>
      </c>
      <c r="D30" s="76" t="inlineStr">
        <is>
          <t>Planning et complexité d'exécution</t>
        </is>
      </c>
      <c r="E30" s="49" t="n">
        <v>0.25</v>
      </c>
      <c r="F30" s="77" t="inlineStr">
        <is>
          <t>Le calendrier est-il réaliste et le chantier maîtrisable ?</t>
        </is>
      </c>
      <c r="G30" s="77" t="inlineStr">
        <is>
          <t>Planning détaillé, chemin critique, avis de l'ingénieur indépendant.</t>
        </is>
      </c>
      <c r="H30" s="50" t="inlineStr">
        <is>
          <t>Très favorable</t>
        </is>
      </c>
      <c r="I30" s="43">
        <f>Paramètres!$B$5</f>
        <v/>
      </c>
      <c r="J30" s="51" t="inlineStr">
        <is>
          <t>Très favorable — Planning réaliste avec marge, chantier simple et répétitif</t>
        </is>
      </c>
      <c r="K30" s="77" t="inlineStr">
        <is>
          <t>Parc solaire de 18 mois avec 3 mois de marge, opérations répétitives.</t>
        </is>
      </c>
    </row>
    <row r="31" ht="42" customHeight="1" s="36">
      <c r="A31" s="52" t="n"/>
      <c r="B31" s="52" t="n"/>
      <c r="C31" s="52" t="n"/>
      <c r="D31" s="52" t="n"/>
      <c r="E31" s="52" t="n"/>
      <c r="F31" s="52" t="n"/>
      <c r="G31" s="52" t="n"/>
      <c r="H31" s="53" t="inlineStr">
        <is>
          <t>Favorable</t>
        </is>
      </c>
      <c r="I31" s="43">
        <f>Paramètres!$B$6</f>
        <v/>
      </c>
      <c r="J31" s="51" t="inlineStr">
        <is>
          <t>Favorable — Planning tenable, quelques interfaces critiques identifiées</t>
        </is>
      </c>
      <c r="K31" s="77" t="inlineStr">
        <is>
          <t>Planning tenable ; dépend de la livraison d'un transformateur dans les délais.</t>
        </is>
      </c>
    </row>
    <row r="32" ht="42" customHeight="1" s="36">
      <c r="A32" s="52" t="n"/>
      <c r="B32" s="52" t="n"/>
      <c r="C32" s="52" t="n"/>
      <c r="D32" s="52" t="n"/>
      <c r="E32" s="52" t="n"/>
      <c r="F32" s="52" t="n"/>
      <c r="G32" s="52" t="n"/>
      <c r="H32" s="54" t="inlineStr">
        <is>
          <t>Vigilance</t>
        </is>
      </c>
      <c r="I32" s="43">
        <f>Paramètres!$B$7</f>
        <v/>
      </c>
      <c r="J32" s="51" t="inlineStr">
        <is>
          <t>Vigilance — Planning tendu ou chemin critique dépendant de tiers</t>
        </is>
      </c>
      <c r="K32" s="77" t="inlineStr">
        <is>
          <t>Planning serré qui dépend d'un tiers (raccordement par l'opérateur public, permis en attente).</t>
        </is>
      </c>
    </row>
    <row r="33" ht="42" customHeight="1" s="36">
      <c r="A33" s="52" t="n"/>
      <c r="B33" s="52" t="n"/>
      <c r="C33" s="52" t="n"/>
      <c r="D33" s="52" t="n"/>
      <c r="E33" s="52" t="n"/>
      <c r="F33" s="52" t="n"/>
      <c r="G33" s="52" t="n"/>
      <c r="H33" s="55" t="inlineStr">
        <is>
          <t>Critique</t>
        </is>
      </c>
      <c r="I33" s="43">
        <f>Paramètres!$B$8</f>
        <v/>
      </c>
      <c r="J33" s="51" t="inlineStr">
        <is>
          <t>Critique — Planning irréaliste ou complexité non maîtrisée</t>
        </is>
      </c>
      <c r="K33" s="77" t="inlineStr">
        <is>
          <t>Planning de 12 mois pour un chantier que les experts estiment à 24 mois.</t>
        </is>
      </c>
    </row>
    <row r="34" ht="42" customHeight="1" s="36">
      <c r="A34" s="56" t="n"/>
      <c r="B34" s="56" t="n"/>
      <c r="C34" s="56" t="n"/>
      <c r="D34" s="56" t="n"/>
      <c r="E34" s="56" t="n"/>
      <c r="F34" s="56" t="n"/>
      <c r="G34" s="56" t="n"/>
      <c r="H34" s="57" t="inlineStr">
        <is>
          <t>Info. insuffisante</t>
        </is>
      </c>
      <c r="I34" s="43">
        <f>Paramètres!$B$9</f>
        <v/>
      </c>
      <c r="J34" s="51" t="inlineStr">
        <is>
          <t>Info. insuffisante</t>
        </is>
      </c>
      <c r="K34" s="77" t="inlineStr">
        <is>
          <t>Aucun planning détaillé remis.</t>
        </is>
      </c>
    </row>
    <row r="35" ht="42" customHeight="1" s="36">
      <c r="A35" s="77" t="inlineStr">
        <is>
          <t>D3 — Construction et achèvement</t>
        </is>
      </c>
      <c r="B35" s="77" t="inlineStr">
        <is>
          <t>20 % / 8 % / 0 %</t>
        </is>
      </c>
      <c r="C35" s="76" t="inlineStr">
        <is>
          <t>D3.1</t>
        </is>
      </c>
      <c r="D35" s="76" t="inlineStr">
        <is>
          <t>Contrat EPC et constructeur</t>
        </is>
      </c>
      <c r="E35" s="49" t="n">
        <v>0.4</v>
      </c>
      <c r="F35" s="77" t="inlineStr">
        <is>
          <t>Le contrat de construction (EPC) protège-t-il la SPV contre les retards et dépassements ?</t>
        </is>
      </c>
      <c r="G35" s="77" t="inlineStr">
        <is>
          <t>Contrat EPC : prix forfaitaire, date garantie, pénalités de retard et de performance, garanties bancaires du constructeur.</t>
        </is>
      </c>
      <c r="H35" s="50" t="inlineStr">
        <is>
          <t>Très favorable</t>
        </is>
      </c>
      <c r="I35" s="43">
        <f>Paramètres!$B$5</f>
        <v/>
      </c>
      <c r="J35" s="51" t="inlineStr">
        <is>
          <t>Très favorable — EPC clé-en-main forfaitaire, constructeur de premier rang, pénalités ≥ 15 %</t>
        </is>
      </c>
      <c r="K35" s="77" t="inlineStr">
        <is>
          <t>EPC clé-en-main à prix fixe, constructeur international, pénalités de retard jusqu'à 15 % du contrat.</t>
        </is>
      </c>
    </row>
    <row r="36" ht="42" customHeight="1" s="36">
      <c r="A36" s="52" t="n"/>
      <c r="B36" s="52" t="n"/>
      <c r="C36" s="52" t="n"/>
      <c r="D36" s="52" t="n"/>
      <c r="E36" s="52" t="n"/>
      <c r="F36" s="52" t="n"/>
      <c r="G36" s="52" t="n"/>
      <c r="H36" s="53" t="inlineStr">
        <is>
          <t>Favorable</t>
        </is>
      </c>
      <c r="I36" s="43">
        <f>Paramètres!$B$6</f>
        <v/>
      </c>
      <c r="J36" s="51" t="inlineStr">
        <is>
          <t>Favorable — EPC forfaitaire, pénalités ou garanties légèrement en retrait</t>
        </is>
      </c>
      <c r="K36" s="77" t="inlineStr">
        <is>
          <t>EPC forfaitaire mais pénalités plafonnées à 10 %.</t>
        </is>
      </c>
    </row>
    <row r="37" ht="42" customHeight="1" s="36">
      <c r="A37" s="52" t="n"/>
      <c r="B37" s="52" t="n"/>
      <c r="C37" s="52" t="n"/>
      <c r="D37" s="52" t="n"/>
      <c r="E37" s="52" t="n"/>
      <c r="F37" s="52" t="n"/>
      <c r="G37" s="52" t="n"/>
      <c r="H37" s="54" t="inlineStr">
        <is>
          <t>Vigilance</t>
        </is>
      </c>
      <c r="I37" s="43">
        <f>Paramètres!$B$7</f>
        <v/>
      </c>
      <c r="J37" s="51" t="inlineStr">
        <is>
          <t>Vigilance — Lots séparés ou constructeur à l'expérience limitée</t>
        </is>
      </c>
      <c r="K37" s="77" t="inlineStr">
        <is>
          <t>Trois lots séparés (génie civil, équipements, électricité) coordonnés par la SPV.</t>
        </is>
      </c>
    </row>
    <row r="38" ht="42" customHeight="1" s="36">
      <c r="A38" s="52" t="n"/>
      <c r="B38" s="52" t="n"/>
      <c r="C38" s="52" t="n"/>
      <c r="D38" s="52" t="n"/>
      <c r="E38" s="52" t="n"/>
      <c r="F38" s="52" t="n"/>
      <c r="G38" s="52" t="n"/>
      <c r="H38" s="55" t="inlineStr">
        <is>
          <t>Critique</t>
        </is>
      </c>
      <c r="I38" s="43">
        <f>Paramètres!$B$8</f>
        <v/>
      </c>
      <c r="J38" s="51" t="inlineStr">
        <is>
          <t>Critique — Pas d'EPC signé ou constructeur fragile</t>
        </is>
      </c>
      <c r="K38" s="77" t="inlineStr">
        <is>
          <t>EPC non signé (voir verrou B2) ou constructeur en difficulté financière.</t>
        </is>
      </c>
    </row>
    <row r="39" ht="42" customHeight="1" s="36">
      <c r="A39" s="56" t="n"/>
      <c r="B39" s="56" t="n"/>
      <c r="C39" s="56" t="n"/>
      <c r="D39" s="56" t="n"/>
      <c r="E39" s="56" t="n"/>
      <c r="F39" s="56" t="n"/>
      <c r="G39" s="56" t="n"/>
      <c r="H39" s="57" t="inlineStr">
        <is>
          <t>Info. insuffisante</t>
        </is>
      </c>
      <c r="I39" s="43">
        <f>Paramètres!$B$9</f>
        <v/>
      </c>
      <c r="J39" s="51" t="inlineStr">
        <is>
          <t>Info. insuffisante</t>
        </is>
      </c>
      <c r="K39" s="77" t="inlineStr">
        <is>
          <t>Projet d'EPC non communiqué.</t>
        </is>
      </c>
    </row>
    <row r="40" ht="42" customHeight="1" s="36">
      <c r="A40" s="77" t="inlineStr">
        <is>
          <t>D3 — Construction et achèvement</t>
        </is>
      </c>
      <c r="B40" s="77" t="inlineStr">
        <is>
          <t>20 % / 8 % / 0 %</t>
        </is>
      </c>
      <c r="C40" s="76" t="inlineStr">
        <is>
          <t>D3.2</t>
        </is>
      </c>
      <c r="D40" s="76" t="inlineStr">
        <is>
          <t>Interfaces et gouvernance de chantier</t>
        </is>
      </c>
      <c r="E40" s="49" t="n">
        <v>0.25</v>
      </c>
      <c r="F40" s="77" t="inlineStr">
        <is>
          <t>Combien d'intervenants doivent se coordonner sur le chantier, et qui contrôle ?</t>
        </is>
      </c>
      <c r="G40" s="77" t="inlineStr">
        <is>
          <t>Organigramme du chantier, contrat de l'ingénieur des prêteurs (lender's technical advisor).</t>
        </is>
      </c>
      <c r="H40" s="50" t="inlineStr">
        <is>
          <t>Très favorable</t>
        </is>
      </c>
      <c r="I40" s="43">
        <f>Paramètres!$B$5</f>
        <v/>
      </c>
      <c r="J40" s="51" t="inlineStr">
        <is>
          <t>Très favorable — Interface unique, ingénieur indépendant des prêteurs mandaté</t>
        </is>
      </c>
      <c r="K40" s="77" t="inlineStr">
        <is>
          <t>Un seul constructeur responsable de tout, ingénieur indépendant mandaté par les banques.</t>
        </is>
      </c>
    </row>
    <row r="41" ht="42" customHeight="1" s="36">
      <c r="A41" s="52" t="n"/>
      <c r="B41" s="52" t="n"/>
      <c r="C41" s="52" t="n"/>
      <c r="D41" s="52" t="n"/>
      <c r="E41" s="52" t="n"/>
      <c r="F41" s="52" t="n"/>
      <c r="G41" s="52" t="n"/>
      <c r="H41" s="53" t="inlineStr">
        <is>
          <t>Favorable</t>
        </is>
      </c>
      <c r="I41" s="43">
        <f>Paramètres!$B$6</f>
        <v/>
      </c>
      <c r="J41" s="51" t="inlineStr">
        <is>
          <t>Favorable — Interfaces peu nombreuses et contractualisées</t>
        </is>
      </c>
      <c r="K41" s="77" t="inlineStr">
        <is>
          <t>Deux interfaces contractualisées (constructeur et raccordement).</t>
        </is>
      </c>
    </row>
    <row r="42" ht="42" customHeight="1" s="36">
      <c r="A42" s="52" t="n"/>
      <c r="B42" s="52" t="n"/>
      <c r="C42" s="52" t="n"/>
      <c r="D42" s="52" t="n"/>
      <c r="E42" s="52" t="n"/>
      <c r="F42" s="52" t="n"/>
      <c r="G42" s="52" t="n"/>
      <c r="H42" s="54" t="inlineStr">
        <is>
          <t>Vigilance</t>
        </is>
      </c>
      <c r="I42" s="43">
        <f>Paramètres!$B$7</f>
        <v/>
      </c>
      <c r="J42" s="51" t="inlineStr">
        <is>
          <t>Vigilance — Interfaces multiples, coordination portée par la SPV</t>
        </is>
      </c>
      <c r="K42" s="77" t="inlineStr">
        <is>
          <t>Cinq intervenants, coordination assurée par une petite équipe de la SPV.</t>
        </is>
      </c>
    </row>
    <row r="43" ht="42" customHeight="1" s="36">
      <c r="A43" s="52" t="n"/>
      <c r="B43" s="52" t="n"/>
      <c r="C43" s="52" t="n"/>
      <c r="D43" s="52" t="n"/>
      <c r="E43" s="52" t="n"/>
      <c r="F43" s="52" t="n"/>
      <c r="G43" s="52" t="n"/>
      <c r="H43" s="55" t="inlineStr">
        <is>
          <t>Critique</t>
        </is>
      </c>
      <c r="I43" s="43">
        <f>Paramètres!$B$8</f>
        <v/>
      </c>
      <c r="J43" s="51" t="inlineStr">
        <is>
          <t>Critique — Interfaces non contractualisées ou litige de chantier</t>
        </is>
      </c>
      <c r="K43" s="77" t="inlineStr">
        <is>
          <t>Interfaces sans contrat, ou litige déjà ouvert avec un sous-traitant.</t>
        </is>
      </c>
    </row>
    <row r="44" ht="42" customHeight="1" s="36">
      <c r="A44" s="56" t="n"/>
      <c r="B44" s="56" t="n"/>
      <c r="C44" s="56" t="n"/>
      <c r="D44" s="56" t="n"/>
      <c r="E44" s="56" t="n"/>
      <c r="F44" s="56" t="n"/>
      <c r="G44" s="56" t="n"/>
      <c r="H44" s="57" t="inlineStr">
        <is>
          <t>Info. insuffisante</t>
        </is>
      </c>
      <c r="I44" s="43">
        <f>Paramètres!$B$9</f>
        <v/>
      </c>
      <c r="J44" s="51" t="inlineStr">
        <is>
          <t>Info. insuffisante</t>
        </is>
      </c>
      <c r="K44" s="77" t="inlineStr">
        <is>
          <t>Organisation du chantier non décrite.</t>
        </is>
      </c>
    </row>
    <row r="45" ht="42" customHeight="1" s="36">
      <c r="A45" s="77" t="inlineStr">
        <is>
          <t>D3 — Construction et achèvement</t>
        </is>
      </c>
      <c r="B45" s="77" t="inlineStr">
        <is>
          <t>20 % / 8 % / 0 %</t>
        </is>
      </c>
      <c r="C45" s="76" t="inlineStr">
        <is>
          <t>D3.3</t>
        </is>
      </c>
      <c r="D45" s="76" t="inlineStr">
        <is>
          <t>Assurances et garanties mobilisables</t>
        </is>
      </c>
      <c r="E45" s="49" t="n">
        <v>0.35</v>
      </c>
      <c r="F45" s="77" t="inlineStr">
        <is>
          <t>Les assurances couvrent-elles les dommages et la perte d'exploitation, au profit des banques ?</t>
        </is>
      </c>
      <c r="G45" s="77" t="inlineStr">
        <is>
          <t>Polices d'assurance (tous risques chantier, perte d'exploitation anticipée), délégation aux prêteurs, avis du courtier.</t>
        </is>
      </c>
      <c r="H45" s="50" t="inlineStr">
        <is>
          <t>Très favorable</t>
        </is>
      </c>
      <c r="I45" s="43">
        <f>Paramètres!$B$5</f>
        <v/>
      </c>
      <c r="J45" s="51" t="inlineStr">
        <is>
          <t>Très favorable — Polices tous risques et pertes d'exploitation, prêteurs bénéficiaires</t>
        </is>
      </c>
      <c r="K45" s="77" t="inlineStr">
        <is>
          <t>Tous risques chantier et perte d'exploitation, banques bénéficiaires, franchises faibles.</t>
        </is>
      </c>
    </row>
    <row r="46" ht="42" customHeight="1" s="36">
      <c r="A46" s="52" t="n"/>
      <c r="B46" s="52" t="n"/>
      <c r="C46" s="52" t="n"/>
      <c r="D46" s="52" t="n"/>
      <c r="E46" s="52" t="n"/>
      <c r="F46" s="52" t="n"/>
      <c r="G46" s="52" t="n"/>
      <c r="H46" s="53" t="inlineStr">
        <is>
          <t>Favorable</t>
        </is>
      </c>
      <c r="I46" s="43">
        <f>Paramètres!$B$6</f>
        <v/>
      </c>
      <c r="J46" s="51" t="inlineStr">
        <is>
          <t>Favorable — Polices en place, quelques franchises ou plafonds élevés</t>
        </is>
      </c>
      <c r="K46" s="77" t="inlineStr">
        <is>
          <t>Polices en place ; franchise élevée sur le bris de machine.</t>
        </is>
      </c>
    </row>
    <row r="47" ht="42" customHeight="1" s="36">
      <c r="A47" s="52" t="n"/>
      <c r="B47" s="52" t="n"/>
      <c r="C47" s="52" t="n"/>
      <c r="D47" s="52" t="n"/>
      <c r="E47" s="52" t="n"/>
      <c r="F47" s="52" t="n"/>
      <c r="G47" s="52" t="n"/>
      <c r="H47" s="54" t="inlineStr">
        <is>
          <t>Vigilance</t>
        </is>
      </c>
      <c r="I47" s="43">
        <f>Paramètres!$B$7</f>
        <v/>
      </c>
      <c r="J47" s="51" t="inlineStr">
        <is>
          <t>Vigilance — Couverture partielle ou délégation aux prêteurs non finalisée</t>
        </is>
      </c>
      <c r="K47" s="77" t="inlineStr">
        <is>
          <t>Perte d'exploitation non couverte, ou délégation aux banques pas encore signée.</t>
        </is>
      </c>
    </row>
    <row r="48" ht="42" customHeight="1" s="36">
      <c r="A48" s="52" t="n"/>
      <c r="B48" s="52" t="n"/>
      <c r="C48" s="52" t="n"/>
      <c r="D48" s="52" t="n"/>
      <c r="E48" s="52" t="n"/>
      <c r="F48" s="52" t="n"/>
      <c r="G48" s="52" t="n"/>
      <c r="H48" s="55" t="inlineStr">
        <is>
          <t>Critique</t>
        </is>
      </c>
      <c r="I48" s="43">
        <f>Paramètres!$B$8</f>
        <v/>
      </c>
      <c r="J48" s="51" t="inlineStr">
        <is>
          <t>Critique — Assurances absentes ou insuffisantes</t>
        </is>
      </c>
      <c r="K48" s="77" t="inlineStr">
        <is>
          <t>Aucune assurance chantier.</t>
        </is>
      </c>
    </row>
    <row r="49" ht="42" customHeight="1" s="36">
      <c r="A49" s="56" t="n"/>
      <c r="B49" s="56" t="n"/>
      <c r="C49" s="56" t="n"/>
      <c r="D49" s="56" t="n"/>
      <c r="E49" s="56" t="n"/>
      <c r="F49" s="56" t="n"/>
      <c r="G49" s="56" t="n"/>
      <c r="H49" s="57" t="inlineStr">
        <is>
          <t>Info. insuffisante</t>
        </is>
      </c>
      <c r="I49" s="43">
        <f>Paramètres!$B$9</f>
        <v/>
      </c>
      <c r="J49" s="51" t="inlineStr">
        <is>
          <t>Info. insuffisante</t>
        </is>
      </c>
      <c r="K49" s="77" t="inlineStr">
        <is>
          <t>Programme d'assurance non communiqué.</t>
        </is>
      </c>
    </row>
    <row r="50" ht="42" customHeight="1" s="36">
      <c r="A50" s="77" t="inlineStr">
        <is>
          <t>D4 — Mécanisme des recettes</t>
        </is>
      </c>
      <c r="B50" s="77" t="inlineStr">
        <is>
          <t>5 % / 12 % / 15 %</t>
        </is>
      </c>
      <c r="C50" s="76" t="inlineStr">
        <is>
          <t>D4.1</t>
        </is>
      </c>
      <c r="D50" s="76" t="inlineStr">
        <is>
          <t>Structure contractuelle des recettes</t>
        </is>
      </c>
      <c r="E50" s="49" t="n">
        <v>0.45</v>
      </c>
      <c r="F50" s="77" t="inlineStr">
        <is>
          <t>Les recettes sont-elles garanties par un contrat qui couvre la durée de la dette ? (variante par secteur)</t>
        </is>
      </c>
      <c r="G50" s="77" t="inlineStr">
        <is>
          <t>Contrat de vente (PPA, offtake), concession, baux ; durée comparée à celle de la dette.</t>
        </is>
      </c>
      <c r="H50" s="50" t="inlineStr">
        <is>
          <t>Très favorable</t>
        </is>
      </c>
      <c r="I50" s="43">
        <f>Paramètres!$B$5</f>
        <v/>
      </c>
      <c r="J50" s="51" t="inlineStr">
        <is>
          <t>Très favorable — Contrat ferme couvrant toute la durée de la dette</t>
        </is>
      </c>
      <c r="K50" s="77" t="inlineStr">
        <is>
          <t>Contrat d'achat ferme de 25 ans pour une dette de 20 ans.</t>
        </is>
      </c>
    </row>
    <row r="51" ht="42" customHeight="1" s="36">
      <c r="A51" s="52" t="n"/>
      <c r="B51" s="52" t="n"/>
      <c r="C51" s="52" t="n"/>
      <c r="D51" s="52" t="n"/>
      <c r="E51" s="52" t="n"/>
      <c r="F51" s="52" t="n"/>
      <c r="G51" s="52" t="n"/>
      <c r="H51" s="53" t="inlineStr">
        <is>
          <t>Favorable</t>
        </is>
      </c>
      <c r="I51" s="43">
        <f>Paramètres!$B$6</f>
        <v/>
      </c>
      <c r="J51" s="51" t="inlineStr">
        <is>
          <t>Favorable — Contrat couvrant l'essentiel des recettes et de la durée</t>
        </is>
      </c>
      <c r="K51" s="77" t="inlineStr">
        <is>
          <t>Contrat couvrant 85 % des recettes sur 18 des 20 ans de dette.</t>
        </is>
      </c>
    </row>
    <row r="52" ht="42" customHeight="1" s="36">
      <c r="A52" s="52" t="n"/>
      <c r="B52" s="52" t="n"/>
      <c r="C52" s="52" t="n"/>
      <c r="D52" s="52" t="n"/>
      <c r="E52" s="52" t="n"/>
      <c r="F52" s="52" t="n"/>
      <c r="G52" s="52" t="n"/>
      <c r="H52" s="54" t="inlineStr">
        <is>
          <t>Vigilance</t>
        </is>
      </c>
      <c r="I52" s="43">
        <f>Paramètres!$B$7</f>
        <v/>
      </c>
      <c r="J52" s="51" t="inlineStr">
        <is>
          <t>Vigilance — Recettes en partie contractuelles, en partie exposées</t>
        </is>
      </c>
      <c r="K52" s="77" t="inlineStr">
        <is>
          <t>60 % des recettes sous contrat, le reste vendu au marché.</t>
        </is>
      </c>
    </row>
    <row r="53" ht="42" customHeight="1" s="36">
      <c r="A53" s="52" t="n"/>
      <c r="B53" s="52" t="n"/>
      <c r="C53" s="52" t="n"/>
      <c r="D53" s="52" t="n"/>
      <c r="E53" s="52" t="n"/>
      <c r="F53" s="52" t="n"/>
      <c r="G53" s="52" t="n"/>
      <c r="H53" s="55" t="inlineStr">
        <is>
          <t>Critique</t>
        </is>
      </c>
      <c r="I53" s="43">
        <f>Paramètres!$B$8</f>
        <v/>
      </c>
      <c r="J53" s="51" t="inlineStr">
        <is>
          <t>Critique — Recettes sans contrat ou contrat expirant tôt</t>
        </is>
      </c>
      <c r="K53" s="77" t="inlineStr">
        <is>
          <t>Pas de contrat, ou contrat de 5 ans pour une dette de 15 ans.</t>
        </is>
      </c>
    </row>
    <row r="54" ht="42" customHeight="1" s="36">
      <c r="A54" s="56" t="n"/>
      <c r="B54" s="56" t="n"/>
      <c r="C54" s="56" t="n"/>
      <c r="D54" s="56" t="n"/>
      <c r="E54" s="56" t="n"/>
      <c r="F54" s="56" t="n"/>
      <c r="G54" s="56" t="n"/>
      <c r="H54" s="57" t="inlineStr">
        <is>
          <t>Info. insuffisante</t>
        </is>
      </c>
      <c r="I54" s="43">
        <f>Paramètres!$B$9</f>
        <v/>
      </c>
      <c r="J54" s="51" t="inlineStr">
        <is>
          <t>Info. insuffisante</t>
        </is>
      </c>
      <c r="K54" s="77" t="inlineStr">
        <is>
          <t>Contrat de recettes non remis.</t>
        </is>
      </c>
    </row>
    <row r="55" ht="42" customHeight="1" s="36">
      <c r="A55" s="77" t="inlineStr">
        <is>
          <t>D4 — Mécanisme des recettes</t>
        </is>
      </c>
      <c r="B55" s="77" t="inlineStr">
        <is>
          <t>5 % / 12 % / 15 %</t>
        </is>
      </c>
      <c r="C55" s="76" t="inlineStr">
        <is>
          <t>D4.2</t>
        </is>
      </c>
      <c r="D55" s="76" t="inlineStr">
        <is>
          <t>Mécanisme de prix et indexation</t>
        </is>
      </c>
      <c r="E55" s="49" t="n">
        <v>0.3</v>
      </c>
      <c r="F55" s="77" t="inlineStr">
        <is>
          <t>Le prix de vente suit-il les coûts (inflation, énergie, salaires) ?</t>
        </is>
      </c>
      <c r="G55" s="77" t="inlineStr">
        <is>
          <t>Clause d'indexation du contrat, formule de révision, historique.</t>
        </is>
      </c>
      <c r="H55" s="50" t="inlineStr">
        <is>
          <t>Très favorable</t>
        </is>
      </c>
      <c r="I55" s="43">
        <f>Paramètres!$B$5</f>
        <v/>
      </c>
      <c r="J55" s="51" t="inlineStr">
        <is>
          <t>Très favorable — Prix fixé, indexé sur les coûts réels du projet</t>
        </is>
      </c>
      <c r="K55" s="77" t="inlineStr">
        <is>
          <t>Tarif indexé à 100 % sur un indice qui suit les coûts réels du projet.</t>
        </is>
      </c>
    </row>
    <row r="56" ht="42" customHeight="1" s="36">
      <c r="A56" s="52" t="n"/>
      <c r="B56" s="52" t="n"/>
      <c r="C56" s="52" t="n"/>
      <c r="D56" s="52" t="n"/>
      <c r="E56" s="52" t="n"/>
      <c r="F56" s="52" t="n"/>
      <c r="G56" s="52" t="n"/>
      <c r="H56" s="53" t="inlineStr">
        <is>
          <t>Favorable</t>
        </is>
      </c>
      <c r="I56" s="43">
        <f>Paramètres!$B$6</f>
        <v/>
      </c>
      <c r="J56" s="51" t="inlineStr">
        <is>
          <t>Favorable — Indexation partielle (≥ 70 %) ou décalée</t>
        </is>
      </c>
      <c r="K56" s="77" t="inlineStr">
        <is>
          <t>Indexation de 70 % à 90 % du tarif.</t>
        </is>
      </c>
    </row>
    <row r="57" ht="42" customHeight="1" s="36">
      <c r="A57" s="52" t="n"/>
      <c r="B57" s="52" t="n"/>
      <c r="C57" s="52" t="n"/>
      <c r="D57" s="52" t="n"/>
      <c r="E57" s="52" t="n"/>
      <c r="F57" s="52" t="n"/>
      <c r="G57" s="52" t="n"/>
      <c r="H57" s="54" t="inlineStr">
        <is>
          <t>Vigilance</t>
        </is>
      </c>
      <c r="I57" s="43">
        <f>Paramètres!$B$7</f>
        <v/>
      </c>
      <c r="J57" s="51" t="inlineStr">
        <is>
          <t>Vigilance — Indexation faible ou plafonnée, coûts en partie non répercutés</t>
        </is>
      </c>
      <c r="K57" s="77" t="inlineStr">
        <is>
          <t>Indexation plafonnée à 2 % par an alors que les coûts suivent l'inflation.</t>
        </is>
      </c>
    </row>
    <row r="58" ht="42" customHeight="1" s="36">
      <c r="A58" s="52" t="n"/>
      <c r="B58" s="52" t="n"/>
      <c r="C58" s="52" t="n"/>
      <c r="D58" s="52" t="n"/>
      <c r="E58" s="52" t="n"/>
      <c r="F58" s="52" t="n"/>
      <c r="G58" s="52" t="n"/>
      <c r="H58" s="55" t="inlineStr">
        <is>
          <t>Critique</t>
        </is>
      </c>
      <c r="I58" s="43">
        <f>Paramètres!$B$8</f>
        <v/>
      </c>
      <c r="J58" s="51" t="inlineStr">
        <is>
          <t>Critique — Prix libre ou baisse de prix probable</t>
        </is>
      </c>
      <c r="K58" s="77" t="inlineStr">
        <is>
          <t>Prix fixé chaque année par le marché, en baisse probable.</t>
        </is>
      </c>
    </row>
    <row r="59" ht="42" customHeight="1" s="36">
      <c r="A59" s="56" t="n"/>
      <c r="B59" s="56" t="n"/>
      <c r="C59" s="56" t="n"/>
      <c r="D59" s="56" t="n"/>
      <c r="E59" s="56" t="n"/>
      <c r="F59" s="56" t="n"/>
      <c r="G59" s="56" t="n"/>
      <c r="H59" s="57" t="inlineStr">
        <is>
          <t>Info. insuffisante</t>
        </is>
      </c>
      <c r="I59" s="43">
        <f>Paramètres!$B$9</f>
        <v/>
      </c>
      <c r="J59" s="51" t="inlineStr">
        <is>
          <t>Info. insuffisante</t>
        </is>
      </c>
      <c r="K59" s="77" t="inlineStr">
        <is>
          <t>Clause de prix non communiquée.</t>
        </is>
      </c>
    </row>
    <row r="60" ht="42" customHeight="1" s="36">
      <c r="A60" s="77" t="inlineStr">
        <is>
          <t>D4 — Mécanisme des recettes</t>
        </is>
      </c>
      <c r="B60" s="77" t="inlineStr">
        <is>
          <t>5 % / 12 % / 15 %</t>
        </is>
      </c>
      <c r="C60" s="76" t="inlineStr">
        <is>
          <t>D4.3</t>
        </is>
      </c>
      <c r="D60" s="76" t="inlineStr">
        <is>
          <t>Marché et concurrence</t>
        </is>
      </c>
      <c r="E60" s="49" t="n">
        <v>0.25</v>
      </c>
      <c r="F60" s="77" t="inlineStr">
        <is>
          <t>La demande est-elle solide face à la concurrence ? (variante par secteur)</t>
        </is>
      </c>
      <c r="G60" s="77" t="inlineStr">
        <is>
          <t>Étude de marché indépendante, données de la concurrence, historique de prix.</t>
        </is>
      </c>
      <c r="H60" s="50" t="inlineStr">
        <is>
          <t>Très favorable</t>
        </is>
      </c>
      <c r="I60" s="43">
        <f>Paramètres!$B$5</f>
        <v/>
      </c>
      <c r="J60" s="51" t="inlineStr">
        <is>
          <t>Très favorable — Demande structurelle, aucune concurrence crédible</t>
        </is>
      </c>
      <c r="K60" s="77" t="inlineStr">
        <is>
          <t>Seul port en eau profonde de la région, trafic en hausse de 5 % par an.</t>
        </is>
      </c>
    </row>
    <row r="61" ht="42" customHeight="1" s="36">
      <c r="A61" s="52" t="n"/>
      <c r="B61" s="52" t="n"/>
      <c r="C61" s="52" t="n"/>
      <c r="D61" s="52" t="n"/>
      <c r="E61" s="52" t="n"/>
      <c r="F61" s="52" t="n"/>
      <c r="G61" s="52" t="n"/>
      <c r="H61" s="53" t="inlineStr">
        <is>
          <t>Favorable</t>
        </is>
      </c>
      <c r="I61" s="43">
        <f>Paramètres!$B$6</f>
        <v/>
      </c>
      <c r="J61" s="51" t="inlineStr">
        <is>
          <t>Favorable — Demande solide, concurrence limitée</t>
        </is>
      </c>
      <c r="K61" s="77" t="inlineStr">
        <is>
          <t>Demande solide ; un concurrent de taille plus réduite.</t>
        </is>
      </c>
    </row>
    <row r="62" ht="42" customHeight="1" s="36">
      <c r="A62" s="52" t="n"/>
      <c r="B62" s="52" t="n"/>
      <c r="C62" s="52" t="n"/>
      <c r="D62" s="52" t="n"/>
      <c r="E62" s="52" t="n"/>
      <c r="F62" s="52" t="n"/>
      <c r="G62" s="52" t="n"/>
      <c r="H62" s="54" t="inlineStr">
        <is>
          <t>Vigilance</t>
        </is>
      </c>
      <c r="I62" s="43">
        <f>Paramètres!$B$7</f>
        <v/>
      </c>
      <c r="J62" s="51" t="inlineStr">
        <is>
          <t>Vigilance — Concurrence active ou demande sensible à la conjoncture</t>
        </is>
      </c>
      <c r="K62" s="77" t="inlineStr">
        <is>
          <t>Deux nouveaux concurrents annoncés dans les 3 ans.</t>
        </is>
      </c>
    </row>
    <row r="63" ht="42" customHeight="1" s="36">
      <c r="A63" s="52" t="n"/>
      <c r="B63" s="52" t="n"/>
      <c r="C63" s="52" t="n"/>
      <c r="D63" s="52" t="n"/>
      <c r="E63" s="52" t="n"/>
      <c r="F63" s="52" t="n"/>
      <c r="G63" s="52" t="n"/>
      <c r="H63" s="55" t="inlineStr">
        <is>
          <t>Critique</t>
        </is>
      </c>
      <c r="I63" s="43">
        <f>Paramètres!$B$8</f>
        <v/>
      </c>
      <c r="J63" s="51" t="inlineStr">
        <is>
          <t>Critique — Surcapacité ou demande en déclin</t>
        </is>
      </c>
      <c r="K63" s="77" t="inlineStr">
        <is>
          <t>Surcapacité : le marché est déjà saturé, les prix baissent.</t>
        </is>
      </c>
    </row>
    <row r="64" ht="42" customHeight="1" s="36">
      <c r="A64" s="56" t="n"/>
      <c r="B64" s="56" t="n"/>
      <c r="C64" s="56" t="n"/>
      <c r="D64" s="56" t="n"/>
      <c r="E64" s="56" t="n"/>
      <c r="F64" s="56" t="n"/>
      <c r="G64" s="56" t="n"/>
      <c r="H64" s="57" t="inlineStr">
        <is>
          <t>Info. insuffisante</t>
        </is>
      </c>
      <c r="I64" s="43">
        <f>Paramètres!$B$9</f>
        <v/>
      </c>
      <c r="J64" s="51" t="inlineStr">
        <is>
          <t>Info. insuffisante</t>
        </is>
      </c>
      <c r="K64" s="77" t="inlineStr">
        <is>
          <t>Pas d'étude de marché.</t>
        </is>
      </c>
    </row>
    <row r="65" ht="42" customHeight="1" s="36">
      <c r="A65" s="77" t="inlineStr">
        <is>
          <t>D5 — Exploitation et maintenance</t>
        </is>
      </c>
      <c r="B65" s="77" t="inlineStr">
        <is>
          <t>5 % / 12 % / 15 %</t>
        </is>
      </c>
      <c r="C65" s="76" t="inlineStr">
        <is>
          <t>D5.1</t>
        </is>
      </c>
      <c r="D65" s="76" t="inlineStr">
        <is>
          <t>Opérateur et contrat O&amp;M</t>
        </is>
      </c>
      <c r="E65" s="49" t="n">
        <v>0.35</v>
      </c>
      <c r="F65" s="77" t="inlineStr">
        <is>
          <t>Qui exploite et entretient l'installation, avec quel contrat ?</t>
        </is>
      </c>
      <c r="G65" s="77" t="inlineStr">
        <is>
          <t>Contrat d'exploitation et maintenance (O&amp;M), références de l'opérateur, pénalités de performance.</t>
        </is>
      </c>
      <c r="H65" s="50" t="inlineStr">
        <is>
          <t>Très favorable</t>
        </is>
      </c>
      <c r="I65" s="43">
        <f>Paramètres!$B$5</f>
        <v/>
      </c>
      <c r="J65" s="51" t="inlineStr">
        <is>
          <t>Très favorable — Opérateur de premier rang, contrat O&amp;M long, pénalités adossées</t>
        </is>
      </c>
      <c r="K65" s="77" t="inlineStr">
        <is>
          <t>Opérateur reconnu, contrat O&amp;M de 15 ans avec pénalités adossées au contrat de vente.</t>
        </is>
      </c>
    </row>
    <row r="66" ht="42" customHeight="1" s="36">
      <c r="A66" s="52" t="n"/>
      <c r="B66" s="52" t="n"/>
      <c r="C66" s="52" t="n"/>
      <c r="D66" s="52" t="n"/>
      <c r="E66" s="52" t="n"/>
      <c r="F66" s="52" t="n"/>
      <c r="G66" s="52" t="n"/>
      <c r="H66" s="53" t="inlineStr">
        <is>
          <t>Favorable</t>
        </is>
      </c>
      <c r="I66" s="43">
        <f>Paramètres!$B$6</f>
        <v/>
      </c>
      <c r="J66" s="51" t="inlineStr">
        <is>
          <t>Favorable — Opérateur expérimenté, contrat O&amp;M plus court que la dette</t>
        </is>
      </c>
      <c r="K66" s="77" t="inlineStr">
        <is>
          <t>Opérateur expérimenté ; contrat O&amp;M de 5 ans renouvelable pour une dette de 15 ans.</t>
        </is>
      </c>
    </row>
    <row r="67" ht="42" customHeight="1" s="36">
      <c r="A67" s="52" t="n"/>
      <c r="B67" s="52" t="n"/>
      <c r="C67" s="52" t="n"/>
      <c r="D67" s="52" t="n"/>
      <c r="E67" s="52" t="n"/>
      <c r="F67" s="52" t="n"/>
      <c r="G67" s="52" t="n"/>
      <c r="H67" s="54" t="inlineStr">
        <is>
          <t>Vigilance</t>
        </is>
      </c>
      <c r="I67" s="43">
        <f>Paramètres!$B$7</f>
        <v/>
      </c>
      <c r="J67" s="51" t="inlineStr">
        <is>
          <t>Vigilance — Opérateur peu expérimenté ou exploitation en régie par la SPV</t>
        </is>
      </c>
      <c r="K67" s="77" t="inlineStr">
        <is>
          <t>La SPV exploite elle-même avec une équipe récemment recrutée.</t>
        </is>
      </c>
    </row>
    <row r="68" ht="42" customHeight="1" s="36">
      <c r="A68" s="52" t="n"/>
      <c r="B68" s="52" t="n"/>
      <c r="C68" s="52" t="n"/>
      <c r="D68" s="52" t="n"/>
      <c r="E68" s="52" t="n"/>
      <c r="F68" s="52" t="n"/>
      <c r="G68" s="52" t="n"/>
      <c r="H68" s="55" t="inlineStr">
        <is>
          <t>Critique</t>
        </is>
      </c>
      <c r="I68" s="43">
        <f>Paramètres!$B$8</f>
        <v/>
      </c>
      <c r="J68" s="51" t="inlineStr">
        <is>
          <t>Critique — Aucun opérateur qualifié identifié</t>
        </is>
      </c>
      <c r="K68" s="77" t="inlineStr">
        <is>
          <t>Aucun opérateur identifié à 6 mois de la mise en service.</t>
        </is>
      </c>
    </row>
    <row r="69" ht="42" customHeight="1" s="36">
      <c r="A69" s="56" t="n"/>
      <c r="B69" s="56" t="n"/>
      <c r="C69" s="56" t="n"/>
      <c r="D69" s="56" t="n"/>
      <c r="E69" s="56" t="n"/>
      <c r="F69" s="56" t="n"/>
      <c r="G69" s="56" t="n"/>
      <c r="H69" s="57" t="inlineStr">
        <is>
          <t>Info. insuffisante</t>
        </is>
      </c>
      <c r="I69" s="43">
        <f>Paramètres!$B$9</f>
        <v/>
      </c>
      <c r="J69" s="51" t="inlineStr">
        <is>
          <t>Info. insuffisante</t>
        </is>
      </c>
      <c r="K69" s="77" t="inlineStr">
        <is>
          <t>Contrat O&amp;M non communiqué.</t>
        </is>
      </c>
    </row>
    <row r="70" ht="42" customHeight="1" s="36">
      <c r="A70" s="77" t="inlineStr">
        <is>
          <t>D5 — Exploitation et maintenance</t>
        </is>
      </c>
      <c r="B70" s="77" t="inlineStr">
        <is>
          <t>5 % / 12 % / 15 %</t>
        </is>
      </c>
      <c r="C70" s="76" t="inlineStr">
        <is>
          <t>D5.2</t>
        </is>
      </c>
      <c r="D70" s="76" t="inlineStr">
        <is>
          <t>Performance technique et disponibilité</t>
        </is>
      </c>
      <c r="E70" s="49" t="n">
        <v>0.4</v>
      </c>
      <c r="F70" s="77" t="inlineStr">
        <is>
          <t>L'installation produit-elle ce qui est promis ? (variante par secteur)</t>
        </is>
      </c>
      <c r="G70" s="77" t="inlineStr">
        <is>
          <t>Rapports d'exploitation, taux de disponibilité, comparaison au contrat.</t>
        </is>
      </c>
      <c r="H70" s="50" t="inlineStr">
        <is>
          <t>Très favorable</t>
        </is>
      </c>
      <c r="I70" s="43">
        <f>Paramètres!$B$5</f>
        <v/>
      </c>
      <c r="J70" s="51" t="inlineStr">
        <is>
          <t>Très favorable — Performance garantie et constatée au-dessus du contrat</t>
        </is>
      </c>
      <c r="K70" s="77" t="inlineStr">
        <is>
          <t>Disponibilité constatée 99 % pour 97 % garantis.</t>
        </is>
      </c>
    </row>
    <row r="71" ht="42" customHeight="1" s="36">
      <c r="A71" s="52" t="n"/>
      <c r="B71" s="52" t="n"/>
      <c r="C71" s="52" t="n"/>
      <c r="D71" s="52" t="n"/>
      <c r="E71" s="52" t="n"/>
      <c r="F71" s="52" t="n"/>
      <c r="G71" s="52" t="n"/>
      <c r="H71" s="53" t="inlineStr">
        <is>
          <t>Favorable</t>
        </is>
      </c>
      <c r="I71" s="43">
        <f>Paramètres!$B$6</f>
        <v/>
      </c>
      <c r="J71" s="51" t="inlineStr">
        <is>
          <t>Favorable — Performance conforme au contrat</t>
        </is>
      </c>
      <c r="K71" s="77" t="inlineStr">
        <is>
          <t>Disponibilité conforme au contrat (97 %).</t>
        </is>
      </c>
    </row>
    <row r="72" ht="42" customHeight="1" s="36">
      <c r="A72" s="52" t="n"/>
      <c r="B72" s="52" t="n"/>
      <c r="C72" s="52" t="n"/>
      <c r="D72" s="52" t="n"/>
      <c r="E72" s="52" t="n"/>
      <c r="F72" s="52" t="n"/>
      <c r="G72" s="52" t="n"/>
      <c r="H72" s="54" t="inlineStr">
        <is>
          <t>Vigilance</t>
        </is>
      </c>
      <c r="I72" s="43">
        <f>Paramètres!$B$7</f>
        <v/>
      </c>
      <c r="J72" s="51" t="inlineStr">
        <is>
          <t>Vigilance — Performance légèrement inférieure, pénalités ponctuelles</t>
        </is>
      </c>
      <c r="K72" s="77" t="inlineStr">
        <is>
          <t>Disponibilité 94 % : quelques pénalités payées à l'acheteur.</t>
        </is>
      </c>
    </row>
    <row r="73" ht="42" customHeight="1" s="36">
      <c r="A73" s="52" t="n"/>
      <c r="B73" s="52" t="n"/>
      <c r="C73" s="52" t="n"/>
      <c r="D73" s="52" t="n"/>
      <c r="E73" s="52" t="n"/>
      <c r="F73" s="52" t="n"/>
      <c r="G73" s="52" t="n"/>
      <c r="H73" s="55" t="inlineStr">
        <is>
          <t>Critique</t>
        </is>
      </c>
      <c r="I73" s="43">
        <f>Paramètres!$B$8</f>
        <v/>
      </c>
      <c r="J73" s="51" t="inlineStr">
        <is>
          <t>Critique — Performance durablement inférieure au contrat</t>
        </is>
      </c>
      <c r="K73" s="77" t="inlineStr">
        <is>
          <t>Disponibilité 85 % depuis un an, pénalités lourdes.</t>
        </is>
      </c>
    </row>
    <row r="74" ht="42" customHeight="1" s="36">
      <c r="A74" s="56" t="n"/>
      <c r="B74" s="56" t="n"/>
      <c r="C74" s="56" t="n"/>
      <c r="D74" s="56" t="n"/>
      <c r="E74" s="56" t="n"/>
      <c r="F74" s="56" t="n"/>
      <c r="G74" s="56" t="n"/>
      <c r="H74" s="57" t="inlineStr">
        <is>
          <t>Info. insuffisante</t>
        </is>
      </c>
      <c r="I74" s="43">
        <f>Paramètres!$B$9</f>
        <v/>
      </c>
      <c r="J74" s="51" t="inlineStr">
        <is>
          <t>Info. insuffisante</t>
        </is>
      </c>
      <c r="K74" s="77" t="inlineStr">
        <is>
          <t>Pas d'historique ni de garantie de performance en construction.</t>
        </is>
      </c>
    </row>
    <row r="75" ht="42" customHeight="1" s="36">
      <c r="A75" s="77" t="inlineStr">
        <is>
          <t>D5 — Exploitation et maintenance</t>
        </is>
      </c>
      <c r="B75" s="77" t="inlineStr">
        <is>
          <t>5 % / 12 % / 15 %</t>
        </is>
      </c>
      <c r="C75" s="76" t="inlineStr">
        <is>
          <t>D5.3</t>
        </is>
      </c>
      <c r="D75" s="76" t="inlineStr">
        <is>
          <t>Coûts, gros entretien et dépendances</t>
        </is>
      </c>
      <c r="E75" s="49" t="n">
        <v>0.25</v>
      </c>
      <c r="F75" s="77" t="inlineStr">
        <is>
          <t>Les coûts d'exploitation et le gros entretien sont-ils maîtrisés ?</t>
        </is>
      </c>
      <c r="G75" s="77" t="inlineStr">
        <is>
          <t>Budget d'exploitation, plan de gros entretien, compte de réserve de maintenance (MRA).</t>
        </is>
      </c>
      <c r="H75" s="50" t="inlineStr">
        <is>
          <t>Très favorable</t>
        </is>
      </c>
      <c r="I75" s="43">
        <f>Paramètres!$B$5</f>
        <v/>
      </c>
      <c r="J75" s="51" t="inlineStr">
        <is>
          <t>Très favorable — Coûts contractualisés, réserve de gros entretien dotée</t>
        </is>
      </c>
      <c r="K75" s="77" t="inlineStr">
        <is>
          <t>Coûts fixés par contrat, réserve de maintenance alimentée chaque semestre.</t>
        </is>
      </c>
    </row>
    <row r="76" ht="42" customHeight="1" s="36">
      <c r="A76" s="52" t="n"/>
      <c r="B76" s="52" t="n"/>
      <c r="C76" s="52" t="n"/>
      <c r="D76" s="52" t="n"/>
      <c r="E76" s="52" t="n"/>
      <c r="F76" s="52" t="n"/>
      <c r="G76" s="52" t="n"/>
      <c r="H76" s="53" t="inlineStr">
        <is>
          <t>Favorable</t>
        </is>
      </c>
      <c r="I76" s="43">
        <f>Paramètres!$B$6</f>
        <v/>
      </c>
      <c r="J76" s="51" t="inlineStr">
        <is>
          <t>Favorable — Coûts maîtrisés, réserve de gros entretien prévue</t>
        </is>
      </c>
      <c r="K76" s="77" t="inlineStr">
        <is>
          <t>Coûts maîtrisés, réserve prévue mais pas encore alimentée.</t>
        </is>
      </c>
    </row>
    <row r="77" ht="42" customHeight="1" s="36">
      <c r="A77" s="52" t="n"/>
      <c r="B77" s="52" t="n"/>
      <c r="C77" s="52" t="n"/>
      <c r="D77" s="52" t="n"/>
      <c r="E77" s="52" t="n"/>
      <c r="F77" s="52" t="n"/>
      <c r="G77" s="52" t="n"/>
      <c r="H77" s="54" t="inlineStr">
        <is>
          <t>Vigilance</t>
        </is>
      </c>
      <c r="I77" s="43">
        <f>Paramètres!$B$7</f>
        <v/>
      </c>
      <c r="J77" s="51" t="inlineStr">
        <is>
          <t>Vigilance — Coûts exposés à l'inflation ou intrants critiques non couverts</t>
        </is>
      </c>
      <c r="K77" s="77" t="inlineStr">
        <is>
          <t>Coût de l'énergie ou d'une pièce importée non couvert.</t>
        </is>
      </c>
    </row>
    <row r="78" ht="42" customHeight="1" s="36">
      <c r="A78" s="52" t="n"/>
      <c r="B78" s="52" t="n"/>
      <c r="C78" s="52" t="n"/>
      <c r="D78" s="52" t="n"/>
      <c r="E78" s="52" t="n"/>
      <c r="F78" s="52" t="n"/>
      <c r="G78" s="52" t="n"/>
      <c r="H78" s="55" t="inlineStr">
        <is>
          <t>Critique</t>
        </is>
      </c>
      <c r="I78" s="43">
        <f>Paramètres!$B$8</f>
        <v/>
      </c>
      <c r="J78" s="51" t="inlineStr">
        <is>
          <t>Critique — Coûts non maîtrisés ou dépendance non couverte</t>
        </is>
      </c>
      <c r="K78" s="77" t="inlineStr">
        <is>
          <t>Dépassements récurrents de 30 % du budget.</t>
        </is>
      </c>
    </row>
    <row r="79" ht="42" customHeight="1" s="36">
      <c r="A79" s="56" t="n"/>
      <c r="B79" s="56" t="n"/>
      <c r="C79" s="56" t="n"/>
      <c r="D79" s="56" t="n"/>
      <c r="E79" s="56" t="n"/>
      <c r="F79" s="56" t="n"/>
      <c r="G79" s="56" t="n"/>
      <c r="H79" s="57" t="inlineStr">
        <is>
          <t>Info. insuffisante</t>
        </is>
      </c>
      <c r="I79" s="43">
        <f>Paramètres!$B$9</f>
        <v/>
      </c>
      <c r="J79" s="51" t="inlineStr">
        <is>
          <t>Info. insuffisante</t>
        </is>
      </c>
      <c r="K79" s="77" t="inlineStr">
        <is>
          <t>Budget d'exploitation absent (exemple : cas SAN, plan de gros entretien non remis).</t>
        </is>
      </c>
    </row>
    <row r="80" ht="42" customHeight="1" s="36">
      <c r="A80" s="77" t="inlineStr">
        <is>
          <t>D6 — Contreparties et consortium</t>
        </is>
      </c>
      <c r="B80" s="77" t="inlineStr">
        <is>
          <t>10 % / 12 % / 15 %</t>
        </is>
      </c>
      <c r="C80" s="76" t="inlineStr">
        <is>
          <t>D6.1</t>
        </is>
      </c>
      <c r="D80" s="76" t="inlineStr">
        <is>
          <t>Acheteur ou payeur principal</t>
        </is>
      </c>
      <c r="E80" s="49" t="n">
        <v>0.5</v>
      </c>
      <c r="F80" s="77" t="inlineStr">
        <is>
          <t>Celui qui paie le projet (acheteur, autorité) est-il solide ?</t>
        </is>
      </c>
      <c r="G80" s="77" t="inlineStr">
        <is>
          <t>Notation de l'acheteur, historique de paiement, garanties de l'État.</t>
        </is>
      </c>
      <c r="H80" s="50" t="inlineStr">
        <is>
          <t>Très favorable</t>
        </is>
      </c>
      <c r="I80" s="43">
        <f>Paramètres!$B$5</f>
        <v/>
      </c>
      <c r="J80" s="51" t="inlineStr">
        <is>
          <t>Très favorable — Acheteur noté ≥ BBB, paiements réguliers</t>
        </is>
      </c>
      <c r="K80" s="77" t="inlineStr">
        <is>
          <t>Office public noté BBB, paiements à 30 jours depuis 5 ans.</t>
        </is>
      </c>
    </row>
    <row r="81" ht="42" customHeight="1" s="36">
      <c r="A81" s="52" t="n"/>
      <c r="B81" s="52" t="n"/>
      <c r="C81" s="52" t="n"/>
      <c r="D81" s="52" t="n"/>
      <c r="E81" s="52" t="n"/>
      <c r="F81" s="52" t="n"/>
      <c r="G81" s="52" t="n"/>
      <c r="H81" s="53" t="inlineStr">
        <is>
          <t>Favorable</t>
        </is>
      </c>
      <c r="I81" s="43">
        <f>Paramètres!$B$6</f>
        <v/>
      </c>
      <c r="J81" s="51" t="inlineStr">
        <is>
          <t>Favorable — Acheteur noté BBB−, retards de paiement limités</t>
        </is>
      </c>
      <c r="K81" s="77" t="inlineStr">
        <is>
          <t>Acheteur noté BBB−, retards de 60 jours occasionnels.</t>
        </is>
      </c>
    </row>
    <row r="82" ht="42" customHeight="1" s="36">
      <c r="A82" s="52" t="n"/>
      <c r="B82" s="52" t="n"/>
      <c r="C82" s="52" t="n"/>
      <c r="D82" s="52" t="n"/>
      <c r="E82" s="52" t="n"/>
      <c r="F82" s="52" t="n"/>
      <c r="G82" s="52" t="n"/>
      <c r="H82" s="54" t="inlineStr">
        <is>
          <t>Vigilance</t>
        </is>
      </c>
      <c r="I82" s="43">
        <f>Paramètres!$B$7</f>
        <v/>
      </c>
      <c r="J82" s="51" t="inlineStr">
        <is>
          <t>Vigilance — Acheteur non noté ou retards de paiement répétés</t>
        </is>
      </c>
      <c r="K82" s="77" t="inlineStr">
        <is>
          <t>Industriel non noté, ou retards de paiement de 120 jours répétés.</t>
        </is>
      </c>
    </row>
    <row r="83" ht="42" customHeight="1" s="36">
      <c r="A83" s="52" t="n"/>
      <c r="B83" s="52" t="n"/>
      <c r="C83" s="52" t="n"/>
      <c r="D83" s="52" t="n"/>
      <c r="E83" s="52" t="n"/>
      <c r="F83" s="52" t="n"/>
      <c r="G83" s="52" t="n"/>
      <c r="H83" s="55" t="inlineStr">
        <is>
          <t>Critique</t>
        </is>
      </c>
      <c r="I83" s="43">
        <f>Paramètres!$B$8</f>
        <v/>
      </c>
      <c r="J83" s="51" t="inlineStr">
        <is>
          <t>Critique — Acheteur fragile ou en défaut de paiement</t>
        </is>
      </c>
      <c r="K83" s="77" t="inlineStr">
        <is>
          <t>Acheteur en défaut de paiement ou sous sanctions (cas MIN).</t>
        </is>
      </c>
    </row>
    <row r="84" ht="42" customHeight="1" s="36">
      <c r="A84" s="56" t="n"/>
      <c r="B84" s="56" t="n"/>
      <c r="C84" s="56" t="n"/>
      <c r="D84" s="56" t="n"/>
      <c r="E84" s="56" t="n"/>
      <c r="F84" s="56" t="n"/>
      <c r="G84" s="56" t="n"/>
      <c r="H84" s="57" t="inlineStr">
        <is>
          <t>Info. insuffisante</t>
        </is>
      </c>
      <c r="I84" s="43">
        <f>Paramètres!$B$9</f>
        <v/>
      </c>
      <c r="J84" s="51" t="inlineStr">
        <is>
          <t>Info. insuffisante</t>
        </is>
      </c>
      <c r="K84" s="77" t="inlineStr">
        <is>
          <t>Pas d'information sur l'acheteur.</t>
        </is>
      </c>
    </row>
    <row r="85" ht="42" customHeight="1" s="36">
      <c r="A85" s="77" t="inlineStr">
        <is>
          <t>D6 — Contreparties et consortium</t>
        </is>
      </c>
      <c r="B85" s="77" t="inlineStr">
        <is>
          <t>10 % / 12 % / 15 %</t>
        </is>
      </c>
      <c r="C85" s="76" t="inlineStr">
        <is>
          <t>D6.2</t>
        </is>
      </c>
      <c r="D85" s="76" t="inlineStr">
        <is>
          <t>Fournisseurs critiques</t>
        </is>
      </c>
      <c r="E85" s="49" t="n">
        <v>0.2</v>
      </c>
      <c r="F85" s="77" t="inlineStr">
        <is>
          <t>Les fournisseurs indispensables (combustible, matière première, pièces) sont-ils remplaçables ?</t>
        </is>
      </c>
      <c r="G85" s="77" t="inlineStr">
        <is>
          <t>Contrats d'approvisionnement, nombre de fournisseurs alternatifs.</t>
        </is>
      </c>
      <c r="H85" s="50" t="inlineStr">
        <is>
          <t>Très favorable</t>
        </is>
      </c>
      <c r="I85" s="43">
        <f>Paramètres!$B$5</f>
        <v/>
      </c>
      <c r="J85" s="51" t="inlineStr">
        <is>
          <t>Très favorable — Fournisseurs multiples ou contrats long terme garantis</t>
        </is>
      </c>
      <c r="K85" s="77" t="inlineStr">
        <is>
          <t>Gaz fourni par contrat de 15 ans avec deux fournisseurs alternatifs.</t>
        </is>
      </c>
    </row>
    <row r="86" ht="42" customHeight="1" s="36">
      <c r="A86" s="52" t="n"/>
      <c r="B86" s="52" t="n"/>
      <c r="C86" s="52" t="n"/>
      <c r="D86" s="52" t="n"/>
      <c r="E86" s="52" t="n"/>
      <c r="F86" s="52" t="n"/>
      <c r="G86" s="52" t="n"/>
      <c r="H86" s="53" t="inlineStr">
        <is>
          <t>Favorable</t>
        </is>
      </c>
      <c r="I86" s="43">
        <f>Paramètres!$B$6</f>
        <v/>
      </c>
      <c r="J86" s="51" t="inlineStr">
        <is>
          <t>Favorable — Fournisseur principal solide, alternative possible</t>
        </is>
      </c>
      <c r="K86" s="77" t="inlineStr">
        <is>
          <t>Fournisseur principal solide ; un second possible en 3 mois.</t>
        </is>
      </c>
    </row>
    <row r="87" ht="42" customHeight="1" s="36">
      <c r="A87" s="52" t="n"/>
      <c r="B87" s="52" t="n"/>
      <c r="C87" s="52" t="n"/>
      <c r="D87" s="52" t="n"/>
      <c r="E87" s="52" t="n"/>
      <c r="F87" s="52" t="n"/>
      <c r="G87" s="52" t="n"/>
      <c r="H87" s="54" t="inlineStr">
        <is>
          <t>Vigilance</t>
        </is>
      </c>
      <c r="I87" s="43">
        <f>Paramètres!$B$7</f>
        <v/>
      </c>
      <c r="J87" s="51" t="inlineStr">
        <is>
          <t>Vigilance — Fournisseur unique, substitution longue ou coûteuse</t>
        </is>
      </c>
      <c r="K87" s="77" t="inlineStr">
        <is>
          <t>Fournisseur unique de membranes, remplacement en 12 mois.</t>
        </is>
      </c>
    </row>
    <row r="88" ht="42" customHeight="1" s="36">
      <c r="A88" s="52" t="n"/>
      <c r="B88" s="52" t="n"/>
      <c r="C88" s="52" t="n"/>
      <c r="D88" s="52" t="n"/>
      <c r="E88" s="52" t="n"/>
      <c r="F88" s="52" t="n"/>
      <c r="G88" s="52" t="n"/>
      <c r="H88" s="55" t="inlineStr">
        <is>
          <t>Critique</t>
        </is>
      </c>
      <c r="I88" s="43">
        <f>Paramètres!$B$8</f>
        <v/>
      </c>
      <c r="J88" s="51" t="inlineStr">
        <is>
          <t>Critique — Fournisseur critique fragile, aucune alternative</t>
        </is>
      </c>
      <c r="K88" s="77" t="inlineStr">
        <is>
          <t>Fournisseur unique en difficulté, sans alternative.</t>
        </is>
      </c>
    </row>
    <row r="89" ht="42" customHeight="1" s="36">
      <c r="A89" s="56" t="n"/>
      <c r="B89" s="56" t="n"/>
      <c r="C89" s="56" t="n"/>
      <c r="D89" s="56" t="n"/>
      <c r="E89" s="56" t="n"/>
      <c r="F89" s="56" t="n"/>
      <c r="G89" s="56" t="n"/>
      <c r="H89" s="57" t="inlineStr">
        <is>
          <t>Info. insuffisante</t>
        </is>
      </c>
      <c r="I89" s="43">
        <f>Paramètres!$B$9</f>
        <v/>
      </c>
      <c r="J89" s="51" t="inlineStr">
        <is>
          <t>Info. insuffisante</t>
        </is>
      </c>
      <c r="K89" s="77" t="inlineStr">
        <is>
          <t>Contrats d'approvisionnement non remis.</t>
        </is>
      </c>
    </row>
    <row r="90" ht="42" customHeight="1" s="36">
      <c r="A90" s="77" t="inlineStr">
        <is>
          <t>D6 — Contreparties et consortium</t>
        </is>
      </c>
      <c r="B90" s="77" t="inlineStr">
        <is>
          <t>10 % / 12 % / 15 %</t>
        </is>
      </c>
      <c r="C90" s="76" t="inlineStr">
        <is>
          <t>D6.3</t>
        </is>
      </c>
      <c r="D90" s="76" t="inlineStr">
        <is>
          <t>Prêteurs et consortium</t>
        </is>
      </c>
      <c r="E90" s="49" t="n">
        <v>0.3</v>
      </c>
      <c r="F90" s="77" t="inlineStr">
        <is>
          <t>Les banques du financement sont-elles solides et organisées entre elles ?</t>
        </is>
      </c>
      <c r="G90" s="77" t="inlineStr">
        <is>
          <t>Liste des prêteurs, convention intercréanciers (règles de vote, partage des sûretés).</t>
        </is>
      </c>
      <c r="H90" s="50" t="inlineStr">
        <is>
          <t>Très favorable</t>
        </is>
      </c>
      <c r="I90" s="43">
        <f>Paramètres!$B$5</f>
        <v/>
      </c>
      <c r="J90" s="51" t="inlineStr">
        <is>
          <t>Très favorable — Prêteurs de premier rang, convention intercréanciers signée</t>
        </is>
      </c>
      <c r="K90" s="77" t="inlineStr">
        <is>
          <t>Trois banques de premier rang, convention intercréanciers signée.</t>
        </is>
      </c>
    </row>
    <row r="91" ht="42" customHeight="1" s="36">
      <c r="A91" s="52" t="n"/>
      <c r="B91" s="52" t="n"/>
      <c r="C91" s="52" t="n"/>
      <c r="D91" s="52" t="n"/>
      <c r="E91" s="52" t="n"/>
      <c r="F91" s="52" t="n"/>
      <c r="G91" s="52" t="n"/>
      <c r="H91" s="53" t="inlineStr">
        <is>
          <t>Favorable</t>
        </is>
      </c>
      <c r="I91" s="43">
        <f>Paramètres!$B$6</f>
        <v/>
      </c>
      <c r="J91" s="51" t="inlineStr">
        <is>
          <t>Favorable — Consortium solide, convention en cours de finalisation</t>
        </is>
      </c>
      <c r="K91" s="77" t="inlineStr">
        <is>
          <t>Consortium solide, convention en cours de finalisation.</t>
        </is>
      </c>
    </row>
    <row r="92" ht="42" customHeight="1" s="36">
      <c r="A92" s="52" t="n"/>
      <c r="B92" s="52" t="n"/>
      <c r="C92" s="52" t="n"/>
      <c r="D92" s="52" t="n"/>
      <c r="E92" s="52" t="n"/>
      <c r="F92" s="52" t="n"/>
      <c r="G92" s="52" t="n"/>
      <c r="H92" s="54" t="inlineStr">
        <is>
          <t>Vigilance</t>
        </is>
      </c>
      <c r="I92" s="43">
        <f>Paramètres!$B$7</f>
        <v/>
      </c>
      <c r="J92" s="51" t="inlineStr">
        <is>
          <t>Vigilance — Prêteurs hétérogènes ou règles de vote à préciser</t>
        </is>
      </c>
      <c r="K92" s="77" t="inlineStr">
        <is>
          <t>Prêteurs hétérogènes (banques et fonds), règles de vote non arrêtées.</t>
        </is>
      </c>
    </row>
    <row r="93" ht="42" customHeight="1" s="36">
      <c r="A93" s="52" t="n"/>
      <c r="B93" s="52" t="n"/>
      <c r="C93" s="52" t="n"/>
      <c r="D93" s="52" t="n"/>
      <c r="E93" s="52" t="n"/>
      <c r="F93" s="52" t="n"/>
      <c r="G93" s="52" t="n"/>
      <c r="H93" s="55" t="inlineStr">
        <is>
          <t>Critique</t>
        </is>
      </c>
      <c r="I93" s="43">
        <f>Paramètres!$B$8</f>
        <v/>
      </c>
      <c r="J93" s="51" t="inlineStr">
        <is>
          <t>Critique — Conflit entre prêteurs ou absence de convention</t>
        </is>
      </c>
      <c r="K93" s="77" t="inlineStr">
        <is>
          <t>Désaccord entre prêteurs sur le partage des sûretés.</t>
        </is>
      </c>
    </row>
    <row r="94" ht="42" customHeight="1" s="36">
      <c r="A94" s="56" t="n"/>
      <c r="B94" s="56" t="n"/>
      <c r="C94" s="56" t="n"/>
      <c r="D94" s="56" t="n"/>
      <c r="E94" s="56" t="n"/>
      <c r="F94" s="56" t="n"/>
      <c r="G94" s="56" t="n"/>
      <c r="H94" s="57" t="inlineStr">
        <is>
          <t>Info. insuffisante</t>
        </is>
      </c>
      <c r="I94" s="43">
        <f>Paramètres!$B$9</f>
        <v/>
      </c>
      <c r="J94" s="51" t="inlineStr">
        <is>
          <t>Info. insuffisante</t>
        </is>
      </c>
      <c r="K94" s="77" t="inlineStr">
        <is>
          <t>Structure du pool non communiquée. Dossier bilatéral : choisir Très favorable si la banque est seule prêteuse.</t>
        </is>
      </c>
    </row>
    <row r="95" ht="42" customHeight="1" s="36">
      <c r="A95" s="77" t="inlineStr">
        <is>
          <t>D8 — Juridique, sûretés, continuité</t>
        </is>
      </c>
      <c r="B95" s="77" t="inlineStr">
        <is>
          <t>10 % / 8 % / 10 %</t>
        </is>
      </c>
      <c r="C95" s="76" t="inlineStr">
        <is>
          <t>D8.1</t>
        </is>
      </c>
      <c r="D95" s="76" t="inlineStr">
        <is>
          <t>Documentation contractuelle et droits directs</t>
        </is>
      </c>
      <c r="E95" s="49" t="n">
        <v>0.35</v>
      </c>
      <c r="F95" s="77" t="inlineStr">
        <is>
          <t>Les contrats sont-ils signés et les banques peuvent-elles intervenir directement auprès des contreparties ?</t>
        </is>
      </c>
      <c r="G95" s="77" t="inlineStr">
        <is>
          <t>Liste des contrats signés, accords directs (direct agreements) permettant aux banques de se substituer à la SPV.</t>
        </is>
      </c>
      <c r="H95" s="50" t="inlineStr">
        <is>
          <t>Très favorable</t>
        </is>
      </c>
      <c r="I95" s="43">
        <f>Paramètres!$B$5</f>
        <v/>
      </c>
      <c r="J95" s="51" t="inlineStr">
        <is>
          <t>Très favorable — Contrats signés, accords directs avec toutes les contreparties clés</t>
        </is>
      </c>
      <c r="K95" s="77" t="inlineStr">
        <is>
          <t>Tous les contrats signés, accords directs avec l'acheteur, le constructeur et l'opérateur.</t>
        </is>
      </c>
    </row>
    <row r="96" ht="42" customHeight="1" s="36">
      <c r="A96" s="52" t="n"/>
      <c r="B96" s="52" t="n"/>
      <c r="C96" s="52" t="n"/>
      <c r="D96" s="52" t="n"/>
      <c r="E96" s="52" t="n"/>
      <c r="F96" s="52" t="n"/>
      <c r="G96" s="52" t="n"/>
      <c r="H96" s="53" t="inlineStr">
        <is>
          <t>Favorable</t>
        </is>
      </c>
      <c r="I96" s="43">
        <f>Paramètres!$B$6</f>
        <v/>
      </c>
      <c r="J96" s="51" t="inlineStr">
        <is>
          <t>Favorable — Contrats signés, accords directs avec les principales contreparties</t>
        </is>
      </c>
      <c r="K96" s="77" t="inlineStr">
        <is>
          <t>Accords directs avec l'acheteur et le constructeur seulement.</t>
        </is>
      </c>
    </row>
    <row r="97" ht="42" customHeight="1" s="36">
      <c r="A97" s="52" t="n"/>
      <c r="B97" s="52" t="n"/>
      <c r="C97" s="52" t="n"/>
      <c r="D97" s="52" t="n"/>
      <c r="E97" s="52" t="n"/>
      <c r="F97" s="52" t="n"/>
      <c r="G97" s="52" t="n"/>
      <c r="H97" s="54" t="inlineStr">
        <is>
          <t>Vigilance</t>
        </is>
      </c>
      <c r="I97" s="43">
        <f>Paramètres!$B$7</f>
        <v/>
      </c>
      <c r="J97" s="51" t="inlineStr">
        <is>
          <t>Vigilance — Contrats ou accords directs en cours de négociation</t>
        </is>
      </c>
      <c r="K97" s="77" t="inlineStr">
        <is>
          <t>Contrat de vente encore en négociation.</t>
        </is>
      </c>
    </row>
    <row r="98" ht="42" customHeight="1" s="36">
      <c r="A98" s="52" t="n"/>
      <c r="B98" s="52" t="n"/>
      <c r="C98" s="52" t="n"/>
      <c r="D98" s="52" t="n"/>
      <c r="E98" s="52" t="n"/>
      <c r="F98" s="52" t="n"/>
      <c r="G98" s="52" t="n"/>
      <c r="H98" s="55" t="inlineStr">
        <is>
          <t>Critique</t>
        </is>
      </c>
      <c r="I98" s="43">
        <f>Paramètres!$B$8</f>
        <v/>
      </c>
      <c r="J98" s="51" t="inlineStr">
        <is>
          <t>Critique — Documentation lacunaire, pas de droits directs</t>
        </is>
      </c>
      <c r="K98" s="77" t="inlineStr">
        <is>
          <t>Contrats non signés et pas de droits directs.</t>
        </is>
      </c>
    </row>
    <row r="99" ht="42" customHeight="1" s="36">
      <c r="A99" s="56" t="n"/>
      <c r="B99" s="56" t="n"/>
      <c r="C99" s="56" t="n"/>
      <c r="D99" s="56" t="n"/>
      <c r="E99" s="56" t="n"/>
      <c r="F99" s="56" t="n"/>
      <c r="G99" s="56" t="n"/>
      <c r="H99" s="57" t="inlineStr">
        <is>
          <t>Info. insuffisante</t>
        </is>
      </c>
      <c r="I99" s="43">
        <f>Paramètres!$B$9</f>
        <v/>
      </c>
      <c r="J99" s="51" t="inlineStr">
        <is>
          <t>Info. insuffisante</t>
        </is>
      </c>
      <c r="K99" s="77" t="inlineStr">
        <is>
          <t>Liste des contrats non fournie.</t>
        </is>
      </c>
    </row>
    <row r="100" ht="42" customHeight="1" s="36">
      <c r="A100" s="77" t="inlineStr">
        <is>
          <t>D8 — Juridique, sûretés, continuité</t>
        </is>
      </c>
      <c r="B100" s="77" t="inlineStr">
        <is>
          <t>10 % / 8 % / 10 %</t>
        </is>
      </c>
      <c r="C100" s="76" t="inlineStr">
        <is>
          <t>D8.2</t>
        </is>
      </c>
      <c r="D100" s="76" t="inlineStr">
        <is>
          <t>Sûretés et opposabilité</t>
        </is>
      </c>
      <c r="E100" s="49" t="n">
        <v>0.4</v>
      </c>
      <c r="F100" s="77" t="inlineStr">
        <is>
          <t>Les garanties des banques (nantissements, hypothèques) sont-elles valables et opposables ?</t>
        </is>
      </c>
      <c r="G100" s="77" t="inlineStr">
        <is>
          <t>Avis juridique d'opposabilité (legal opinion), preuves d'inscription.</t>
        </is>
      </c>
      <c r="H100" s="50" t="inlineStr">
        <is>
          <t>Très favorable</t>
        </is>
      </c>
      <c r="I100" s="43">
        <f>Paramètres!$B$5</f>
        <v/>
      </c>
      <c r="J100" s="51" t="inlineStr">
        <is>
          <t>Très favorable — Sûretés complètes, enregistrées, avis juridique sans réserve</t>
        </is>
      </c>
      <c r="K100" s="77" t="inlineStr">
        <is>
          <t>Nantissement des actions, des comptes et des créances inscrits ; avis juridique sans réserve.</t>
        </is>
      </c>
    </row>
    <row r="101" ht="42" customHeight="1" s="36">
      <c r="A101" s="52" t="n"/>
      <c r="B101" s="52" t="n"/>
      <c r="C101" s="52" t="n"/>
      <c r="D101" s="52" t="n"/>
      <c r="E101" s="52" t="n"/>
      <c r="F101" s="52" t="n"/>
      <c r="G101" s="52" t="n"/>
      <c r="H101" s="53" t="inlineStr">
        <is>
          <t>Favorable</t>
        </is>
      </c>
      <c r="I101" s="43">
        <f>Paramètres!$B$6</f>
        <v/>
      </c>
      <c r="J101" s="51" t="inlineStr">
        <is>
          <t>Favorable — Sûretés complètes, formalités en cours</t>
        </is>
      </c>
      <c r="K101" s="77" t="inlineStr">
        <is>
          <t>Sûretés signées, inscriptions en cours.</t>
        </is>
      </c>
    </row>
    <row r="102" ht="42" customHeight="1" s="36">
      <c r="A102" s="52" t="n"/>
      <c r="B102" s="52" t="n"/>
      <c r="C102" s="52" t="n"/>
      <c r="D102" s="52" t="n"/>
      <c r="E102" s="52" t="n"/>
      <c r="F102" s="52" t="n"/>
      <c r="G102" s="52" t="n"/>
      <c r="H102" s="54" t="inlineStr">
        <is>
          <t>Vigilance</t>
        </is>
      </c>
      <c r="I102" s="43">
        <f>Paramètres!$B$7</f>
        <v/>
      </c>
      <c r="J102" s="51" t="inlineStr">
        <is>
          <t>Vigilance — Sûretés partielles ou réserve dans l'avis juridique</t>
        </is>
      </c>
      <c r="K102" s="77" t="inlineStr">
        <is>
          <t>Avis juridique avec réserve sur le nantissement des créances (voir verrou B5).</t>
        </is>
      </c>
    </row>
    <row r="103" ht="42" customHeight="1" s="36">
      <c r="A103" s="52" t="n"/>
      <c r="B103" s="52" t="n"/>
      <c r="C103" s="52" t="n"/>
      <c r="D103" s="52" t="n"/>
      <c r="E103" s="52" t="n"/>
      <c r="F103" s="52" t="n"/>
      <c r="G103" s="52" t="n"/>
      <c r="H103" s="55" t="inlineStr">
        <is>
          <t>Critique</t>
        </is>
      </c>
      <c r="I103" s="43">
        <f>Paramètres!$B$8</f>
        <v/>
      </c>
      <c r="J103" s="51" t="inlineStr">
        <is>
          <t>Critique — Sûretés non opposables ou absentes</t>
        </is>
      </c>
      <c r="K103" s="77" t="inlineStr">
        <is>
          <t>Sûretés non opposables (bien du domaine public non hypothécable sans accord).</t>
        </is>
      </c>
    </row>
    <row r="104" ht="42" customHeight="1" s="36">
      <c r="A104" s="56" t="n"/>
      <c r="B104" s="56" t="n"/>
      <c r="C104" s="56" t="n"/>
      <c r="D104" s="56" t="n"/>
      <c r="E104" s="56" t="n"/>
      <c r="F104" s="56" t="n"/>
      <c r="G104" s="56" t="n"/>
      <c r="H104" s="57" t="inlineStr">
        <is>
          <t>Info. insuffisante</t>
        </is>
      </c>
      <c r="I104" s="43">
        <f>Paramètres!$B$9</f>
        <v/>
      </c>
      <c r="J104" s="51" t="inlineStr">
        <is>
          <t>Info. insuffisante</t>
        </is>
      </c>
      <c r="K104" s="77" t="inlineStr">
        <is>
          <t>Avis juridique non encore demandé.</t>
        </is>
      </c>
    </row>
    <row r="105" ht="42" customHeight="1" s="36">
      <c r="A105" s="77" t="inlineStr">
        <is>
          <t>D8 — Juridique, sûretés, continuité</t>
        </is>
      </c>
      <c r="B105" s="77" t="inlineStr">
        <is>
          <t>10 % / 8 % / 10 %</t>
        </is>
      </c>
      <c r="C105" s="76" t="inlineStr">
        <is>
          <t>D8.3</t>
        </is>
      </c>
      <c r="D105" s="76" t="inlineStr">
        <is>
          <t>Autorisations, cadre réglementaire, litiges</t>
        </is>
      </c>
      <c r="E105" s="49" t="n">
        <v>0.25</v>
      </c>
      <c r="F105" s="77" t="inlineStr">
        <is>
          <t>Le projet a-t-il toutes ses autorisations, et le cadre légal est-il stable ?</t>
        </is>
      </c>
      <c r="G105" s="77" t="inlineStr">
        <is>
          <t>Permis de construire, autorisations d'exploiter, licences, état des litiges.</t>
        </is>
      </c>
      <c r="H105" s="50" t="inlineStr">
        <is>
          <t>Très favorable</t>
        </is>
      </c>
      <c r="I105" s="43">
        <f>Paramètres!$B$5</f>
        <v/>
      </c>
      <c r="J105" s="51" t="inlineStr">
        <is>
          <t>Très favorable — Toutes autorisations définitives, cadre stable, aucun litige</t>
        </is>
      </c>
      <c r="K105" s="77" t="inlineStr">
        <is>
          <t>Toutes autorisations définitives, aucun litige.</t>
        </is>
      </c>
    </row>
    <row r="106" ht="42" customHeight="1" s="36">
      <c r="A106" s="52" t="n"/>
      <c r="B106" s="52" t="n"/>
      <c r="C106" s="52" t="n"/>
      <c r="D106" s="52" t="n"/>
      <c r="E106" s="52" t="n"/>
      <c r="F106" s="52" t="n"/>
      <c r="G106" s="52" t="n"/>
      <c r="H106" s="53" t="inlineStr">
        <is>
          <t>Favorable</t>
        </is>
      </c>
      <c r="I106" s="43">
        <f>Paramètres!$B$6</f>
        <v/>
      </c>
      <c r="J106" s="51" t="inlineStr">
        <is>
          <t>Favorable — Autorisations obtenues, renouvellements de routine</t>
        </is>
      </c>
      <c r="K106" s="77" t="inlineStr">
        <is>
          <t>Autorisations obtenues ; renouvellement annuel de routine.</t>
        </is>
      </c>
    </row>
    <row r="107" ht="42" customHeight="1" s="36">
      <c r="A107" s="52" t="n"/>
      <c r="B107" s="52" t="n"/>
      <c r="C107" s="52" t="n"/>
      <c r="D107" s="52" t="n"/>
      <c r="E107" s="52" t="n"/>
      <c r="F107" s="52" t="n"/>
      <c r="G107" s="52" t="n"/>
      <c r="H107" s="54" t="inlineStr">
        <is>
          <t>Vigilance</t>
        </is>
      </c>
      <c r="I107" s="43">
        <f>Paramètres!$B$7</f>
        <v/>
      </c>
      <c r="J107" s="51" t="inlineStr">
        <is>
          <t>Vigilance — Autorisations en cours ou cadre réglementaire en évolution</t>
        </is>
      </c>
      <c r="K107" s="77" t="inlineStr">
        <is>
          <t>Autorisation d'exploiter en cours d'instruction, ou loi sectorielle en révision.</t>
        </is>
      </c>
    </row>
    <row r="108" ht="42" customHeight="1" s="36">
      <c r="A108" s="52" t="n"/>
      <c r="B108" s="52" t="n"/>
      <c r="C108" s="52" t="n"/>
      <c r="D108" s="52" t="n"/>
      <c r="E108" s="52" t="n"/>
      <c r="F108" s="52" t="n"/>
      <c r="G108" s="52" t="n"/>
      <c r="H108" s="55" t="inlineStr">
        <is>
          <t>Critique</t>
        </is>
      </c>
      <c r="I108" s="43">
        <f>Paramètres!$B$8</f>
        <v/>
      </c>
      <c r="J108" s="51" t="inlineStr">
        <is>
          <t>Critique — Autorisation clé manquante ou litige significatif</t>
        </is>
      </c>
      <c r="K108" s="77" t="inlineStr">
        <is>
          <t>Autorisation clé refusée ou litige significatif avec l'administration.</t>
        </is>
      </c>
    </row>
    <row r="109" ht="42" customHeight="1" s="36">
      <c r="A109" s="56" t="n"/>
      <c r="B109" s="56" t="n"/>
      <c r="C109" s="56" t="n"/>
      <c r="D109" s="56" t="n"/>
      <c r="E109" s="56" t="n"/>
      <c r="F109" s="56" t="n"/>
      <c r="G109" s="56" t="n"/>
      <c r="H109" s="57" t="inlineStr">
        <is>
          <t>Info. insuffisante</t>
        </is>
      </c>
      <c r="I109" s="43">
        <f>Paramètres!$B$9</f>
        <v/>
      </c>
      <c r="J109" s="51" t="inlineStr">
        <is>
          <t>Info. insuffisante</t>
        </is>
      </c>
      <c r="K109" s="77" t="inlineStr">
        <is>
          <t>Liste des autorisations non fournie.</t>
        </is>
      </c>
    </row>
    <row r="110" ht="42" customHeight="1" s="36">
      <c r="A110" s="77" t="inlineStr">
        <is>
          <t>D9 — ESG et climat résiduel</t>
        </is>
      </c>
      <c r="B110" s="77" t="inlineStr">
        <is>
          <t>5 % / 5 % / 5 %</t>
        </is>
      </c>
      <c r="C110" s="76" t="inlineStr">
        <is>
          <t>D9.1</t>
        </is>
      </c>
      <c r="D110" s="76" t="inlineStr">
        <is>
          <t>Environnement et ressources</t>
        </is>
      </c>
      <c r="E110" s="49" t="n">
        <v>0.3</v>
      </c>
      <c r="F110" s="77" t="inlineStr">
        <is>
          <t>Les impacts environnementaux sont-ils évalués et gérés selon les normes (IFC, EBRD) ?</t>
        </is>
      </c>
      <c r="G110" s="77" t="inlineStr">
        <is>
          <t>Étude d'impact environnemental et social (EIES), plan de gestion, avis de l'administration.</t>
        </is>
      </c>
      <c r="H110" s="50" t="inlineStr">
        <is>
          <t>Très favorable</t>
        </is>
      </c>
      <c r="I110" s="43">
        <f>Paramètres!$B$5</f>
        <v/>
      </c>
      <c r="J110" s="51" t="inlineStr">
        <is>
          <t>Très favorable — Étude d'impact approuvée, plan de gestion conforme aux normes IFC</t>
        </is>
      </c>
      <c r="K110" s="77" t="inlineStr">
        <is>
          <t>EIES approuvée, plan de gestion conforme aux normes de performance IFC.</t>
        </is>
      </c>
    </row>
    <row r="111" ht="42" customHeight="1" s="36">
      <c r="A111" s="52" t="n"/>
      <c r="B111" s="52" t="n"/>
      <c r="C111" s="52" t="n"/>
      <c r="D111" s="52" t="n"/>
      <c r="E111" s="52" t="n"/>
      <c r="F111" s="52" t="n"/>
      <c r="G111" s="52" t="n"/>
      <c r="H111" s="53" t="inlineStr">
        <is>
          <t>Favorable</t>
        </is>
      </c>
      <c r="I111" s="43">
        <f>Paramètres!$B$6</f>
        <v/>
      </c>
      <c r="J111" s="51" t="inlineStr">
        <is>
          <t>Favorable — Étude d'impact approuvée, plan de gestion à compléter</t>
        </is>
      </c>
      <c r="K111" s="77" t="inlineStr">
        <is>
          <t>EIES approuvée, plan de gestion à compléter sur les déchets.</t>
        </is>
      </c>
    </row>
    <row r="112" ht="42" customHeight="1" s="36">
      <c r="A112" s="52" t="n"/>
      <c r="B112" s="52" t="n"/>
      <c r="C112" s="52" t="n"/>
      <c r="D112" s="52" t="n"/>
      <c r="E112" s="52" t="n"/>
      <c r="F112" s="52" t="n"/>
      <c r="G112" s="52" t="n"/>
      <c r="H112" s="54" t="inlineStr">
        <is>
          <t>Vigilance</t>
        </is>
      </c>
      <c r="I112" s="43">
        <f>Paramètres!$B$7</f>
        <v/>
      </c>
      <c r="J112" s="51" t="inlineStr">
        <is>
          <t>Vigilance — Impacts notables, mesures d'atténuation en cours de définition</t>
        </is>
      </c>
      <c r="K112" s="77" t="inlineStr">
        <is>
          <t>Rejets de saumure en mer : mesures d'atténuation encore à définir.</t>
        </is>
      </c>
    </row>
    <row r="113" ht="42" customHeight="1" s="36">
      <c r="A113" s="52" t="n"/>
      <c r="B113" s="52" t="n"/>
      <c r="C113" s="52" t="n"/>
      <c r="D113" s="52" t="n"/>
      <c r="E113" s="52" t="n"/>
      <c r="F113" s="52" t="n"/>
      <c r="G113" s="52" t="n"/>
      <c r="H113" s="55" t="inlineStr">
        <is>
          <t>Critique</t>
        </is>
      </c>
      <c r="I113" s="43">
        <f>Paramètres!$B$8</f>
        <v/>
      </c>
      <c r="J113" s="51" t="inlineStr">
        <is>
          <t>Critique — Impact majeur non traité ou étude d'impact absente</t>
        </is>
      </c>
      <c r="K113" s="77" t="inlineStr">
        <is>
          <t>Pas d'EIES, ou impact majeur non traité (résidus miniers, cas MIN).</t>
        </is>
      </c>
    </row>
    <row r="114" ht="42" customHeight="1" s="36">
      <c r="A114" s="56" t="n"/>
      <c r="B114" s="56" t="n"/>
      <c r="C114" s="56" t="n"/>
      <c r="D114" s="56" t="n"/>
      <c r="E114" s="56" t="n"/>
      <c r="F114" s="56" t="n"/>
      <c r="G114" s="56" t="n"/>
      <c r="H114" s="57" t="inlineStr">
        <is>
          <t>Info. insuffisante</t>
        </is>
      </c>
      <c r="I114" s="43">
        <f>Paramètres!$B$9</f>
        <v/>
      </c>
      <c r="J114" s="51" t="inlineStr">
        <is>
          <t>Info. insuffisante</t>
        </is>
      </c>
      <c r="K114" s="77" t="inlineStr">
        <is>
          <t>EIES en cours, non remise.</t>
        </is>
      </c>
    </row>
    <row r="115" ht="42" customHeight="1" s="36">
      <c r="A115" s="77" t="inlineStr">
        <is>
          <t>D9 — ESG et climat résiduel</t>
        </is>
      </c>
      <c r="B115" s="77" t="inlineStr">
        <is>
          <t>5 % / 5 % / 5 %</t>
        </is>
      </c>
      <c r="C115" s="76" t="inlineStr">
        <is>
          <t>D9.2</t>
        </is>
      </c>
      <c r="D115" s="76" t="inlineStr">
        <is>
          <t>Social et acceptabilité</t>
        </is>
      </c>
      <c r="E115" s="49" t="n">
        <v>0.3</v>
      </c>
      <c r="F115" s="77" t="inlineStr">
        <is>
          <t>Les populations et salariés concernés sont-ils consultés et protégés ?</t>
        </is>
      </c>
      <c r="G115" s="77" t="inlineStr">
        <is>
          <t>Plan de consultation, plan de réinstallation, mécanisme de plaintes.</t>
        </is>
      </c>
      <c r="H115" s="50" t="inlineStr">
        <is>
          <t>Très favorable</t>
        </is>
      </c>
      <c r="I115" s="43">
        <f>Paramètres!$B$5</f>
        <v/>
      </c>
      <c r="J115" s="51" t="inlineStr">
        <is>
          <t>Très favorable — Consultation menée, aucun déplacement, emploi local documenté</t>
        </is>
      </c>
      <c r="K115" s="77" t="inlineStr">
        <is>
          <t>Consultation publique menée, aucun déplacement, 200 emplois locaux.</t>
        </is>
      </c>
    </row>
    <row r="116" ht="42" customHeight="1" s="36">
      <c r="A116" s="52" t="n"/>
      <c r="B116" s="52" t="n"/>
      <c r="C116" s="52" t="n"/>
      <c r="D116" s="52" t="n"/>
      <c r="E116" s="52" t="n"/>
      <c r="F116" s="52" t="n"/>
      <c r="G116" s="52" t="n"/>
      <c r="H116" s="53" t="inlineStr">
        <is>
          <t>Favorable</t>
        </is>
      </c>
      <c r="I116" s="43">
        <f>Paramètres!$B$6</f>
        <v/>
      </c>
      <c r="J116" s="51" t="inlineStr">
        <is>
          <t>Favorable — Consultation menée, impacts sociaux limités et traités</t>
        </is>
      </c>
      <c r="K116" s="77" t="inlineStr">
        <is>
          <t>Consultation menée, quelques terres agricoles indemnisées.</t>
        </is>
      </c>
    </row>
    <row r="117" ht="42" customHeight="1" s="36">
      <c r="A117" s="52" t="n"/>
      <c r="B117" s="52" t="n"/>
      <c r="C117" s="52" t="n"/>
      <c r="D117" s="52" t="n"/>
      <c r="E117" s="52" t="n"/>
      <c r="F117" s="52" t="n"/>
      <c r="G117" s="52" t="n"/>
      <c r="H117" s="54" t="inlineStr">
        <is>
          <t>Vigilance</t>
        </is>
      </c>
      <c r="I117" s="43">
        <f>Paramètres!$B$7</f>
        <v/>
      </c>
      <c r="J117" s="51" t="inlineStr">
        <is>
          <t>Vigilance — Réinstallation ou contestation locale à gérer</t>
        </is>
      </c>
      <c r="K117" s="77" t="inlineStr">
        <is>
          <t>Réinstallation de 40 familles à organiser, ou opposition locale.</t>
        </is>
      </c>
    </row>
    <row r="118" ht="42" customHeight="1" s="36">
      <c r="A118" s="52" t="n"/>
      <c r="B118" s="52" t="n"/>
      <c r="C118" s="52" t="n"/>
      <c r="D118" s="52" t="n"/>
      <c r="E118" s="52" t="n"/>
      <c r="F118" s="52" t="n"/>
      <c r="G118" s="52" t="n"/>
      <c r="H118" s="55" t="inlineStr">
        <is>
          <t>Critique</t>
        </is>
      </c>
      <c r="I118" s="43">
        <f>Paramètres!$B$8</f>
        <v/>
      </c>
      <c r="J118" s="51" t="inlineStr">
        <is>
          <t>Critique — Opposition forte ou réinstallation non conforme</t>
        </is>
      </c>
      <c r="K118" s="77" t="inlineStr">
        <is>
          <t>Opposition forte ou réinstallation non conforme aux normes IFC.</t>
        </is>
      </c>
    </row>
    <row r="119" ht="42" customHeight="1" s="36">
      <c r="A119" s="56" t="n"/>
      <c r="B119" s="56" t="n"/>
      <c r="C119" s="56" t="n"/>
      <c r="D119" s="56" t="n"/>
      <c r="E119" s="56" t="n"/>
      <c r="F119" s="56" t="n"/>
      <c r="G119" s="56" t="n"/>
      <c r="H119" s="57" t="inlineStr">
        <is>
          <t>Info. insuffisante</t>
        </is>
      </c>
      <c r="I119" s="43">
        <f>Paramètres!$B$9</f>
        <v/>
      </c>
      <c r="J119" s="51" t="inlineStr">
        <is>
          <t>Info. insuffisante</t>
        </is>
      </c>
      <c r="K119" s="77" t="inlineStr">
        <is>
          <t>Plan de consultation non communiqué (cas SAN).</t>
        </is>
      </c>
    </row>
    <row r="120" ht="42" customHeight="1" s="36">
      <c r="A120" s="77" t="inlineStr">
        <is>
          <t>D9 — ESG et climat résiduel</t>
        </is>
      </c>
      <c r="B120" s="77" t="inlineStr">
        <is>
          <t>5 % / 5 % / 5 %</t>
        </is>
      </c>
      <c r="C120" s="76" t="inlineStr">
        <is>
          <t>D9.3</t>
        </is>
      </c>
      <c r="D120" s="76" t="inlineStr">
        <is>
          <t>Gouvernance ESG et exécution</t>
        </is>
      </c>
      <c r="E120" s="49" t="n">
        <v>0.15</v>
      </c>
      <c r="F120" s="77" t="inlineStr">
        <is>
          <t>La SPV a-t-elle les moyens de suivre ses engagements environnementaux et sociaux ?</t>
        </is>
      </c>
      <c r="G120" s="77" t="inlineStr">
        <is>
          <t>Système de gestion environnementale et sociale (SGES), certification ISO 14001, rapports.</t>
        </is>
      </c>
      <c r="H120" s="50" t="inlineStr">
        <is>
          <t>Très favorable</t>
        </is>
      </c>
      <c r="I120" s="43">
        <f>Paramètres!$B$5</f>
        <v/>
      </c>
      <c r="J120" s="51" t="inlineStr">
        <is>
          <t>Très favorable — Système de gestion E&amp;S certifié, suivi par un consultant des prêteurs</t>
        </is>
      </c>
      <c r="K120" s="77" t="inlineStr">
        <is>
          <t>SGES certifié, suivi par le consultant des banques, rapport semestriel.</t>
        </is>
      </c>
    </row>
    <row r="121" ht="42" customHeight="1" s="36">
      <c r="A121" s="52" t="n"/>
      <c r="B121" s="52" t="n"/>
      <c r="C121" s="52" t="n"/>
      <c r="D121" s="52" t="n"/>
      <c r="E121" s="52" t="n"/>
      <c r="F121" s="52" t="n"/>
      <c r="G121" s="52" t="n"/>
      <c r="H121" s="53" t="inlineStr">
        <is>
          <t>Favorable</t>
        </is>
      </c>
      <c r="I121" s="43">
        <f>Paramètres!$B$6</f>
        <v/>
      </c>
      <c r="J121" s="51" t="inlineStr">
        <is>
          <t>Favorable — Système de gestion E&amp;S en place, reporting régulier</t>
        </is>
      </c>
      <c r="K121" s="77" t="inlineStr">
        <is>
          <t>SGES en place, rapports réguliers.</t>
        </is>
      </c>
    </row>
    <row r="122" ht="42" customHeight="1" s="36">
      <c r="A122" s="52" t="n"/>
      <c r="B122" s="52" t="n"/>
      <c r="C122" s="52" t="n"/>
      <c r="D122" s="52" t="n"/>
      <c r="E122" s="52" t="n"/>
      <c r="F122" s="52" t="n"/>
      <c r="G122" s="52" t="n"/>
      <c r="H122" s="54" t="inlineStr">
        <is>
          <t>Vigilance</t>
        </is>
      </c>
      <c r="I122" s="43">
        <f>Paramètres!$B$7</f>
        <v/>
      </c>
      <c r="J122" s="51" t="inlineStr">
        <is>
          <t>Vigilance — Système de gestion E&amp;S embryonnaire</t>
        </is>
      </c>
      <c r="K122" s="77" t="inlineStr">
        <is>
          <t>Un responsable HSE à temps partiel, pas de procédures écrites.</t>
        </is>
      </c>
    </row>
    <row r="123" ht="42" customHeight="1" s="36">
      <c r="A123" s="52" t="n"/>
      <c r="B123" s="52" t="n"/>
      <c r="C123" s="52" t="n"/>
      <c r="D123" s="52" t="n"/>
      <c r="E123" s="52" t="n"/>
      <c r="F123" s="52" t="n"/>
      <c r="G123" s="52" t="n"/>
      <c r="H123" s="55" t="inlineStr">
        <is>
          <t>Critique</t>
        </is>
      </c>
      <c r="I123" s="43">
        <f>Paramètres!$B$8</f>
        <v/>
      </c>
      <c r="J123" s="51" t="inlineStr">
        <is>
          <t>Critique — Aucun système de gestion E&amp;S</t>
        </is>
      </c>
      <c r="K123" s="77" t="inlineStr">
        <is>
          <t>Aucun dispositif.</t>
        </is>
      </c>
    </row>
    <row r="124" ht="42" customHeight="1" s="36">
      <c r="A124" s="56" t="n"/>
      <c r="B124" s="56" t="n"/>
      <c r="C124" s="56" t="n"/>
      <c r="D124" s="56" t="n"/>
      <c r="E124" s="56" t="n"/>
      <c r="F124" s="56" t="n"/>
      <c r="G124" s="56" t="n"/>
      <c r="H124" s="57" t="inlineStr">
        <is>
          <t>Info. insuffisante</t>
        </is>
      </c>
      <c r="I124" s="43">
        <f>Paramètres!$B$9</f>
        <v/>
      </c>
      <c r="J124" s="51" t="inlineStr">
        <is>
          <t>Info. insuffisante</t>
        </is>
      </c>
      <c r="K124" s="77" t="inlineStr">
        <is>
          <t>Organisation ESG non décrite.</t>
        </is>
      </c>
    </row>
    <row r="125" ht="42" customHeight="1" s="36">
      <c r="A125" s="77" t="inlineStr">
        <is>
          <t>D9 — ESG et climat résiduel</t>
        </is>
      </c>
      <c r="B125" s="77" t="inlineStr">
        <is>
          <t>5 % / 5 % / 5 %</t>
        </is>
      </c>
      <c r="C125" s="76" t="inlineStr">
        <is>
          <t>D9.4</t>
        </is>
      </c>
      <c r="D125" s="76" t="inlineStr">
        <is>
          <t>Climat résiduel</t>
        </is>
      </c>
      <c r="E125" s="49" t="n">
        <v>0.25</v>
      </c>
      <c r="F125" s="77" t="inlineStr">
        <is>
          <t>Le site est-il exposé au climat (sécheresse, inondation, mer) et le risque est-il couvert ?</t>
        </is>
      </c>
      <c r="G125" s="77" t="inlineStr">
        <is>
          <t>Étude de vulnérabilité climatique, plan d'adaptation financé (voir plafond C11).</t>
        </is>
      </c>
      <c r="H125" s="50" t="inlineStr">
        <is>
          <t>Très favorable</t>
        </is>
      </c>
      <c r="I125" s="43">
        <f>Paramètres!$B$5</f>
        <v/>
      </c>
      <c r="J125" s="51" t="inlineStr">
        <is>
          <t>Très favorable — Risques physiques et de transition faibles ou entièrement couverts</t>
        </is>
      </c>
      <c r="K125" s="77" t="inlineStr">
        <is>
          <t>Site peu exposé, ou digue de protection financée dans le CAPEX.</t>
        </is>
      </c>
    </row>
    <row r="126" ht="42" customHeight="1" s="36">
      <c r="A126" s="52" t="n"/>
      <c r="B126" s="52" t="n"/>
      <c r="C126" s="52" t="n"/>
      <c r="D126" s="52" t="n"/>
      <c r="E126" s="52" t="n"/>
      <c r="F126" s="52" t="n"/>
      <c r="G126" s="52" t="n"/>
      <c r="H126" s="53" t="inlineStr">
        <is>
          <t>Favorable</t>
        </is>
      </c>
      <c r="I126" s="43">
        <f>Paramètres!$B$6</f>
        <v/>
      </c>
      <c r="J126" s="51" t="inlineStr">
        <is>
          <t>Favorable — Risques identifiés et couverts pour l'essentiel</t>
        </is>
      </c>
      <c r="K126" s="77" t="inlineStr">
        <is>
          <t>Risques identifiés, couverts pour l'essentiel par l'assurance et la conception.</t>
        </is>
      </c>
    </row>
    <row r="127" ht="42" customHeight="1" s="36">
      <c r="A127" s="52" t="n"/>
      <c r="B127" s="52" t="n"/>
      <c r="C127" s="52" t="n"/>
      <c r="D127" s="52" t="n"/>
      <c r="E127" s="52" t="n"/>
      <c r="F127" s="52" t="n"/>
      <c r="G127" s="52" t="n"/>
      <c r="H127" s="54" t="inlineStr">
        <is>
          <t>Vigilance</t>
        </is>
      </c>
      <c r="I127" s="43">
        <f>Paramètres!$B$7</f>
        <v/>
      </c>
      <c r="J127" s="51" t="inlineStr">
        <is>
          <t>Vigilance — Risque résiduel significatif, plan d'adaptation partiel</t>
        </is>
      </c>
      <c r="K127" s="77" t="inlineStr">
        <is>
          <t>Risque de sécheresse identifié, plan d'adaptation partiel.</t>
        </is>
      </c>
    </row>
    <row r="128" ht="42" customHeight="1" s="36">
      <c r="A128" s="52" t="n"/>
      <c r="B128" s="52" t="n"/>
      <c r="C128" s="52" t="n"/>
      <c r="D128" s="52" t="n"/>
      <c r="E128" s="52" t="n"/>
      <c r="F128" s="52" t="n"/>
      <c r="G128" s="52" t="n"/>
      <c r="H128" s="55" t="inlineStr">
        <is>
          <t>Critique</t>
        </is>
      </c>
      <c r="I128" s="43">
        <f>Paramètres!$B$8</f>
        <v/>
      </c>
      <c r="J128" s="51" t="inlineStr">
        <is>
          <t>Critique — Risque élevé sans plan d'adaptation</t>
        </is>
      </c>
      <c r="K128" s="77" t="inlineStr">
        <is>
          <t>Site littoral exposé à l'érosion sans plan (cas TOU), ou sécheresse sans plan (C4A).</t>
        </is>
      </c>
    </row>
    <row r="129" ht="42" customHeight="1" s="36">
      <c r="A129" s="56" t="n"/>
      <c r="B129" s="56" t="n"/>
      <c r="C129" s="56" t="n"/>
      <c r="D129" s="56" t="n"/>
      <c r="E129" s="56" t="n"/>
      <c r="F129" s="56" t="n"/>
      <c r="G129" s="56" t="n"/>
      <c r="H129" s="57" t="inlineStr">
        <is>
          <t>Info. insuffisante</t>
        </is>
      </c>
      <c r="I129" s="43">
        <f>Paramètres!$B$9</f>
        <v/>
      </c>
      <c r="J129" s="51" t="inlineStr">
        <is>
          <t>Info. insuffisante</t>
        </is>
      </c>
      <c r="K129" s="77" t="inlineStr">
        <is>
          <t>Étude climatique non fournie.</t>
        </is>
      </c>
    </row>
  </sheetData>
  <autoFilter ref="A4:K129"/>
  <mergeCells count="175">
    <mergeCell ref="F35:F39"/>
    <mergeCell ref="F50:F54"/>
    <mergeCell ref="F115:F119"/>
    <mergeCell ref="E30:E34"/>
    <mergeCell ref="B60:B64"/>
    <mergeCell ref="G30:G34"/>
    <mergeCell ref="A95:A99"/>
    <mergeCell ref="E120:E124"/>
    <mergeCell ref="B5:B9"/>
    <mergeCell ref="D5:D9"/>
    <mergeCell ref="C70:C74"/>
    <mergeCell ref="G95:G99"/>
    <mergeCell ref="D25:D29"/>
    <mergeCell ref="D55:D59"/>
    <mergeCell ref="C125:C129"/>
    <mergeCell ref="B45:B49"/>
    <mergeCell ref="B110:B114"/>
    <mergeCell ref="G40:G44"/>
    <mergeCell ref="B85:B89"/>
    <mergeCell ref="D110:D114"/>
    <mergeCell ref="D85:D89"/>
    <mergeCell ref="B125:B129"/>
    <mergeCell ref="A40:A44"/>
    <mergeCell ref="G120:G124"/>
    <mergeCell ref="B100:B104"/>
    <mergeCell ref="A15:A19"/>
    <mergeCell ref="D100:D104"/>
    <mergeCell ref="F25:F29"/>
    <mergeCell ref="A60:A64"/>
    <mergeCell ref="D40:D44"/>
    <mergeCell ref="F40:F44"/>
    <mergeCell ref="E60:E64"/>
    <mergeCell ref="D95:D99"/>
    <mergeCell ref="C10:C14"/>
    <mergeCell ref="A50:A54"/>
    <mergeCell ref="F80:F84"/>
    <mergeCell ref="F95:F99"/>
    <mergeCell ref="C50:C54"/>
    <mergeCell ref="B70:B74"/>
    <mergeCell ref="A55:A59"/>
    <mergeCell ref="C115:C119"/>
    <mergeCell ref="D70:D74"/>
    <mergeCell ref="C55:C59"/>
    <mergeCell ref="B10:B14"/>
    <mergeCell ref="G5:G9"/>
    <mergeCell ref="A5:A9"/>
    <mergeCell ref="B65:B69"/>
    <mergeCell ref="G55:G59"/>
    <mergeCell ref="A20:A24"/>
    <mergeCell ref="F90:F94"/>
    <mergeCell ref="E45:E49"/>
    <mergeCell ref="G45:G49"/>
    <mergeCell ref="G110:G114"/>
    <mergeCell ref="F105:F109"/>
    <mergeCell ref="E125:E129"/>
    <mergeCell ref="G20:G24"/>
    <mergeCell ref="E100:E104"/>
    <mergeCell ref="G100:G104"/>
    <mergeCell ref="D20:D24"/>
    <mergeCell ref="D60:D64"/>
    <mergeCell ref="F60:F64"/>
    <mergeCell ref="C15:C19"/>
    <mergeCell ref="B35:B39"/>
    <mergeCell ref="B50:B54"/>
    <mergeCell ref="D35:D39"/>
    <mergeCell ref="D50:D54"/>
    <mergeCell ref="G15:G19"/>
    <mergeCell ref="B115:B119"/>
    <mergeCell ref="A30:A34"/>
    <mergeCell ref="D115:D119"/>
    <mergeCell ref="C30:C34"/>
    <mergeCell ref="B25:B29"/>
    <mergeCell ref="F15:F19"/>
    <mergeCell ref="B75:B79"/>
    <mergeCell ref="F55:F59"/>
    <mergeCell ref="G70:G74"/>
    <mergeCell ref="E10:E14"/>
    <mergeCell ref="A70:A74"/>
    <mergeCell ref="G10:G14"/>
    <mergeCell ref="D45:D49"/>
    <mergeCell ref="F30:F34"/>
    <mergeCell ref="F70:F74"/>
    <mergeCell ref="E65:E69"/>
    <mergeCell ref="A90:A94"/>
    <mergeCell ref="F85:F89"/>
    <mergeCell ref="C120:C124"/>
    <mergeCell ref="D75:D79"/>
    <mergeCell ref="C90:C94"/>
    <mergeCell ref="C105:C109"/>
    <mergeCell ref="E90:E94"/>
    <mergeCell ref="E105:E109"/>
    <mergeCell ref="A85:A89"/>
    <mergeCell ref="C110:C114"/>
    <mergeCell ref="A125:A129"/>
    <mergeCell ref="E110:E114"/>
    <mergeCell ref="F120:F124"/>
    <mergeCell ref="B40:B44"/>
    <mergeCell ref="G35:G39"/>
    <mergeCell ref="A100:A104"/>
    <mergeCell ref="G75:G79"/>
    <mergeCell ref="A35:A39"/>
    <mergeCell ref="E25:E29"/>
    <mergeCell ref="E85:E89"/>
    <mergeCell ref="G25:G29"/>
    <mergeCell ref="A10:A14"/>
    <mergeCell ref="G85:G89"/>
    <mergeCell ref="B95:B99"/>
    <mergeCell ref="E75:E79"/>
    <mergeCell ref="E5:E9"/>
    <mergeCell ref="E55:E59"/>
    <mergeCell ref="B90:B94"/>
    <mergeCell ref="D90:D94"/>
    <mergeCell ref="C5:C9"/>
    <mergeCell ref="A45:A49"/>
    <mergeCell ref="C45:C49"/>
    <mergeCell ref="F5:F9"/>
    <mergeCell ref="F20:F24"/>
    <mergeCell ref="C100:C104"/>
    <mergeCell ref="A65:A69"/>
    <mergeCell ref="C65:C69"/>
    <mergeCell ref="G125:G129"/>
    <mergeCell ref="F75:F79"/>
    <mergeCell ref="A80:A84"/>
    <mergeCell ref="F45:F49"/>
    <mergeCell ref="F110:F114"/>
    <mergeCell ref="A120:A124"/>
    <mergeCell ref="D125:D129"/>
    <mergeCell ref="C40:C44"/>
    <mergeCell ref="F125:F129"/>
    <mergeCell ref="E40:E44"/>
    <mergeCell ref="G65:G69"/>
    <mergeCell ref="A105:A109"/>
    <mergeCell ref="F100:F104"/>
    <mergeCell ref="E15:E19"/>
    <mergeCell ref="C95:C99"/>
    <mergeCell ref="E80:E84"/>
    <mergeCell ref="E95:E99"/>
    <mergeCell ref="C60:C64"/>
    <mergeCell ref="G80:G84"/>
    <mergeCell ref="B15:B19"/>
    <mergeCell ref="B55:B59"/>
    <mergeCell ref="D15:D19"/>
    <mergeCell ref="E70:E74"/>
    <mergeCell ref="A115:A119"/>
    <mergeCell ref="B30:B34"/>
    <mergeCell ref="D30:D34"/>
    <mergeCell ref="G60:G64"/>
    <mergeCell ref="B20:B24"/>
    <mergeCell ref="E50:E54"/>
    <mergeCell ref="B80:B84"/>
    <mergeCell ref="G50:G54"/>
    <mergeCell ref="G90:G94"/>
    <mergeCell ref="E115:E119"/>
    <mergeCell ref="G115:G119"/>
    <mergeCell ref="D10:D14"/>
    <mergeCell ref="F10:F14"/>
    <mergeCell ref="G105:G109"/>
    <mergeCell ref="D65:D69"/>
    <mergeCell ref="F65:F69"/>
    <mergeCell ref="E20:E24"/>
    <mergeCell ref="D80:D84"/>
    <mergeCell ref="A110:A114"/>
    <mergeCell ref="B120:B124"/>
    <mergeCell ref="D120:D124"/>
    <mergeCell ref="C35:C39"/>
    <mergeCell ref="E35:E39"/>
    <mergeCell ref="B105:B109"/>
    <mergeCell ref="D105:D109"/>
    <mergeCell ref="C20:C24"/>
    <mergeCell ref="A25:A29"/>
    <mergeCell ref="C80:C84"/>
    <mergeCell ref="C25:C29"/>
    <mergeCell ref="C85:C89"/>
    <mergeCell ref="A75:A79"/>
    <mergeCell ref="C75:C7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2" customWidth="1" style="35" min="1" max="1"/>
    <col width="30" customWidth="1" style="35" min="2" max="2"/>
    <col width="10" customWidth="1" style="35" min="3" max="3"/>
    <col width="50" customWidth="1" style="35" min="4" max="5"/>
    <col width="34" customWidth="1" style="35" min="6" max="7"/>
    <col width="15" customWidth="1" style="35" min="8" max="8"/>
    <col width="7" customWidth="1" style="35" min="9" max="9"/>
    <col width="44" customWidth="1" style="35" min="10" max="10"/>
    <col width="52" customWidth="1" style="35" min="11" max="11"/>
  </cols>
  <sheetData>
    <row r="1" ht="19.7" customHeight="1" s="36">
      <c r="A1" s="80" t="inlineStr">
        <is>
          <t>Noyau financier D7 — N1 à N3 calculés, N4 à N6 choisis</t>
        </is>
      </c>
    </row>
    <row r="2" ht="15" customHeight="1" s="36">
      <c r="A2" s="79" t="inlineStr">
        <is>
          <t>D7 pèse 25 % (construction), 28 % (montée en charge) ou 30 % (exploitation) du score.</t>
        </is>
      </c>
    </row>
    <row r="4" ht="23.85" customHeight="1" s="36">
      <c r="A4" s="81" t="inlineStr">
        <is>
          <t>Code</t>
        </is>
      </c>
      <c r="B4" s="81" t="inlineStr">
        <is>
          <t>Indicateur</t>
        </is>
      </c>
      <c r="C4" s="81" t="inlineStr">
        <is>
          <t>Poids dans D7</t>
        </is>
      </c>
      <c r="D4" s="81" t="inlineStr">
        <is>
          <t>Comment la note est obtenue</t>
        </is>
      </c>
      <c r="E4" s="81" t="inlineStr">
        <is>
          <t>Exemple</t>
        </is>
      </c>
    </row>
    <row r="5" ht="79.5" customHeight="1" s="36">
      <c r="A5" s="76" t="inlineStr">
        <is>
          <t>N1</t>
        </is>
      </c>
      <c r="B5" s="77" t="inlineStr">
        <is>
          <t>DSCR minimum, scénario central</t>
        </is>
      </c>
      <c r="C5" s="58" t="n">
        <v>0.25</v>
      </c>
      <c r="D5" s="77" t="inlineStr">
        <is>
          <t>Calculé : le plus faible DSCR de toutes les échéances est comparé aux seuils applicables (onglet Routage et seuils). ≥ seuil Favorable : 100 ; entre Vigilance et Favorable : 80 ; entre Critique et Vigilance : 50 ; sous le seuil Critique, ou un CFADS négatif : 20.</t>
        </is>
      </c>
      <c r="E5" s="77" t="inlineStr">
        <is>
          <t>Centrale solaire R1 en construction : seuils 1,05 / 1,15 / 1,25. DSCR minimum 1,296 ≥ 1,25 : N1 = 100 (cas C1).</t>
        </is>
      </c>
    </row>
    <row r="6" ht="79.5" customHeight="1" s="36">
      <c r="A6" s="76" t="inlineStr">
        <is>
          <t>N2</t>
        </is>
      </c>
      <c r="B6" s="77" t="inlineStr">
        <is>
          <t>DSCR minimum, scénario défavorable</t>
        </is>
      </c>
      <c r="C6" s="58" t="n">
        <v>0.2</v>
      </c>
      <c r="D6" s="77" t="inlineStr">
        <is>
          <t>Calculé de la même façon, sur l'échéancier après le choc défavorable (baisse du CFADS ou CFADS stressé saisi). Volet climatique, lot 2 : sur un site exposé, N2 retient le plus bas du scénario défavorable et du scénario climatique (section 14).</t>
        </is>
      </c>
      <c r="E6" s="77" t="inlineStr">
        <is>
          <t>Même centrale, production P90 et charges +10 % : DSCR 1,117, entre 1,05 et 1,15 : N2 = 50.</t>
        </is>
      </c>
    </row>
    <row r="7" ht="79.5" customHeight="1" s="36">
      <c r="A7" s="76" t="inlineStr">
        <is>
          <t>N3</t>
        </is>
      </c>
      <c r="B7" s="77" t="inlineStr">
        <is>
          <t>LLCR, ou financement à terminaison en construction</t>
        </is>
      </c>
      <c r="C7" s="58" t="n">
        <v>0.15</v>
      </c>
      <c r="D7" s="77" t="inlineStr">
        <is>
          <t>En construction (P1) : ressources engagées ÷ besoin total. ≥ 110 % : 100 ; ≥ 100 % : 80 ; ≥ 95 % avec plan de remédiation : 50 ; sinon 20 et blocage B3. Hors P1 : note saisie à partir du LLCR.</t>
        </is>
      </c>
      <c r="E7" s="77" t="inlineStr">
        <is>
          <t>Ressources 747 MMAD pour un besoin de 707 : 105,7 %, donc N3 = 80 (cas C1).</t>
        </is>
      </c>
    </row>
    <row r="9" ht="23.85" customHeight="1" s="36">
      <c r="A9" s="76" t="inlineStr">
        <is>
          <t>N4 à N6 : situations à choisir dans la liste</t>
        </is>
      </c>
    </row>
    <row r="10" ht="15" customHeight="1" s="36">
      <c r="A10" s="81" t="inlineStr">
        <is>
          <t>Domaine</t>
        </is>
      </c>
      <c r="B10" s="81" t="inlineStr">
        <is>
          <t>Poids P1 / P2 / P3</t>
        </is>
      </c>
      <c r="C10" s="81" t="inlineStr">
        <is>
          <t>Clé</t>
        </is>
      </c>
      <c r="D10" s="81" t="inlineStr">
        <is>
          <t>Indicateur</t>
        </is>
      </c>
      <c r="E10" s="81" t="inlineStr">
        <is>
          <t>Poids dans D7</t>
        </is>
      </c>
      <c r="F10" s="81" t="inlineStr">
        <is>
          <t>Ce qu'on évalue</t>
        </is>
      </c>
      <c r="G10" s="81" t="inlineStr">
        <is>
          <t>Pièces à vérifier</t>
        </is>
      </c>
      <c r="H10" s="81" t="inlineStr">
        <is>
          <t>Niveau</t>
        </is>
      </c>
      <c r="I10" s="81" t="inlineStr">
        <is>
          <t>Note</t>
        </is>
      </c>
      <c r="J10" s="81" t="inlineStr">
        <is>
          <t>Dans l'outil (liste)</t>
        </is>
      </c>
      <c r="K10" s="81" t="inlineStr">
        <is>
          <t>Exemple : on choisit ce niveau quand…</t>
        </is>
      </c>
    </row>
    <row r="11" ht="42" customHeight="1" s="36">
      <c r="A11" s="77" t="inlineStr">
        <is>
          <t>D7 — Finance et trésorerie (noyau)</t>
        </is>
      </c>
      <c r="B11" s="77" t="inlineStr">
        <is>
          <t>25 % / 28 % / 30 %</t>
        </is>
      </c>
      <c r="C11" s="76" t="inlineStr">
        <is>
          <t>N4</t>
        </is>
      </c>
      <c r="D11" s="76" t="inlineStr">
        <is>
          <t>Liquidité (DSRA, lignes, cascade)</t>
        </is>
      </c>
      <c r="E11" s="49" t="n">
        <v>0.15</v>
      </c>
      <c r="F11" s="77" t="inlineStr">
        <is>
          <t>La liquidité de réserve : la SPV peut-elle payer ses échéances pendant un incident temporaire ?</t>
        </is>
      </c>
      <c r="G11" s="77" t="inlineStr">
        <is>
          <t>Contrat de crédit (DSRA, réserves), cascade des comptes (waterfall), état des comptes.</t>
        </is>
      </c>
      <c r="H11" s="50" t="inlineStr">
        <is>
          <t>Très favorable</t>
        </is>
      </c>
      <c r="I11" s="43">
        <f>Paramètres!$B$5</f>
        <v/>
      </c>
      <c r="J11" s="51" t="inlineStr">
        <is>
          <t>Très favorable — DSRA ≥ 6 mois dotée, réserve de maintenance, cascade signée</t>
        </is>
      </c>
      <c r="K11" s="77" t="inlineStr">
        <is>
          <t>DSRA de 6 mois dotée dès le début, réserve de maintenance, cascade signée.</t>
        </is>
      </c>
    </row>
    <row r="12" ht="42" customHeight="1" s="36">
      <c r="A12" s="52" t="n"/>
      <c r="B12" s="52" t="n"/>
      <c r="C12" s="52" t="n"/>
      <c r="D12" s="52" t="n"/>
      <c r="E12" s="52" t="n"/>
      <c r="F12" s="52" t="n"/>
      <c r="G12" s="52" t="n"/>
      <c r="H12" s="53" t="inlineStr">
        <is>
          <t>Favorable</t>
        </is>
      </c>
      <c r="I12" s="43">
        <f>Paramètres!$B$6</f>
        <v/>
      </c>
      <c r="J12" s="51" t="inlineStr">
        <is>
          <t>Favorable — DSRA ≥ 6 mois, autres réserves partielles</t>
        </is>
      </c>
      <c r="K12" s="77" t="inlineStr">
        <is>
          <t>DSRA de 6 mois, réserve de maintenance pas encore dotée.</t>
        </is>
      </c>
    </row>
    <row r="13" ht="42" customHeight="1" s="36">
      <c r="A13" s="52" t="n"/>
      <c r="B13" s="52" t="n"/>
      <c r="C13" s="52" t="n"/>
      <c r="D13" s="52" t="n"/>
      <c r="E13" s="52" t="n"/>
      <c r="F13" s="52" t="n"/>
      <c r="G13" s="52" t="n"/>
      <c r="H13" s="54" t="inlineStr">
        <is>
          <t>Vigilance</t>
        </is>
      </c>
      <c r="I13" s="43">
        <f>Paramètres!$B$7</f>
        <v/>
      </c>
      <c r="J13" s="51" t="inlineStr">
        <is>
          <t>Vigilance — DSRA de 3 à 6 mois ou dotation progressive</t>
        </is>
      </c>
      <c r="K13" s="77" t="inlineStr">
        <is>
          <t>DSRA de 4 mois, ou constituée progressivement sur les flux.</t>
        </is>
      </c>
    </row>
    <row r="14" ht="42" customHeight="1" s="36">
      <c r="A14" s="52" t="n"/>
      <c r="B14" s="52" t="n"/>
      <c r="C14" s="52" t="n"/>
      <c r="D14" s="52" t="n"/>
      <c r="E14" s="52" t="n"/>
      <c r="F14" s="52" t="n"/>
      <c r="G14" s="52" t="n"/>
      <c r="H14" s="55" t="inlineStr">
        <is>
          <t>Critique</t>
        </is>
      </c>
      <c r="I14" s="43">
        <f>Paramètres!$B$8</f>
        <v/>
      </c>
      <c r="J14" s="51" t="inlineStr">
        <is>
          <t>Critique — DSRA &lt; 3 mois ou absente, pas de cascade</t>
        </is>
      </c>
      <c r="K14" s="77" t="inlineStr">
        <is>
          <t>DSRA de 2 mois ou absente (cas IMMO, aussi plafond C7).</t>
        </is>
      </c>
    </row>
    <row r="15" ht="42" customHeight="1" s="36">
      <c r="A15" s="56" t="n"/>
      <c r="B15" s="56" t="n"/>
      <c r="C15" s="56" t="n"/>
      <c r="D15" s="56" t="n"/>
      <c r="E15" s="56" t="n"/>
      <c r="F15" s="56" t="n"/>
      <c r="G15" s="56" t="n"/>
      <c r="H15" s="57" t="inlineStr">
        <is>
          <t>Info. insuffisante</t>
        </is>
      </c>
      <c r="I15" s="43">
        <f>Paramètres!$B$9</f>
        <v/>
      </c>
      <c r="J15" s="51" t="inlineStr">
        <is>
          <t>Info. insuffisante</t>
        </is>
      </c>
      <c r="K15" s="77" t="inlineStr">
        <is>
          <t>Contrat de crédit non finalisé.</t>
        </is>
      </c>
    </row>
    <row r="16" ht="42" customHeight="1" s="36">
      <c r="A16" s="77" t="inlineStr">
        <is>
          <t>D7 — Finance et trésorerie (noyau)</t>
        </is>
      </c>
      <c r="B16" s="77" t="inlineStr">
        <is>
          <t>25 % / 28 % / 30 %</t>
        </is>
      </c>
      <c r="C16" s="76" t="inlineStr">
        <is>
          <t>N5</t>
        </is>
      </c>
      <c r="D16" s="76" t="inlineStr">
        <is>
          <t>Levier et fonds propres à risque</t>
        </is>
      </c>
      <c r="E16" s="49" t="n">
        <v>0.15</v>
      </c>
      <c r="F16" s="77" t="inlineStr">
        <is>
          <t>Le levier : quelle part du projet est financée par la dette, et les fonds propres sont-ils réellement à risque ?</t>
        </is>
      </c>
      <c r="G16" s="77" t="inlineStr">
        <is>
          <t>Plan de financement, calendrier d'apport des fonds propres.</t>
        </is>
      </c>
      <c r="H16" s="50" t="inlineStr">
        <is>
          <t>Très favorable</t>
        </is>
      </c>
      <c r="I16" s="43">
        <f>Paramètres!$B$5</f>
        <v/>
      </c>
      <c r="J16" s="51" t="inlineStr">
        <is>
          <t>Très favorable — Quote-part de dette ≤ 65 %, fonds propres versés en premier</t>
        </is>
      </c>
      <c r="K16" s="77" t="inlineStr">
        <is>
          <t>Dette 60 % du coût, fonds propres versés avant le premier tirage.</t>
        </is>
      </c>
    </row>
    <row r="17" ht="42" customHeight="1" s="36">
      <c r="A17" s="52" t="n"/>
      <c r="B17" s="52" t="n"/>
      <c r="C17" s="52" t="n"/>
      <c r="D17" s="52" t="n"/>
      <c r="E17" s="52" t="n"/>
      <c r="F17" s="52" t="n"/>
      <c r="G17" s="52" t="n"/>
      <c r="H17" s="53" t="inlineStr">
        <is>
          <t>Favorable</t>
        </is>
      </c>
      <c r="I17" s="43">
        <f>Paramètres!$B$6</f>
        <v/>
      </c>
      <c r="J17" s="51" t="inlineStr">
        <is>
          <t>Favorable — Quote-part de dette de 65 à 75 %</t>
        </is>
      </c>
      <c r="K17" s="77" t="inlineStr">
        <is>
          <t>Dette 70 % du coût.</t>
        </is>
      </c>
    </row>
    <row r="18" ht="42" customHeight="1" s="36">
      <c r="A18" s="52" t="n"/>
      <c r="B18" s="52" t="n"/>
      <c r="C18" s="52" t="n"/>
      <c r="D18" s="52" t="n"/>
      <c r="E18" s="52" t="n"/>
      <c r="F18" s="52" t="n"/>
      <c r="G18" s="52" t="n"/>
      <c r="H18" s="54" t="inlineStr">
        <is>
          <t>Vigilance</t>
        </is>
      </c>
      <c r="I18" s="43">
        <f>Paramètres!$B$7</f>
        <v/>
      </c>
      <c r="J18" s="51" t="inlineStr">
        <is>
          <t>Vigilance — Quote-part de dette de 75 à 85 % ou fonds propres versés au prorata</t>
        </is>
      </c>
      <c r="K18" s="77" t="inlineStr">
        <is>
          <t>Dette 80 %, ou fonds propres versés en même temps que la dette (au prorata).</t>
        </is>
      </c>
    </row>
    <row r="19" ht="42" customHeight="1" s="36">
      <c r="A19" s="52" t="n"/>
      <c r="B19" s="52" t="n"/>
      <c r="C19" s="52" t="n"/>
      <c r="D19" s="52" t="n"/>
      <c r="E19" s="52" t="n"/>
      <c r="F19" s="52" t="n"/>
      <c r="G19" s="52" t="n"/>
      <c r="H19" s="55" t="inlineStr">
        <is>
          <t>Critique</t>
        </is>
      </c>
      <c r="I19" s="43">
        <f>Paramètres!$B$8</f>
        <v/>
      </c>
      <c r="J19" s="51" t="inlineStr">
        <is>
          <t>Critique — Quote-part de dette &gt; 85 % ou fonds propres non engagés</t>
        </is>
      </c>
      <c r="K19" s="77" t="inlineStr">
        <is>
          <t>Dette 88 % du coût (cas IMMO, aussi plafond C9).</t>
        </is>
      </c>
    </row>
    <row r="20" ht="42" customHeight="1" s="36">
      <c r="A20" s="56" t="n"/>
      <c r="B20" s="56" t="n"/>
      <c r="C20" s="56" t="n"/>
      <c r="D20" s="56" t="n"/>
      <c r="E20" s="56" t="n"/>
      <c r="F20" s="56" t="n"/>
      <c r="G20" s="56" t="n"/>
      <c r="H20" s="57" t="inlineStr">
        <is>
          <t>Info. insuffisante</t>
        </is>
      </c>
      <c r="I20" s="43">
        <f>Paramètres!$B$9</f>
        <v/>
      </c>
      <c r="J20" s="51" t="inlineStr">
        <is>
          <t>Info. insuffisante</t>
        </is>
      </c>
      <c r="K20" s="77" t="inlineStr">
        <is>
          <t>Plan de financement non arrêté.</t>
        </is>
      </c>
    </row>
    <row r="21" ht="42" customHeight="1" s="36">
      <c r="A21" s="77" t="inlineStr">
        <is>
          <t>D7 — Finance et trésorerie (noyau)</t>
        </is>
      </c>
      <c r="B21" s="77" t="inlineStr">
        <is>
          <t>25 % / 28 % / 30 %</t>
        </is>
      </c>
      <c r="C21" s="76" t="inlineStr">
        <is>
          <t>N6</t>
        </is>
      </c>
      <c r="D21" s="76" t="inlineStr">
        <is>
          <t>Exposition résiduelle taux / change / refinancement</t>
        </is>
      </c>
      <c r="E21" s="49" t="n">
        <v>0.1</v>
      </c>
      <c r="F21" s="77" t="inlineStr">
        <is>
          <t>Ce qui reste exposé aux taux, au change et au refinancement après couvertures.</t>
        </is>
      </c>
      <c r="G21" s="77" t="inlineStr">
        <is>
          <t>Contrats de couverture (swap), devise des recettes et de la dette, profil d'amortissement.</t>
        </is>
      </c>
      <c r="H21" s="50" t="inlineStr">
        <is>
          <t>Très favorable</t>
        </is>
      </c>
      <c r="I21" s="43">
        <f>Paramètres!$B$5</f>
        <v/>
      </c>
      <c r="J21" s="51" t="inlineStr">
        <is>
          <t>Très favorable — Tout en MAD, taux fixe ou couvert, amortissement complet</t>
        </is>
      </c>
      <c r="K21" s="77" t="inlineStr">
        <is>
          <t>Tout en dirhams, taux fixé par swap, dette remboursée entièrement à l'échéance.</t>
        </is>
      </c>
    </row>
    <row r="22" ht="42" customHeight="1" s="36">
      <c r="A22" s="52" t="n"/>
      <c r="B22" s="52" t="n"/>
      <c r="C22" s="52" t="n"/>
      <c r="D22" s="52" t="n"/>
      <c r="E22" s="52" t="n"/>
      <c r="F22" s="52" t="n"/>
      <c r="G22" s="52" t="n"/>
      <c r="H22" s="53" t="inlineStr">
        <is>
          <t>Favorable</t>
        </is>
      </c>
      <c r="I22" s="43">
        <f>Paramètres!$B$6</f>
        <v/>
      </c>
      <c r="J22" s="51" t="inlineStr">
        <is>
          <t>Favorable — Exposition résiduelle faible (&lt; 10 % du service), couverte pour l'essentiel</t>
        </is>
      </c>
      <c r="K22" s="77" t="inlineStr">
        <is>
          <t>Part en euros couverte à 90 % : exposition nette 5 % du service annuel.</t>
        </is>
      </c>
    </row>
    <row r="23" ht="42" customHeight="1" s="36">
      <c r="A23" s="52" t="n"/>
      <c r="B23" s="52" t="n"/>
      <c r="C23" s="52" t="n"/>
      <c r="D23" s="52" t="n"/>
      <c r="E23" s="52" t="n"/>
      <c r="F23" s="52" t="n"/>
      <c r="G23" s="52" t="n"/>
      <c r="H23" s="54" t="inlineStr">
        <is>
          <t>Vigilance</t>
        </is>
      </c>
      <c r="I23" s="43">
        <f>Paramètres!$B$7</f>
        <v/>
      </c>
      <c r="J23" s="51" t="inlineStr">
        <is>
          <t>Vigilance — Exposition de 10 à 25 % du service ou ballon refinancé avec stratégie</t>
        </is>
      </c>
      <c r="K23" s="77" t="inlineStr">
        <is>
          <t>Exposition nette 16 % du service, ou ballon refinancé avec une stratégie approuvée.</t>
        </is>
      </c>
    </row>
    <row r="24" ht="42" customHeight="1" s="36">
      <c r="A24" s="52" t="n"/>
      <c r="B24" s="52" t="n"/>
      <c r="C24" s="52" t="n"/>
      <c r="D24" s="52" t="n"/>
      <c r="E24" s="52" t="n"/>
      <c r="F24" s="52" t="n"/>
      <c r="G24" s="52" t="n"/>
      <c r="H24" s="55" t="inlineStr">
        <is>
          <t>Critique</t>
        </is>
      </c>
      <c r="I24" s="43">
        <f>Paramètres!$B$8</f>
        <v/>
      </c>
      <c r="J24" s="51" t="inlineStr">
        <is>
          <t>Critique — Exposition &gt; 25 % du service ou refinancement sans stratégie</t>
        </is>
      </c>
      <c r="K24" s="77" t="inlineStr">
        <is>
          <t>Exposition 30 % du service (cas IND, plafond C6), ou ballon sans stratégie.</t>
        </is>
      </c>
    </row>
    <row r="25" ht="42" customHeight="1" s="36">
      <c r="A25" s="56" t="n"/>
      <c r="B25" s="56" t="n"/>
      <c r="C25" s="56" t="n"/>
      <c r="D25" s="56" t="n"/>
      <c r="E25" s="56" t="n"/>
      <c r="F25" s="56" t="n"/>
      <c r="G25" s="56" t="n"/>
      <c r="H25" s="57" t="inlineStr">
        <is>
          <t>Info. insuffisante</t>
        </is>
      </c>
      <c r="I25" s="43">
        <f>Paramètres!$B$9</f>
        <v/>
      </c>
      <c r="J25" s="51" t="inlineStr">
        <is>
          <t>Info. insuffisante</t>
        </is>
      </c>
      <c r="K25" s="77" t="inlineStr">
        <is>
          <t>Structure de couverture non arrêtée.</t>
        </is>
      </c>
    </row>
  </sheetData>
  <mergeCells count="21">
    <mergeCell ref="A21:A25"/>
    <mergeCell ref="C21:C25"/>
    <mergeCell ref="D16:D20"/>
    <mergeCell ref="C11:C15"/>
    <mergeCell ref="E11:E15"/>
    <mergeCell ref="G16:G20"/>
    <mergeCell ref="E16:E20"/>
    <mergeCell ref="B16:B20"/>
    <mergeCell ref="E21:E25"/>
    <mergeCell ref="G21:G25"/>
    <mergeCell ref="F11:F15"/>
    <mergeCell ref="G11:G15"/>
    <mergeCell ref="A11:A15"/>
    <mergeCell ref="D21:D25"/>
    <mergeCell ref="D11:D15"/>
    <mergeCell ref="F16:F20"/>
    <mergeCell ref="B21:B25"/>
    <mergeCell ref="B11:B15"/>
    <mergeCell ref="F21:F25"/>
    <mergeCell ref="A16:A20"/>
    <mergeCell ref="C16:C20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5" min="1" max="1"/>
    <col width="22" customWidth="1" style="35" min="2" max="2"/>
    <col width="34" customWidth="1" style="35" min="3" max="6"/>
    <col width="40" customWidth="1" style="35" min="7" max="7"/>
  </cols>
  <sheetData>
    <row r="1" ht="19.7" customHeight="1" s="36">
      <c r="A1" s="80" t="inlineStr">
        <is>
          <t>Variantes sectorielles — D2.1, D4.1, D4.3, D5.2</t>
        </is>
      </c>
    </row>
    <row r="2" ht="15" customHeight="1" s="36">
      <c r="A2" s="79" t="inlineStr">
        <is>
          <t>L'outil propose la description du secteur choisi au bloc 1. Dernière colonne : le niveau retenu dans les cas d'étude de l'outil (fictifs).</t>
        </is>
      </c>
    </row>
    <row r="4" ht="15" customHeight="1" s="36">
      <c r="A4" s="81" t="inlineStr">
        <is>
          <t>Sous-critère</t>
        </is>
      </c>
      <c r="B4" s="81" t="inlineStr">
        <is>
          <t>Secteur</t>
        </is>
      </c>
      <c r="C4" s="81" t="inlineStr">
        <is>
          <t>Très favorable (100)</t>
        </is>
      </c>
      <c r="D4" s="81" t="inlineStr">
        <is>
          <t>Favorable (80)</t>
        </is>
      </c>
      <c r="E4" s="81" t="inlineStr">
        <is>
          <t>Vigilance (50)</t>
        </is>
      </c>
      <c r="F4" s="81" t="inlineStr">
        <is>
          <t>Critique (20)</t>
        </is>
      </c>
      <c r="G4" s="81" t="inlineStr">
        <is>
          <t>Dans les cas d'étude de l'outil</t>
        </is>
      </c>
    </row>
    <row r="5" ht="57.75" customHeight="1" s="36">
      <c r="A5" s="76" t="inlineStr">
        <is>
          <t>D2.1 Technologie et performance</t>
        </is>
      </c>
      <c r="B5" s="77" t="inlineStr">
        <is>
          <t>ENR — Énergies renouvelables</t>
        </is>
      </c>
      <c r="C5" s="42" t="inlineStr">
        <is>
          <t>Équipements de premier rang, productible P90 établi par un expert</t>
        </is>
      </c>
      <c r="D5" s="44" t="inlineStr">
        <is>
          <t>Équipements reconnus, productible P90 établi sur des données courtes</t>
        </is>
      </c>
      <c r="E5" s="45" t="inlineStr">
        <is>
          <t>Équipement récent ou productible établi par le développeur seul</t>
        </is>
      </c>
      <c r="F5" s="46" t="inlineStr">
        <is>
          <t>Productible non établi de façon indépendante</t>
        </is>
      </c>
      <c r="G5" s="77" t="inlineStr">
        <is>
          <t>C1 (Centrale solaire photovoltaïque 80 MWc) : Très favorable
C5 (Centrale PV d’autoproduction 12 MWc) : Très favorable
ENR (Parc éolien terrestre 140 MW) : Très favorable</t>
        </is>
      </c>
    </row>
    <row r="6" ht="57.75" customHeight="1" s="36">
      <c r="A6" s="76" t="inlineStr">
        <is>
          <t>D2.1 Technologie et performance</t>
        </is>
      </c>
      <c r="B6" s="77" t="inlineStr">
        <is>
          <t>EAU — Eau et dessalement</t>
        </is>
      </c>
      <c r="C6" s="42" t="inlineStr">
        <is>
          <t>Procédé avec ≥ 3 références comparables, consommation garantie</t>
        </is>
      </c>
      <c r="D6" s="44" t="inlineStr">
        <is>
          <t>Procédé éprouvé, références de taille inférieure</t>
        </is>
      </c>
      <c r="E6" s="45" t="inlineStr">
        <is>
          <t>Procédé extrapolé ou consommation énergétique non garantie</t>
        </is>
      </c>
      <c r="F6" s="46" t="inlineStr">
        <is>
          <t>Procédé sans référence de taille comparable</t>
        </is>
      </c>
      <c r="G6" s="77" t="inlineStr">
        <is>
          <t>C2 (Usine de dessalement 100 000 m³/jour) : Très favorable
EAU (Usine de dessalement couplée à l'irrigat) : Favorable</t>
        </is>
      </c>
    </row>
    <row r="7" ht="57.75" customHeight="1" s="36">
      <c r="A7" s="76" t="inlineStr">
        <is>
          <t>D2.1 Technologie et performance</t>
        </is>
      </c>
      <c r="B7" s="77" t="inlineStr">
        <is>
          <t>TEL — Télécom et data centers</t>
        </is>
      </c>
      <c r="C7" s="42" t="inlineStr">
        <is>
          <t>Conception Tier III certifiée, équipements standard du marché</t>
        </is>
      </c>
      <c r="D7" s="44" t="inlineStr">
        <is>
          <t>Conception Tier III, certification en cours</t>
        </is>
      </c>
      <c r="E7" s="45" t="inlineStr">
        <is>
          <t>Redondances partielles ou équipements spécifiques</t>
        </is>
      </c>
      <c r="F7" s="46" t="inlineStr">
        <is>
          <t>Conception non redondante ou technologie dépassée</t>
        </is>
      </c>
      <c r="G7" s="77" t="inlineStr">
        <is>
          <t>TEL (Centre de données Tier III, 24 MW inform) : Très favorable</t>
        </is>
      </c>
    </row>
    <row r="8" ht="57.75" customHeight="1" s="36">
      <c r="A8" s="76" t="inlineStr">
        <is>
          <t>D2.1 Technologie et performance</t>
        </is>
      </c>
      <c r="B8" s="77" t="inlineStr">
        <is>
          <t>TRA — Transport</t>
        </is>
      </c>
      <c r="C8" s="42" t="inlineStr">
        <is>
          <t>Ouvrages courants, techniques de construction maîtrisées</t>
        </is>
      </c>
      <c r="D8" s="44" t="inlineStr">
        <is>
          <t>Ouvrages d'art standards, quelques sections complexes</t>
        </is>
      </c>
      <c r="E8" s="45" t="inlineStr">
        <is>
          <t>Ouvrages d'art majeurs ou terrain difficile</t>
        </is>
      </c>
      <c r="F8" s="46" t="inlineStr">
        <is>
          <t>Technique de construction non éprouvée localement</t>
        </is>
      </c>
      <c r="G8" s="77" t="inlineStr">
        <is>
          <t>TRA (Autoroute à péage de 95 km) : Très favorable</t>
        </is>
      </c>
    </row>
    <row r="9" ht="57.75" customHeight="1" s="36">
      <c r="A9" s="76" t="inlineStr">
        <is>
          <t>D2.1 Technologie et performance</t>
        </is>
      </c>
      <c r="B9" s="77" t="inlineStr">
        <is>
          <t>POR — Ports et logistique</t>
        </is>
      </c>
      <c r="C9" s="42" t="inlineStr">
        <is>
          <t>Équipements de manutention standard, références multiples</t>
        </is>
      </c>
      <c r="D9" s="44" t="inlineStr">
        <is>
          <t>Équipements éprouvés, automatisation partielle</t>
        </is>
      </c>
      <c r="E9" s="45" t="inlineStr">
        <is>
          <t>Terminal fortement automatisé, références limitées</t>
        </is>
      </c>
      <c r="F9" s="46" t="inlineStr">
        <is>
          <t>Système de manutention prototype</t>
        </is>
      </c>
      <c r="G9" s="77" t="inlineStr">
        <is>
          <t>POR (Terminal à conteneurs de 1,2 million d'E) : Favorable</t>
        </is>
      </c>
    </row>
    <row r="10" ht="57.75" customHeight="1" s="36">
      <c r="A10" s="76" t="inlineStr">
        <is>
          <t>D2.1 Technologie et performance</t>
        </is>
      </c>
      <c r="B10" s="77" t="inlineStr">
        <is>
          <t>SAN — Santé</t>
        </is>
      </c>
      <c r="C10" s="42" t="inlineStr">
        <is>
          <t>Bâtiment et plateau technique standard, normes hospitalières</t>
        </is>
      </c>
      <c r="D10" s="44" t="inlineStr">
        <is>
          <t>Plateau technique éprouvé, quelques équipements de pointe</t>
        </is>
      </c>
      <c r="E10" s="45" t="inlineStr">
        <is>
          <t>Équipements de pointe dépendant d'un fournisseur unique</t>
        </is>
      </c>
      <c r="F10" s="46" t="inlineStr">
        <is>
          <t>Conception non conforme aux normes hospitalières</t>
        </is>
      </c>
      <c r="G10" s="77" t="inlineStr">
        <is>
          <t>SAN (Centre hospitalier de 600 lits en parten) : Favorable</t>
        </is>
      </c>
    </row>
    <row r="11" ht="57.75" customHeight="1" s="36">
      <c r="A11" s="76" t="inlineStr">
        <is>
          <t>D2.1 Technologie et performance</t>
        </is>
      </c>
      <c r="B11" s="77" t="inlineStr">
        <is>
          <t>ETH — Thermique et gaz</t>
        </is>
      </c>
      <c r="C11" s="42" t="inlineStr">
        <is>
          <t>Turbines de série, rendement garanti, références nombreuses</t>
        </is>
      </c>
      <c r="D11" s="44" t="inlineStr">
        <is>
          <t>Équipements éprouvés, rendement garanti partiellement</t>
        </is>
      </c>
      <c r="E11" s="45" t="inlineStr">
        <is>
          <t>Modèle récent ou conversion de combustible</t>
        </is>
      </c>
      <c r="F11" s="46" t="inlineStr">
        <is>
          <t>Technologie sans historique d'exploitation</t>
        </is>
      </c>
      <c r="G11" s="77" t="inlineStr">
        <is>
          <t>ETH (Centrale à cycle combiné au gaz de 450 M) : Favorable</t>
        </is>
      </c>
    </row>
    <row r="12" ht="57.75" customHeight="1" s="36">
      <c r="A12" s="76" t="inlineStr">
        <is>
          <t>D2.1 Technologie et performance</t>
        </is>
      </c>
      <c r="B12" s="77" t="inlineStr">
        <is>
          <t>IMMO-REND — Immobilier de rendement</t>
        </is>
      </c>
      <c r="C12" s="42" t="inlineStr">
        <is>
          <t>Construction standard, certification énergétique obtenue</t>
        </is>
      </c>
      <c r="D12" s="44" t="inlineStr">
        <is>
          <t>Construction standard, certification en cours</t>
        </is>
      </c>
      <c r="E12" s="45" t="inlineStr">
        <is>
          <t>Bâtiment spécifique difficile à reconvertir</t>
        </is>
      </c>
      <c r="F12" s="46" t="inlineStr">
        <is>
          <t>Bâtiment obsolète ou non conforme</t>
        </is>
      </c>
      <c r="G12" s="77" t="inlineStr">
        <is>
          <t>IMMO (Ensemble de bureaux et commerces loués, ) : Très favorable</t>
        </is>
      </c>
    </row>
    <row r="13" ht="57.75" customHeight="1" s="36">
      <c r="A13" s="76" t="inlineStr">
        <is>
          <t>D2.1 Technologie et performance</t>
        </is>
      </c>
      <c r="B13" s="77" t="inlineStr">
        <is>
          <t>IND — Industrie</t>
        </is>
      </c>
      <c r="C13" s="42" t="inlineStr">
        <is>
          <t>Procédé industriel éprouvé, garanties de performance du fournisseur</t>
        </is>
      </c>
      <c r="D13" s="44" t="inlineStr">
        <is>
          <t>Procédé éprouvé, garanties partielles</t>
        </is>
      </c>
      <c r="E13" s="45" t="inlineStr">
        <is>
          <t>Procédé adapté ou montée en cadence incertaine</t>
        </is>
      </c>
      <c r="F13" s="46" t="inlineStr">
        <is>
          <t>Procédé pilote ou non éprouvé à l'échelle</t>
        </is>
      </c>
      <c r="G13" s="77" t="inlineStr">
        <is>
          <t>IND (Usine de verre plat de 600 tonnes/jour) : Favorable</t>
        </is>
      </c>
    </row>
    <row r="14" ht="57.75" customHeight="1" s="36">
      <c r="A14" s="76" t="inlineStr">
        <is>
          <t>D2.1 Technologie et performance</t>
        </is>
      </c>
      <c r="B14" s="77" t="inlineStr">
        <is>
          <t>AGR — Agro-industrie</t>
        </is>
      </c>
      <c r="C14" s="42" t="inlineStr">
        <is>
          <t>Itinéraire technique maîtrisé, rendements de référence documentés</t>
        </is>
      </c>
      <c r="D14" s="44" t="inlineStr">
        <is>
          <t>Itinéraire maîtrisé, rendements sur historique court</t>
        </is>
      </c>
      <c r="E14" s="45" t="inlineStr">
        <is>
          <t>Nouvelle culture ou nouvelle transformation sur ce site</t>
        </is>
      </c>
      <c r="F14" s="46" t="inlineStr">
        <is>
          <t>Rendements non documentés</t>
        </is>
      </c>
      <c r="G14" s="77" t="inlineStr">
        <is>
          <t>C4A (Unité agro-industrielle de trituration e) : Favorable
C4B (Unité agro-industrielle — structure rest) : Favorable
AGR (Unité de trituration d'olives et de cond) : Favorable</t>
        </is>
      </c>
    </row>
    <row r="15" ht="57.75" customHeight="1" s="36">
      <c r="A15" s="76" t="inlineStr">
        <is>
          <t>D2.1 Technologie et performance</t>
        </is>
      </c>
      <c r="B15" s="77" t="inlineStr">
        <is>
          <t>TOU — Tourisme et hôtellerie</t>
        </is>
      </c>
      <c r="C15" s="42" t="inlineStr">
        <is>
          <t>Concept éprouvé, marque internationale, conception validée</t>
        </is>
      </c>
      <c r="D15" s="44" t="inlineStr">
        <is>
          <t>Concept éprouvé, adaptation au site en cours</t>
        </is>
      </c>
      <c r="E15" s="45" t="inlineStr">
        <is>
          <t>Concept nouveau sur ce marché</t>
        </is>
      </c>
      <c r="F15" s="46" t="inlineStr">
        <is>
          <t>Concept non validé</t>
        </is>
      </c>
      <c r="G15" s="77" t="inlineStr">
        <is>
          <t>C3 (Hôtel 4 étoiles, 220 clés) : Très favorable
TOU (Complexe hôtelier balnéaire de 420 chamb) : Favorable</t>
        </is>
      </c>
    </row>
    <row r="16" ht="57.75" customHeight="1" s="36">
      <c r="A16" s="76" t="inlineStr">
        <is>
          <t>D2.1 Technologie et performance</t>
        </is>
      </c>
      <c r="B16" s="77" t="inlineStr">
        <is>
          <t>MIN — Mines et extraction</t>
        </is>
      </c>
      <c r="C16" s="42" t="inlineStr">
        <is>
          <t>Réserves certifiées selon une norme reconnue, procédé éprouvé</t>
        </is>
      </c>
      <c r="D16" s="44" t="inlineStr">
        <is>
          <t>Réserves certifiées, procédé à adapter au minerai</t>
        </is>
      </c>
      <c r="E16" s="45" t="inlineStr">
        <is>
          <t>Ressources indiquées seulement ou essais pilotes partiels</t>
        </is>
      </c>
      <c r="F16" s="46" t="inlineStr">
        <is>
          <t>Réserves non certifiées</t>
        </is>
      </c>
      <c r="G16" s="77" t="inlineStr">
        <is>
          <t>MIN (Mine de cuivre à ciel ouvert et usine de) : Favorable</t>
        </is>
      </c>
    </row>
    <row r="17" ht="57.75" customHeight="1" s="36">
      <c r="A17" s="76" t="inlineStr">
        <is>
          <t>D4.1 Structure contractuelle des recettes</t>
        </is>
      </c>
      <c r="B17" s="77" t="inlineStr">
        <is>
          <t>ENR — Énergies renouvelables</t>
        </is>
      </c>
      <c r="C17" s="42" t="inlineStr">
        <is>
          <t>Contrat d'achat ferme couvrant toute la dette</t>
        </is>
      </c>
      <c r="D17" s="44" t="inlineStr">
        <is>
          <t>Contrat d'achat couvrant l'essentiel de la durée</t>
        </is>
      </c>
      <c r="E17" s="45" t="inlineStr">
        <is>
          <t>Vente partielle au marché ou contrat plus court que la dette</t>
        </is>
      </c>
      <c r="F17" s="46" t="inlineStr">
        <is>
          <t>Production vendue sans contrat d'achat</t>
        </is>
      </c>
      <c r="G17" s="77" t="inlineStr">
        <is>
          <t>C1 (Centrale solaire photovoltaïque 80 MWc) : Très favorable
C5 (Centrale PV d’autoproduction 12 MWc) : Favorable
ENR (Parc éolien terrestre 140 MW) : Très favorable</t>
        </is>
      </c>
    </row>
    <row r="18" ht="57.75" customHeight="1" s="36">
      <c r="A18" s="76" t="inlineStr">
        <is>
          <t>D4.1 Structure contractuelle des recettes</t>
        </is>
      </c>
      <c r="B18" s="77" t="inlineStr">
        <is>
          <t>EAU — Eau et dessalement</t>
        </is>
      </c>
      <c r="C18" s="42" t="inlineStr">
        <is>
          <t>Redevance de capacité couvrant le service de la dette</t>
        </is>
      </c>
      <c r="D18" s="44" t="inlineStr">
        <is>
          <t>Redevance de capacité majoritaire, part variable limitée</t>
        </is>
      </c>
      <c r="E18" s="45" t="inlineStr">
        <is>
          <t>Part variable importante ou indexation incomplète</t>
        </is>
      </c>
      <c r="F18" s="46" t="inlineStr">
        <is>
          <t>Recettes fondées sur le volume consommé</t>
        </is>
      </c>
      <c r="G18" s="77" t="inlineStr">
        <is>
          <t>C2 (Usine de dessalement 100 000 m³/jour) : Favorable
EAU (Usine de dessalement couplée à l'irrigat) : Très favorable</t>
        </is>
      </c>
    </row>
    <row r="19" ht="57.75" customHeight="1" s="36">
      <c r="A19" s="76" t="inlineStr">
        <is>
          <t>D4.1 Structure contractuelle des recettes</t>
        </is>
      </c>
      <c r="B19" s="77" t="inlineStr">
        <is>
          <t>TEL — Télécom et data centers</t>
        </is>
      </c>
      <c r="C19" s="42" t="inlineStr">
        <is>
          <t>Contrats long terme couvrant ≥ 85 % de la capacité</t>
        </is>
      </c>
      <c r="D19" s="44" t="inlineStr">
        <is>
          <t>Contrats couvrant 70 à 85 % de la capacité</t>
        </is>
      </c>
      <c r="E19" s="45" t="inlineStr">
        <is>
          <t>Contrats couvrant 50 à 70 % de la capacité</t>
        </is>
      </c>
      <c r="F19" s="46" t="inlineStr">
        <is>
          <t>Contrats couvrant moins de 50 % de la capacité</t>
        </is>
      </c>
      <c r="G19" s="77" t="inlineStr">
        <is>
          <t>TEL (Centre de données Tier III, 24 MW inform) : Vigilance</t>
        </is>
      </c>
    </row>
    <row r="20" ht="57.75" customHeight="1" s="36">
      <c r="A20" s="76" t="inlineStr">
        <is>
          <t>D4.1 Structure contractuelle des recettes</t>
        </is>
      </c>
      <c r="B20" s="77" t="inlineStr">
        <is>
          <t>TRA — Transport</t>
        </is>
      </c>
      <c r="C20" s="42" t="inlineStr">
        <is>
          <t>Paiement à la disponibilité par une autorité publique</t>
        </is>
      </c>
      <c r="D20" s="44" t="inlineStr">
        <is>
          <t>Péage avec garantie de recettes minimales</t>
        </is>
      </c>
      <c r="E20" s="45" t="inlineStr">
        <is>
          <t>Péage sans garantie, trafic historique établi</t>
        </is>
      </c>
      <c r="F20" s="46" t="inlineStr">
        <is>
          <t>Péage sans garantie et sans historique de trafic</t>
        </is>
      </c>
      <c r="G20" s="77" t="inlineStr">
        <is>
          <t>TRA (Autoroute à péage de 95 km) : Vigilance</t>
        </is>
      </c>
    </row>
    <row r="21" ht="57.75" customHeight="1" s="36">
      <c r="A21" s="76" t="inlineStr">
        <is>
          <t>D4.1 Structure contractuelle des recettes</t>
        </is>
      </c>
      <c r="B21" s="77" t="inlineStr">
        <is>
          <t>POR — Ports et logistique</t>
        </is>
      </c>
      <c r="C21" s="42" t="inlineStr">
        <is>
          <t>Volumes minimaux garantis par l'armateur ou le chargeur</t>
        </is>
      </c>
      <c r="D21" s="44" t="inlineStr">
        <is>
          <t>Client d'ancrage contractualisé, volumes partiellement garantis</t>
        </is>
      </c>
      <c r="E21" s="45" t="inlineStr">
        <is>
          <t>Volumes non garantis, clientèle diversifiée</t>
        </is>
      </c>
      <c r="F21" s="46" t="inlineStr">
        <is>
          <t>Volumes non garantis, client unique</t>
        </is>
      </c>
      <c r="G21" s="77" t="inlineStr">
        <is>
          <t>POR (Terminal à conteneurs de 1,2 million d'E) : Favorable</t>
        </is>
      </c>
    </row>
    <row r="22" ht="57.75" customHeight="1" s="36">
      <c r="A22" s="76" t="inlineStr">
        <is>
          <t>D4.1 Structure contractuelle des recettes</t>
        </is>
      </c>
      <c r="B22" s="77" t="inlineStr">
        <is>
          <t>SAN — Santé</t>
        </is>
      </c>
      <c r="C22" s="42" t="inlineStr">
        <is>
          <t>Paiement à la disponibilité par l'autorité de santé</t>
        </is>
      </c>
      <c r="D22" s="44" t="inlineStr">
        <is>
          <t>Paiement mixte, part fixe majoritaire</t>
        </is>
      </c>
      <c r="E22" s="45" t="inlineStr">
        <is>
          <t>Paiement à l'activité avec conventions d'assurance maladie</t>
        </is>
      </c>
      <c r="F22" s="46" t="inlineStr">
        <is>
          <t>Recettes à l'activité sans convention</t>
        </is>
      </c>
      <c r="G22" s="77" t="inlineStr">
        <is>
          <t>SAN (Centre hospitalier de 600 lits en parten) : Très favorable</t>
        </is>
      </c>
    </row>
    <row r="23" ht="57.75" customHeight="1" s="36">
      <c r="A23" s="76" t="inlineStr">
        <is>
          <t>D4.1 Structure contractuelle des recettes</t>
        </is>
      </c>
      <c r="B23" s="77" t="inlineStr">
        <is>
          <t>ETH — Thermique et gaz</t>
        </is>
      </c>
      <c r="C23" s="42" t="inlineStr">
        <is>
          <t>Contrat d'achat de capacité et d'énergie couvrant la dette</t>
        </is>
      </c>
      <c r="D23" s="44" t="inlineStr">
        <is>
          <t>Contrat de capacité, énergie vendue au marché</t>
        </is>
      </c>
      <c r="E23" s="45" t="inlineStr">
        <is>
          <t>Contrat plus court que la dette</t>
        </is>
      </c>
      <c r="F23" s="46" t="inlineStr">
        <is>
          <t>Vente au marché sans contrat</t>
        </is>
      </c>
      <c r="G23" s="77" t="inlineStr">
        <is>
          <t>ETH (Centrale à cycle combiné au gaz de 450 M) : Très favorable</t>
        </is>
      </c>
    </row>
    <row r="24" ht="57.75" customHeight="1" s="36">
      <c r="A24" s="76" t="inlineStr">
        <is>
          <t>D4.1 Structure contractuelle des recettes</t>
        </is>
      </c>
      <c r="B24" s="77" t="inlineStr">
        <is>
          <t>IMMO-REND — Immobilier de rendement</t>
        </is>
      </c>
      <c r="C24" s="42" t="inlineStr">
        <is>
          <t>Baux fermes longs, durée résiduelle moyenne &gt; dette</t>
        </is>
      </c>
      <c r="D24" s="44" t="inlineStr">
        <is>
          <t>Baux fermes, durée résiduelle moyenne ≥ 5 ans</t>
        </is>
      </c>
      <c r="E24" s="45" t="inlineStr">
        <is>
          <t>Baux courts ou locataire principal &gt; 40 % des loyers</t>
        </is>
      </c>
      <c r="F24" s="46" t="inlineStr">
        <is>
          <t>Vacance élevée ou baux résiliables à court terme</t>
        </is>
      </c>
      <c r="G24" s="77" t="inlineStr">
        <is>
          <t>IMMO (Ensemble de bureaux et commerces loués, ) : Favorable</t>
        </is>
      </c>
    </row>
    <row r="25" ht="57.75" customHeight="1" s="36">
      <c r="A25" s="76" t="inlineStr">
        <is>
          <t>D4.1 Structure contractuelle des recettes</t>
        </is>
      </c>
      <c r="B25" s="77" t="inlineStr">
        <is>
          <t>IND — Industrie</t>
        </is>
      </c>
      <c r="C25" s="42" t="inlineStr">
        <is>
          <t>Contrat d'enlèvement ferme couvrant la dette</t>
        </is>
      </c>
      <c r="D25" s="44" t="inlineStr">
        <is>
          <t>Contrat d'enlèvement couvrant l'essentiel des volumes</t>
        </is>
      </c>
      <c r="E25" s="45" t="inlineStr">
        <is>
          <t>Ventes au marché avec contrats annuels</t>
        </is>
      </c>
      <c r="F25" s="46" t="inlineStr">
        <is>
          <t>Ventes au marché sans contrat</t>
        </is>
      </c>
      <c r="G25" s="77" t="inlineStr">
        <is>
          <t>IND (Usine de verre plat de 600 tonnes/jour) : Favorable</t>
        </is>
      </c>
    </row>
    <row r="26" ht="57.75" customHeight="1" s="36">
      <c r="A26" s="76" t="inlineStr">
        <is>
          <t>D4.1 Structure contractuelle des recettes</t>
        </is>
      </c>
      <c r="B26" s="77" t="inlineStr">
        <is>
          <t>AGR — Agro-industrie</t>
        </is>
      </c>
      <c r="C26" s="42" t="inlineStr">
        <is>
          <t>Contrats de vente pluriannuels avec prix plancher</t>
        </is>
      </c>
      <c r="D26" s="44" t="inlineStr">
        <is>
          <t>Contrats de vente annuels avec clients récurrents</t>
        </is>
      </c>
      <c r="E26" s="45" t="inlineStr">
        <is>
          <t>Ventes au marché, débouchés diversifiés</t>
        </is>
      </c>
      <c r="F26" s="46" t="inlineStr">
        <is>
          <t>Débouché unique non contractualisé</t>
        </is>
      </c>
      <c r="G26" s="77" t="inlineStr">
        <is>
          <t>C4A (Unité agro-industrielle de trituration e) : Vigilance
C4B (Unité agro-industrielle — structure rest) : Vigilance
AGR (Unité de trituration d'olives et de cond) : Très favorable</t>
        </is>
      </c>
    </row>
    <row r="27" ht="57.75" customHeight="1" s="36">
      <c r="A27" s="76" t="inlineStr">
        <is>
          <t>D4.1 Structure contractuelle des recettes</t>
        </is>
      </c>
      <c r="B27" s="77" t="inlineStr">
        <is>
          <t>TOU — Tourisme et hôtellerie</t>
        </is>
      </c>
      <c r="C27" s="42" t="inlineStr">
        <is>
          <t>Bail ou contrat de gestion avec loyer minimum garanti</t>
        </is>
      </c>
      <c r="D27" s="44" t="inlineStr">
        <is>
          <t>Contrat de gestion avec engagement de résultat partiel</t>
        </is>
      </c>
      <c r="E27" s="45" t="inlineStr">
        <is>
          <t>Contrat de gestion sans garantie, marque reconnue</t>
        </is>
      </c>
      <c r="F27" s="46" t="inlineStr">
        <is>
          <t>Exploitation indépendante sans marque ni garantie</t>
        </is>
      </c>
      <c r="G27" s="77" t="inlineStr">
        <is>
          <t>C3 (Hôtel 4 étoiles, 220 clés) : Vigilance
TOU (Complexe hôtelier balnéaire de 420 chamb) : Critique</t>
        </is>
      </c>
    </row>
    <row r="28" ht="57.75" customHeight="1" s="36">
      <c r="A28" s="76" t="inlineStr">
        <is>
          <t>D4.1 Structure contractuelle des recettes</t>
        </is>
      </c>
      <c r="B28" s="77" t="inlineStr">
        <is>
          <t>MIN — Mines et extraction</t>
        </is>
      </c>
      <c r="C28" s="42" t="inlineStr">
        <is>
          <t>Contrats d'enlèvement couvrant la dette, prix indexé</t>
        </is>
      </c>
      <c r="D28" s="44" t="inlineStr">
        <is>
          <t>Contrats d'enlèvement sur la majorité des volumes</t>
        </is>
      </c>
      <c r="E28" s="45" t="inlineStr">
        <is>
          <t>Ventes au prix spot avec contrats courts</t>
        </is>
      </c>
      <c r="F28" s="46" t="inlineStr">
        <is>
          <t>Ventes au prix spot sans contrat</t>
        </is>
      </c>
      <c r="G28" s="77" t="inlineStr">
        <is>
          <t>MIN (Mine de cuivre à ciel ouvert et usine de) : Vigilance</t>
        </is>
      </c>
    </row>
    <row r="29" ht="57.75" customHeight="1" s="36">
      <c r="A29" s="76" t="inlineStr">
        <is>
          <t>D4.3 Marché et concurrence</t>
        </is>
      </c>
      <c r="B29" s="77" t="inlineStr">
        <is>
          <t>ENR — Énergies renouvelables</t>
        </is>
      </c>
      <c r="C29" s="42" t="inlineStr">
        <is>
          <t>Production prioritaire, aucun risque d'écrêtement</t>
        </is>
      </c>
      <c r="D29" s="44" t="inlineStr">
        <is>
          <t>Écrêtement faible et compensé</t>
        </is>
      </c>
      <c r="E29" s="45" t="inlineStr">
        <is>
          <t>Écrêtement possible non compensé</t>
        </is>
      </c>
      <c r="F29" s="46" t="inlineStr">
        <is>
          <t>Saturation du réseau ou baisse de prix probable</t>
        </is>
      </c>
      <c r="G29" s="77" t="inlineStr">
        <is>
          <t>C1 (Centrale solaire photovoltaïque 80 MWc) : Très favorable
C5 (Centrale PV d’autoproduction 12 MWc) : Favorable
ENR (Parc éolien terrestre 140 MW) : Très favorable</t>
        </is>
      </c>
    </row>
    <row r="30" ht="57.75" customHeight="1" s="36">
      <c r="A30" s="76" t="inlineStr">
        <is>
          <t>D4.3 Marché et concurrence</t>
        </is>
      </c>
      <c r="B30" s="77" t="inlineStr">
        <is>
          <t>EAU — Eau et dessalement</t>
        </is>
      </c>
      <c r="C30" s="42" t="inlineStr">
        <is>
          <t>Déficit hydrique structurel, aucune alternative</t>
        </is>
      </c>
      <c r="D30" s="44" t="inlineStr">
        <is>
          <t>Demande solide, alternatives coûteuses</t>
        </is>
      </c>
      <c r="E30" s="45" t="inlineStr">
        <is>
          <t>Concurrence d'autres ressources en eau</t>
        </is>
      </c>
      <c r="F30" s="46" t="inlineStr">
        <is>
          <t>Demande incertaine ou surcapacité</t>
        </is>
      </c>
      <c r="G30" s="77" t="inlineStr">
        <is>
          <t>C2 (Usine de dessalement 100 000 m³/jour) : Très favorable
EAU (Usine de dessalement couplée à l'irrigat) : Favorable</t>
        </is>
      </c>
    </row>
    <row r="31" ht="57.75" customHeight="1" s="36">
      <c r="A31" s="76" t="inlineStr">
        <is>
          <t>D4.3 Marché et concurrence</t>
        </is>
      </c>
      <c r="B31" s="77" t="inlineStr">
        <is>
          <t>TEL — Télécom et data centers</t>
        </is>
      </c>
      <c r="C31" s="42" t="inlineStr">
        <is>
          <t>Marché en pénurie de capacité, clients de premier rang</t>
        </is>
      </c>
      <c r="D31" s="44" t="inlineStr">
        <is>
          <t>Demande soutenue, concurrence limitée</t>
        </is>
      </c>
      <c r="E31" s="45" t="inlineStr">
        <is>
          <t>Nouvelles capacités concurrentes annoncées</t>
        </is>
      </c>
      <c r="F31" s="46" t="inlineStr">
        <is>
          <t>Surcapacité ou baisse des prix de colocation</t>
        </is>
      </c>
      <c r="G31" s="77" t="inlineStr">
        <is>
          <t>TEL (Centre de données Tier III, 24 MW inform) : Vigilance</t>
        </is>
      </c>
    </row>
    <row r="32" ht="57.75" customHeight="1" s="36">
      <c r="A32" s="76" t="inlineStr">
        <is>
          <t>D4.3 Marché et concurrence</t>
        </is>
      </c>
      <c r="B32" s="77" t="inlineStr">
        <is>
          <t>TRA — Transport</t>
        </is>
      </c>
      <c r="C32" s="42" t="inlineStr">
        <is>
          <t>Itinéraire sans alternative, trafic en croissance</t>
        </is>
      </c>
      <c r="D32" s="44" t="inlineStr">
        <is>
          <t>Alternative gratuite peu attractive</t>
        </is>
      </c>
      <c r="E32" s="45" t="inlineStr">
        <is>
          <t>Itinéraire concurrent ou report modal possible</t>
        </is>
      </c>
      <c r="F32" s="46" t="inlineStr">
        <is>
          <t>Trafic en baisse ou alternative concurrente forte</t>
        </is>
      </c>
      <c r="G32" s="77" t="inlineStr">
        <is>
          <t>TRA (Autoroute à péage de 95 km) : Vigilance</t>
        </is>
      </c>
    </row>
    <row r="33" ht="57.75" customHeight="1" s="36">
      <c r="A33" s="76" t="inlineStr">
        <is>
          <t>D4.3 Marché et concurrence</t>
        </is>
      </c>
      <c r="B33" s="77" t="inlineStr">
        <is>
          <t>POR — Ports et logistique</t>
        </is>
      </c>
      <c r="C33" s="42" t="inlineStr">
        <is>
          <t>Hinterland captif, aucun port concurrent proche</t>
        </is>
      </c>
      <c r="D33" s="44" t="inlineStr">
        <is>
          <t>Hinterland solide, concurrence régionale limitée</t>
        </is>
      </c>
      <c r="E33" s="45" t="inlineStr">
        <is>
          <t>Concurrence portuaire active sur le transbordement</t>
        </is>
      </c>
      <c r="F33" s="46" t="inlineStr">
        <is>
          <t>Surcapacité portuaire régionale</t>
        </is>
      </c>
      <c r="G33" s="77" t="inlineStr">
        <is>
          <t>POR (Terminal à conteneurs de 1,2 million d'E) : Favorable</t>
        </is>
      </c>
    </row>
    <row r="34" ht="57.75" customHeight="1" s="36">
      <c r="A34" s="76" t="inlineStr">
        <is>
          <t>D4.3 Marché et concurrence</t>
        </is>
      </c>
      <c r="B34" s="77" t="inlineStr">
        <is>
          <t>SAN — Santé</t>
        </is>
      </c>
      <c r="C34" s="42" t="inlineStr">
        <is>
          <t>Besoin de lits avéré, aucune offre concurrente</t>
        </is>
      </c>
      <c r="D34" s="44" t="inlineStr">
        <is>
          <t>Besoin avéré, offre concurrente limitée</t>
        </is>
      </c>
      <c r="E34" s="45" t="inlineStr">
        <is>
          <t>Concurrence de cliniques privées ou de l'hôpital public</t>
        </is>
      </c>
      <c r="F34" s="46" t="inlineStr">
        <is>
          <t>Offre excédentaire dans la zone</t>
        </is>
      </c>
      <c r="G34" s="77" t="inlineStr">
        <is>
          <t>SAN (Centre hospitalier de 600 lits en parten) : Très favorable</t>
        </is>
      </c>
    </row>
    <row r="35" ht="57.75" customHeight="1" s="36">
      <c r="A35" s="76" t="inlineStr">
        <is>
          <t>D4.3 Marché et concurrence</t>
        </is>
      </c>
      <c r="B35" s="77" t="inlineStr">
        <is>
          <t>ETH — Thermique et gaz</t>
        </is>
      </c>
      <c r="C35" s="42" t="inlineStr">
        <is>
          <t>Appel prioritaire, besoin de pointe structurel</t>
        </is>
      </c>
      <c r="D35" s="44" t="inlineStr">
        <is>
          <t>Besoin de capacité établi</t>
        </is>
      </c>
      <c r="E35" s="45" t="inlineStr">
        <is>
          <t>Appel incertain face aux renouvelables</t>
        </is>
      </c>
      <c r="F35" s="46" t="inlineStr">
        <is>
          <t>Surcapacité de production</t>
        </is>
      </c>
      <c r="G35" s="77" t="inlineStr">
        <is>
          <t>ETH (Centrale à cycle combiné au gaz de 450 M) : Favorable</t>
        </is>
      </c>
    </row>
    <row r="36" ht="57.75" customHeight="1" s="36">
      <c r="A36" s="76" t="inlineStr">
        <is>
          <t>D4.3 Marché et concurrence</t>
        </is>
      </c>
      <c r="B36" s="77" t="inlineStr">
        <is>
          <t>IMMO-REND — Immobilier de rendement</t>
        </is>
      </c>
      <c r="C36" s="42" t="inlineStr">
        <is>
          <t>Zone prime, vacance de marché &lt; 5 %</t>
        </is>
      </c>
      <c r="D36" s="44" t="inlineStr">
        <is>
          <t>Bonne localisation, vacance de marché &lt; 10 %</t>
        </is>
      </c>
      <c r="E36" s="45" t="inlineStr">
        <is>
          <t>Vacance de marché de 10 à 20 % ou offre nouvelle importante</t>
        </is>
      </c>
      <c r="F36" s="46" t="inlineStr">
        <is>
          <t>Vacance de marché &gt; 20 % ou loyers en baisse</t>
        </is>
      </c>
      <c r="G36" s="77" t="inlineStr">
        <is>
          <t>IMMO (Ensemble de bureaux et commerces loués, ) : Favorable</t>
        </is>
      </c>
    </row>
    <row r="37" ht="57.75" customHeight="1" s="36">
      <c r="A37" s="76" t="inlineStr">
        <is>
          <t>D4.3 Marché et concurrence</t>
        </is>
      </c>
      <c r="B37" s="77" t="inlineStr">
        <is>
          <t>IND — Industrie</t>
        </is>
      </c>
      <c r="C37" s="42" t="inlineStr">
        <is>
          <t>Produit indispensable, coûts parmi les plus bas du marché</t>
        </is>
      </c>
      <c r="D37" s="44" t="inlineStr">
        <is>
          <t>Position concurrentielle solide</t>
        </is>
      </c>
      <c r="E37" s="45" t="inlineStr">
        <is>
          <t>Concurrence par les importations ou prix volatils</t>
        </is>
      </c>
      <c r="F37" s="46" t="inlineStr">
        <is>
          <t>Surcapacité ou position de coût défavorable</t>
        </is>
      </c>
      <c r="G37" s="77" t="inlineStr">
        <is>
          <t>IND (Usine de verre plat de 600 tonnes/jour) : Vigilance</t>
        </is>
      </c>
    </row>
    <row r="38" ht="57.75" customHeight="1" s="36">
      <c r="A38" s="76" t="inlineStr">
        <is>
          <t>D4.3 Marché et concurrence</t>
        </is>
      </c>
      <c r="B38" s="77" t="inlineStr">
        <is>
          <t>AGR — Agro-industrie</t>
        </is>
      </c>
      <c r="C38" s="42" t="inlineStr">
        <is>
          <t>Demande soutenue, prix stables</t>
        </is>
      </c>
      <c r="D38" s="44" t="inlineStr">
        <is>
          <t>Demande solide, volatilité de prix modérée</t>
        </is>
      </c>
      <c r="E38" s="45" t="inlineStr">
        <is>
          <t>Prix volatils ou dépendance à l'export</t>
        </is>
      </c>
      <c r="F38" s="46" t="inlineStr">
        <is>
          <t>Prix en baisse ou débouchés incertains</t>
        </is>
      </c>
      <c r="G38" s="77" t="inlineStr">
        <is>
          <t>C4A (Unité agro-industrielle de trituration e) : Vigilance
C4B (Unité agro-industrielle — structure rest) : Vigilance
AGR (Unité de trituration d'olives et de cond) : Favorable</t>
        </is>
      </c>
    </row>
    <row r="39" ht="57.75" customHeight="1" s="36">
      <c r="A39" s="76" t="inlineStr">
        <is>
          <t>D4.3 Marché et concurrence</t>
        </is>
      </c>
      <c r="B39" s="77" t="inlineStr">
        <is>
          <t>TOU — Tourisme et hôtellerie</t>
        </is>
      </c>
      <c r="C39" s="42" t="inlineStr">
        <is>
          <t>Destination établie, RevPAR stable sur 5 ans</t>
        </is>
      </c>
      <c r="D39" s="44" t="inlineStr">
        <is>
          <t>Destination établie, saisonnalité marquée</t>
        </is>
      </c>
      <c r="E39" s="45" t="inlineStr">
        <is>
          <t>Offre nouvelle importante ou destination émergente</t>
        </is>
      </c>
      <c r="F39" s="46" t="inlineStr">
        <is>
          <t>Destination en déclin ou suroffre</t>
        </is>
      </c>
      <c r="G39" s="77" t="inlineStr">
        <is>
          <t>C3 (Hôtel 4 étoiles, 220 clés) : Vigilance
TOU (Complexe hôtelier balnéaire de 420 chamb) : Vigilance</t>
        </is>
      </c>
    </row>
    <row r="40" ht="57.75" customHeight="1" s="36">
      <c r="A40" s="76" t="inlineStr">
        <is>
          <t>D4.3 Marché et concurrence</t>
        </is>
      </c>
      <c r="B40" s="77" t="inlineStr">
        <is>
          <t>MIN — Mines et extraction</t>
        </is>
      </c>
      <c r="C40" s="42" t="inlineStr">
        <is>
          <t>Coût de production dans le premier quartile mondial</t>
        </is>
      </c>
      <c r="D40" s="44" t="inlineStr">
        <is>
          <t>Coût de production dans la première moitié</t>
        </is>
      </c>
      <c r="E40" s="45" t="inlineStr">
        <is>
          <t>Coût de production dans le troisième quartile</t>
        </is>
      </c>
      <c r="F40" s="46" t="inlineStr">
        <is>
          <t>Coût de production dans le dernier quartile</t>
        </is>
      </c>
      <c r="G40" s="77" t="inlineStr">
        <is>
          <t>MIN (Mine de cuivre à ciel ouvert et usine de) : Critique</t>
        </is>
      </c>
    </row>
    <row r="41" ht="57.75" customHeight="1" s="36">
      <c r="A41" s="76" t="inlineStr">
        <is>
          <t>D5.2 Performance technique et disponibilité</t>
        </is>
      </c>
      <c r="B41" s="77" t="inlineStr">
        <is>
          <t>ENR — Énergies renouvelables</t>
        </is>
      </c>
      <c r="C41" s="42" t="inlineStr">
        <is>
          <t>Disponibilité ≥ 98 %, productible réel ≥ P50</t>
        </is>
      </c>
      <c r="D41" s="44" t="inlineStr">
        <is>
          <t>Disponibilité ≥ 97 %, productible entre P90 et P50</t>
        </is>
      </c>
      <c r="E41" s="45" t="inlineStr">
        <is>
          <t>Disponibilité &lt; 97 % ou productible proche du P90</t>
        </is>
      </c>
      <c r="F41" s="46" t="inlineStr">
        <is>
          <t>Productible durablement sous le P90</t>
        </is>
      </c>
      <c r="G41" s="77" t="inlineStr">
        <is>
          <t>C1 (Centrale solaire photovoltaïque 80 MWc) : Favorable
C5 (Centrale PV d’autoproduction 12 MWc) : Favorable
ENR (Parc éolien terrestre 140 MW) : Très favorable</t>
        </is>
      </c>
    </row>
    <row r="42" ht="57.75" customHeight="1" s="36">
      <c r="A42" s="76" t="inlineStr">
        <is>
          <t>D5.2 Performance technique et disponibilité</t>
        </is>
      </c>
      <c r="B42" s="77" t="inlineStr">
        <is>
          <t>EAU — Eau et dessalement</t>
        </is>
      </c>
      <c r="C42" s="42" t="inlineStr">
        <is>
          <t>Disponibilité ≥ 98 %, consommation sous la garantie</t>
        </is>
      </c>
      <c r="D42" s="44" t="inlineStr">
        <is>
          <t>Disponibilité conforme au contrat</t>
        </is>
      </c>
      <c r="E42" s="45" t="inlineStr">
        <is>
          <t>Disponibilité sous le contrat, déductions appliquées</t>
        </is>
      </c>
      <c r="F42" s="46" t="inlineStr">
        <is>
          <t>Disponibilité durablement inférieure, déductions lourdes</t>
        </is>
      </c>
      <c r="G42" s="77" t="inlineStr">
        <is>
          <t>C2 (Usine de dessalement 100 000 m³/jour) : Vigilance
EAU (Usine de dessalement couplée à l'irrigat) : Vigilance</t>
        </is>
      </c>
    </row>
    <row r="43" ht="57.75" customHeight="1" s="36">
      <c r="A43" s="76" t="inlineStr">
        <is>
          <t>D5.2 Performance technique et disponibilité</t>
        </is>
      </c>
      <c r="B43" s="77" t="inlineStr">
        <is>
          <t>TEL — Télécom et data centers</t>
        </is>
      </c>
      <c r="C43" s="42" t="inlineStr">
        <is>
          <t>Disponibilité 99,98 %, PUE sous la cible</t>
        </is>
      </c>
      <c r="D43" s="44" t="inlineStr">
        <is>
          <t>Disponibilité conforme aux engagements clients</t>
        </is>
      </c>
      <c r="E43" s="45" t="inlineStr">
        <is>
          <t>Incidents ponctuels, pénalités clients appliquées</t>
        </is>
      </c>
      <c r="F43" s="46" t="inlineStr">
        <is>
          <t>Incidents répétés, clients en résiliation</t>
        </is>
      </c>
      <c r="G43" s="77" t="inlineStr">
        <is>
          <t>TEL (Centre de données Tier III, 24 MW inform) : Favorable</t>
        </is>
      </c>
    </row>
    <row r="44" ht="57.75" customHeight="1" s="36">
      <c r="A44" s="76" t="inlineStr">
        <is>
          <t>D5.2 Performance technique et disponibilité</t>
        </is>
      </c>
      <c r="B44" s="77" t="inlineStr">
        <is>
          <t>TRA — Transport</t>
        </is>
      </c>
      <c r="C44" s="42" t="inlineStr">
        <is>
          <t>Disponibilité de la voie ≥ 99 %, aucune pénalité</t>
        </is>
      </c>
      <c r="D44" s="44" t="inlineStr">
        <is>
          <t>Disponibilité conforme, pénalités marginales</t>
        </is>
      </c>
      <c r="E44" s="45" t="inlineStr">
        <is>
          <t>Pénalités de disponibilité récurrentes</t>
        </is>
      </c>
      <c r="F44" s="46" t="inlineStr">
        <is>
          <t>Indisponibilités graves ou mise en demeure</t>
        </is>
      </c>
      <c r="G44" s="77" t="inlineStr">
        <is>
          <t>TRA (Autoroute à péage de 95 km) : Favorable</t>
        </is>
      </c>
    </row>
    <row r="45" ht="57.75" customHeight="1" s="36">
      <c r="A45" s="76" t="inlineStr">
        <is>
          <t>D5.2 Performance technique et disponibilité</t>
        </is>
      </c>
      <c r="B45" s="77" t="inlineStr">
        <is>
          <t>POR — Ports et logistique</t>
        </is>
      </c>
      <c r="C45" s="42" t="inlineStr">
        <is>
          <t>Productivité des quais au-dessus des engagements</t>
        </is>
      </c>
      <c r="D45" s="44" t="inlineStr">
        <is>
          <t>Productivité conforme aux engagements</t>
        </is>
      </c>
      <c r="E45" s="45" t="inlineStr">
        <is>
          <t>Productivité inférieure, congestion ponctuelle</t>
        </is>
      </c>
      <c r="F45" s="46" t="inlineStr">
        <is>
          <t>Productivité durablement insuffisante</t>
        </is>
      </c>
      <c r="G45" s="77" t="inlineStr">
        <is>
          <t>POR (Terminal à conteneurs de 1,2 million d'E) : Favorable</t>
        </is>
      </c>
    </row>
    <row r="46" ht="57.75" customHeight="1" s="36">
      <c r="A46" s="76" t="inlineStr">
        <is>
          <t>D5.2 Performance technique et disponibilité</t>
        </is>
      </c>
      <c r="B46" s="77" t="inlineStr">
        <is>
          <t>SAN — Santé</t>
        </is>
      </c>
      <c r="C46" s="42" t="inlineStr">
        <is>
          <t>Indicateurs de performance au-dessus du contrat</t>
        </is>
      </c>
      <c r="D46" s="44" t="inlineStr">
        <is>
          <t>Indicateurs conformes, pénalités marginales</t>
        </is>
      </c>
      <c r="E46" s="45" t="inlineStr">
        <is>
          <t>Pénalités de performance récurrentes</t>
        </is>
      </c>
      <c r="F46" s="46" t="inlineStr">
        <is>
          <t>Performance insuffisante, risque de résiliation</t>
        </is>
      </c>
      <c r="G46" s="77" t="inlineStr">
        <is>
          <t>SAN (Centre hospitalier de 600 lits en parten) : Favorable</t>
        </is>
      </c>
    </row>
    <row r="47" ht="57.75" customHeight="1" s="36">
      <c r="A47" s="76" t="inlineStr">
        <is>
          <t>D5.2 Performance technique et disponibilité</t>
        </is>
      </c>
      <c r="B47" s="77" t="inlineStr">
        <is>
          <t>ETH — Thermique et gaz</t>
        </is>
      </c>
      <c r="C47" s="42" t="inlineStr">
        <is>
          <t>Disponibilité ≥ 95 %, rendement garanti atteint</t>
        </is>
      </c>
      <c r="D47" s="44" t="inlineStr">
        <is>
          <t>Disponibilité ≥ 92 %, rendement proche de la garantie</t>
        </is>
      </c>
      <c r="E47" s="45" t="inlineStr">
        <is>
          <t>Disponibilité &lt; 92 % ou rendement dégradé</t>
        </is>
      </c>
      <c r="F47" s="46" t="inlineStr">
        <is>
          <t>Pannes répétées, pénalités de capacité lourdes</t>
        </is>
      </c>
      <c r="G47" s="77" t="inlineStr">
        <is>
          <t>ETH (Centrale à cycle combiné au gaz de 450 M) : Favorable</t>
        </is>
      </c>
    </row>
    <row r="48" ht="57.75" customHeight="1" s="36">
      <c r="A48" s="76" t="inlineStr">
        <is>
          <t>D5.2 Performance technique et disponibilité</t>
        </is>
      </c>
      <c r="B48" s="77" t="inlineStr">
        <is>
          <t>IMMO-REND — Immobilier de rendement</t>
        </is>
      </c>
      <c r="C48" s="42" t="inlineStr">
        <is>
          <t>Taux d'occupation ≥ 95 %, entretien à jour</t>
        </is>
      </c>
      <c r="D48" s="44" t="inlineStr">
        <is>
          <t>Taux d'occupation ≥ 90 %</t>
        </is>
      </c>
      <c r="E48" s="45" t="inlineStr">
        <is>
          <t>Taux d'occupation de 80 à 90 %</t>
        </is>
      </c>
      <c r="F48" s="46" t="inlineStr">
        <is>
          <t>Taux d'occupation &lt; 80 %</t>
        </is>
      </c>
      <c r="G48" s="77" t="inlineStr">
        <is>
          <t>IMMO (Ensemble de bureaux et commerces loués, ) : Favorable</t>
        </is>
      </c>
    </row>
    <row r="49" ht="57.75" customHeight="1" s="36">
      <c r="A49" s="76" t="inlineStr">
        <is>
          <t>D5.2 Performance technique et disponibilité</t>
        </is>
      </c>
      <c r="B49" s="77" t="inlineStr">
        <is>
          <t>IND — Industrie</t>
        </is>
      </c>
      <c r="C49" s="42" t="inlineStr">
        <is>
          <t>Taux d'utilisation ≥ 90 %, rendement matière garanti atteint</t>
        </is>
      </c>
      <c r="D49" s="44" t="inlineStr">
        <is>
          <t>Taux d'utilisation de 80 à 90 %</t>
        </is>
      </c>
      <c r="E49" s="45" t="inlineStr">
        <is>
          <t>Taux d'utilisation de 65 à 80 % ou montée en cadence lente</t>
        </is>
      </c>
      <c r="F49" s="46" t="inlineStr">
        <is>
          <t>Taux d'utilisation &lt; 65 %</t>
        </is>
      </c>
      <c r="G49" s="77" t="inlineStr">
        <is>
          <t>IND (Usine de verre plat de 600 tonnes/jour) : Favorable</t>
        </is>
      </c>
    </row>
    <row r="50" ht="57.75" customHeight="1" s="36">
      <c r="A50" s="76" t="inlineStr">
        <is>
          <t>D5.2 Performance technique et disponibilité</t>
        </is>
      </c>
      <c r="B50" s="77" t="inlineStr">
        <is>
          <t>AGR — Agro-industrie</t>
        </is>
      </c>
      <c r="C50" s="42" t="inlineStr">
        <is>
          <t>Rendements ≥ référence sur 3 campagnes</t>
        </is>
      </c>
      <c r="D50" s="44" t="inlineStr">
        <is>
          <t>Rendements proches de la référence</t>
        </is>
      </c>
      <c r="E50" s="45" t="inlineStr">
        <is>
          <t>Rendements irréguliers selon les campagnes</t>
        </is>
      </c>
      <c r="F50" s="46" t="inlineStr">
        <is>
          <t>Rendements durablement sous la référence</t>
        </is>
      </c>
      <c r="G50" s="77" t="inlineStr">
        <is>
          <t>C4A (Unité agro-industrielle de trituration e) : Favorable
C4B (Unité agro-industrielle — structure rest) : Favorable
AGR (Unité de trituration d'olives et de cond) : Favorable</t>
        </is>
      </c>
    </row>
    <row r="51" ht="57.75" customHeight="1" s="36">
      <c r="A51" s="76" t="inlineStr">
        <is>
          <t>D5.2 Performance technique et disponibilité</t>
        </is>
      </c>
      <c r="B51" s="77" t="inlineStr">
        <is>
          <t>TOU — Tourisme et hôtellerie</t>
        </is>
      </c>
      <c r="C51" s="42" t="inlineStr">
        <is>
          <t>Occupation et prix au-dessus du plan d'affaires</t>
        </is>
      </c>
      <c r="D51" s="44" t="inlineStr">
        <is>
          <t>Occupation et prix conformes au plan</t>
        </is>
      </c>
      <c r="E51" s="45" t="inlineStr">
        <is>
          <t>Occupation ou prix sous le plan de 10 à 20 %</t>
        </is>
      </c>
      <c r="F51" s="46" t="inlineStr">
        <is>
          <t>Occupation ou prix sous le plan de plus de 20 %</t>
        </is>
      </c>
      <c r="G51" s="77" t="inlineStr">
        <is>
          <t>C3 (Hôtel 4 étoiles, 220 clés) : Favorable
TOU (Complexe hôtelier balnéaire de 420 chamb) : Vigilance</t>
        </is>
      </c>
    </row>
    <row r="52" ht="57.75" customHeight="1" s="36">
      <c r="A52" s="76" t="inlineStr">
        <is>
          <t>D5.2 Performance technique et disponibilité</t>
        </is>
      </c>
      <c r="B52" s="77" t="inlineStr">
        <is>
          <t>MIN — Mines et extraction</t>
        </is>
      </c>
      <c r="C52" s="42" t="inlineStr">
        <is>
          <t>Teneurs et récupération conformes au plan minier</t>
        </is>
      </c>
      <c r="D52" s="44" t="inlineStr">
        <is>
          <t>Écarts mineurs de teneur ou de récupération</t>
        </is>
      </c>
      <c r="E52" s="45" t="inlineStr">
        <is>
          <t>Teneur ou récupération inférieure au plan</t>
        </is>
      </c>
      <c r="F52" s="46" t="inlineStr">
        <is>
          <t>Écarts majeurs remettant en cause le plan minier</t>
        </is>
      </c>
      <c r="G52" s="77" t="inlineStr">
        <is>
          <t>MIN (Mine de cuivre à ciel ouvert et usine de) : Favorable</t>
        </is>
      </c>
    </row>
  </sheetData>
  <autoFilter ref="A4:G52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J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5" min="1" max="1"/>
    <col width="44" customWidth="1" style="35" min="2" max="2"/>
    <col width="14" customWidth="1" style="35" min="3" max="3"/>
    <col width="16" customWidth="1" style="35" min="4" max="5"/>
    <col width="50" customWidth="1" style="35" min="6" max="6"/>
    <col width="3" customWidth="1" style="35" min="7" max="7"/>
    <col width="34" customWidth="1" style="35" min="8" max="8"/>
    <col width="14" customWidth="1" style="35" min="9" max="10"/>
  </cols>
  <sheetData>
    <row r="1" ht="19.7" customHeight="1" s="36">
      <c r="A1" s="80" t="inlineStr">
        <is>
          <t>Routage et seuils DSCR</t>
        </is>
      </c>
    </row>
    <row r="2" ht="15" customHeight="1" s="36">
      <c r="A2" s="79" t="inlineStr">
        <is>
          <t>Seuil applicable = base du régime + écart sectoriel Δ + majoration de phase. Calculateur : changez les cellules bleues.</t>
        </is>
      </c>
    </row>
    <row r="4" ht="15" customHeight="1" s="36">
      <c r="A4" s="81" t="inlineStr">
        <is>
          <t>Régime</t>
        </is>
      </c>
      <c r="B4" s="81" t="inlineStr">
        <is>
          <t>Libellé</t>
        </is>
      </c>
      <c r="C4" s="81" t="inlineStr">
        <is>
          <t>Critique &lt;</t>
        </is>
      </c>
      <c r="D4" s="81" t="inlineStr">
        <is>
          <t>Vigilance &lt;</t>
        </is>
      </c>
      <c r="E4" s="81" t="inlineStr">
        <is>
          <t>Favorable &lt;</t>
        </is>
      </c>
      <c r="F4" s="81" t="inlineStr">
        <is>
          <t>Exemple</t>
        </is>
      </c>
      <c r="H4" s="39" t="inlineStr">
        <is>
          <t>Calculateur</t>
        </is>
      </c>
      <c r="I4" s="59" t="n"/>
      <c r="J4" s="60" t="n"/>
    </row>
    <row r="5" ht="15" customHeight="1" s="36">
      <c r="A5" s="76" t="inlineStr">
        <is>
          <t>R1</t>
        </is>
      </c>
      <c r="B5" s="77" t="inlineStr">
        <is>
          <t>Contrat ferme à quantité garantie (take-or-pay)</t>
        </is>
      </c>
      <c r="C5" s="61" t="n">
        <v>1.1</v>
      </c>
      <c r="D5" s="61" t="n">
        <v>1.2</v>
      </c>
      <c r="E5" s="61" t="n">
        <v>1.3</v>
      </c>
      <c r="F5" s="77" t="inlineStr">
        <is>
          <t>Centrale vendant toute sa production à un acheteur public (take-or-pay).</t>
        </is>
      </c>
      <c r="H5" s="76" t="inlineStr">
        <is>
          <t>Régime</t>
        </is>
      </c>
      <c r="I5" s="62" t="inlineStr">
        <is>
          <t>R4</t>
        </is>
      </c>
    </row>
    <row r="6" ht="15" customHeight="1" s="36">
      <c r="A6" s="76" t="inlineStr">
        <is>
          <t>R2</t>
        </is>
      </c>
      <c r="B6" s="77" t="inlineStr">
        <is>
          <t>Paiement à la disponibilité</t>
        </is>
      </c>
      <c r="C6" s="61" t="n">
        <v>1.12</v>
      </c>
      <c r="D6" s="61" t="n">
        <v>1.22</v>
      </c>
      <c r="E6" s="61" t="n">
        <v>1.32</v>
      </c>
      <c r="F6" s="77" t="inlineStr">
        <is>
          <t>Hôpital ou dessalement payé à la disponibilité.</t>
        </is>
      </c>
      <c r="H6" s="76" t="inlineStr">
        <is>
          <t>Secteur</t>
        </is>
      </c>
      <c r="I6" s="62" t="inlineStr">
        <is>
          <t>TOU</t>
        </is>
      </c>
    </row>
    <row r="7" ht="15" customHeight="1" s="36">
      <c r="A7" s="76" t="inlineStr">
        <is>
          <t>R3</t>
        </is>
      </c>
      <c r="B7" s="77" t="inlineStr">
        <is>
          <t>Contrat à risque de volume</t>
        </is>
      </c>
      <c r="C7" s="61" t="n">
        <v>1.2</v>
      </c>
      <c r="D7" s="61" t="n">
        <v>1.35</v>
      </c>
      <c r="E7" s="61" t="n">
        <v>1.5</v>
      </c>
      <c r="F7" s="77" t="inlineStr">
        <is>
          <t>Terminal portuaire, centre de données : volume en partie garanti.</t>
        </is>
      </c>
      <c r="H7" s="76" t="inlineStr">
        <is>
          <t>Phase</t>
        </is>
      </c>
      <c r="I7" s="62" t="inlineStr">
        <is>
          <t>P2</t>
        </is>
      </c>
    </row>
    <row r="8" ht="15" customHeight="1" s="36">
      <c r="A8" s="76" t="inlineStr">
        <is>
          <t>R4</t>
        </is>
      </c>
      <c r="B8" s="77" t="inlineStr">
        <is>
          <t>Exposition au marché</t>
        </is>
      </c>
      <c r="C8" s="61" t="n">
        <v>1.35</v>
      </c>
      <c r="D8" s="61" t="n">
        <v>1.55</v>
      </c>
      <c r="E8" s="61" t="n">
        <v>1.8</v>
      </c>
      <c r="F8" s="77" t="inlineStr">
        <is>
          <t>Autoroute à péage, hôtel, mine : recettes au prix du marché.</t>
        </is>
      </c>
    </row>
    <row r="9" ht="15" customHeight="1" s="36">
      <c r="H9" s="76" t="inlineStr">
        <is>
          <t>Seuil Critique &lt;</t>
        </is>
      </c>
      <c r="I9" s="63">
        <f>INDEX($C$5:$C$8,MATCH($I$5,$A$5:$A$8,0))+INDEX($C$12:$C$23,MATCH($I$6,$A$12:$A$23,0))+INDEX($C$27:$C$29,MATCH($I$7,$A$27:$A$29,0))</f>
        <v/>
      </c>
    </row>
    <row r="10" ht="15" customHeight="1" s="36">
      <c r="H10" s="76" t="inlineStr">
        <is>
          <t>Seuil Vigilance &lt;</t>
        </is>
      </c>
      <c r="I10" s="63">
        <f>INDEX($D$5:$D$8,MATCH($I$5,$A$5:$A$8,0))+INDEX($C$12:$C$23,MATCH($I$6,$A$12:$A$23,0))+INDEX($C$27:$C$29,MATCH($I$7,$A$27:$A$29,0))</f>
        <v/>
      </c>
    </row>
    <row r="11" ht="15" customHeight="1" s="36">
      <c r="A11" s="81" t="inlineStr">
        <is>
          <t>Secteur</t>
        </is>
      </c>
      <c r="B11" s="81" t="inlineStr">
        <is>
          <t>Libellé</t>
        </is>
      </c>
      <c r="C11" s="81" t="inlineStr">
        <is>
          <t>Δ</t>
        </is>
      </c>
      <c r="H11" s="76" t="inlineStr">
        <is>
          <t>Seuil Favorable &lt;</t>
        </is>
      </c>
      <c r="I11" s="63">
        <f>INDEX($E$5:$E$8,MATCH($I$5,$A$5:$A$8,0))+INDEX($C$12:$C$23,MATCH($I$6,$A$12:$A$23,0))+INDEX($C$27:$C$29,MATCH($I$7,$A$27:$A$29,0))</f>
        <v/>
      </c>
    </row>
    <row r="12" ht="15" customHeight="1" s="36">
      <c r="A12" s="76" t="inlineStr">
        <is>
          <t>ENR</t>
        </is>
      </c>
      <c r="B12" s="77" t="inlineStr">
        <is>
          <t>Énergies renouvelables</t>
        </is>
      </c>
      <c r="C12" s="64" t="n">
        <v>-0.05</v>
      </c>
    </row>
    <row r="13" ht="15" customHeight="1" s="36">
      <c r="A13" s="76" t="inlineStr">
        <is>
          <t>EAU</t>
        </is>
      </c>
      <c r="B13" s="77" t="inlineStr">
        <is>
          <t>Eau et dessalement</t>
        </is>
      </c>
      <c r="C13" s="64" t="n">
        <v>0</v>
      </c>
      <c r="H13" s="76" t="inlineStr">
        <is>
          <t>DSCR minimum du dossier</t>
        </is>
      </c>
      <c r="I13" s="65" t="n">
        <v>1.059</v>
      </c>
    </row>
    <row r="14" ht="15" customHeight="1" s="36">
      <c r="A14" s="76" t="inlineStr">
        <is>
          <t>TEL</t>
        </is>
      </c>
      <c r="B14" s="77" t="inlineStr">
        <is>
          <t>Télécom et data centers</t>
        </is>
      </c>
      <c r="C14" s="64" t="n">
        <v>0</v>
      </c>
      <c r="H14" s="76" t="inlineStr">
        <is>
          <t>Note N1</t>
        </is>
      </c>
      <c r="I14" s="43">
        <f>IF(I13&lt;I9,Paramètres!$B$8,IF(I13&lt;I10,Paramètres!$B$7,IF(I13&lt;I11,Paramètres!$B$6,Paramètres!$B$5)))</f>
        <v/>
      </c>
    </row>
    <row r="15" ht="15" customHeight="1" s="36">
      <c r="A15" s="76" t="inlineStr">
        <is>
          <t>TRA</t>
        </is>
      </c>
      <c r="B15" s="77" t="inlineStr">
        <is>
          <t>Transport</t>
        </is>
      </c>
      <c r="C15" s="64" t="n">
        <v>0.05</v>
      </c>
      <c r="H15" s="76" t="inlineStr">
        <is>
          <t>Plafond C2 (DSCR sous le seuil critique)</t>
        </is>
      </c>
      <c r="I15" s="43">
        <f>IF(I13&lt;I9,"Actif : note ≤ 5","Non")</f>
        <v/>
      </c>
    </row>
    <row r="16" ht="15" customHeight="1" s="36">
      <c r="A16" s="76" t="inlineStr">
        <is>
          <t>POR</t>
        </is>
      </c>
      <c r="B16" s="77" t="inlineStr">
        <is>
          <t>Ports et logistique</t>
        </is>
      </c>
      <c r="C16" s="64" t="n">
        <v>0.05</v>
      </c>
      <c r="H16" s="77" t="inlineStr">
        <is>
          <t>Exemple pré-rempli : hôtel du cas C3 (R4, tourisme, montée en charge) : seuil critique 1,35 + 0,20 + 0,05 = 1,60 ; son DSCR 1,059 donne N1 = 20 et active C2.</t>
        </is>
      </c>
      <c r="I16" s="66" t="n"/>
      <c r="J16" s="67" t="n"/>
    </row>
    <row r="17" ht="15" customHeight="1" s="36">
      <c r="A17" s="76" t="inlineStr">
        <is>
          <t>SAN</t>
        </is>
      </c>
      <c r="B17" s="77" t="inlineStr">
        <is>
          <t>Santé</t>
        </is>
      </c>
      <c r="C17" s="64" t="n">
        <v>0.05</v>
      </c>
      <c r="H17" s="68" t="n"/>
      <c r="J17" s="69" t="n"/>
    </row>
    <row r="18" ht="15" customHeight="1" s="36">
      <c r="A18" s="76" t="inlineStr">
        <is>
          <t>ETH</t>
        </is>
      </c>
      <c r="B18" s="77" t="inlineStr">
        <is>
          <t>Thermique et gaz</t>
        </is>
      </c>
      <c r="C18" s="64" t="n">
        <v>0.05</v>
      </c>
      <c r="H18" s="68" t="n"/>
      <c r="J18" s="69" t="n"/>
    </row>
    <row r="19" ht="15" customHeight="1" s="36">
      <c r="A19" s="76" t="inlineStr">
        <is>
          <t>IMMO-REND</t>
        </is>
      </c>
      <c r="B19" s="77" t="inlineStr">
        <is>
          <t>Immobilier de rendement</t>
        </is>
      </c>
      <c r="C19" s="64" t="n">
        <v>0.05</v>
      </c>
      <c r="H19" s="70" t="n"/>
      <c r="I19" s="71" t="n"/>
      <c r="J19" s="72" t="n"/>
    </row>
    <row r="20" ht="15" customHeight="1" s="36">
      <c r="A20" s="76" t="inlineStr">
        <is>
          <t>IND</t>
        </is>
      </c>
      <c r="B20" s="77" t="inlineStr">
        <is>
          <t>Industrie</t>
        </is>
      </c>
      <c r="C20" s="64" t="n">
        <v>0.1</v>
      </c>
    </row>
    <row r="21" ht="15" customHeight="1" s="36">
      <c r="A21" s="76" t="inlineStr">
        <is>
          <t>AGR</t>
        </is>
      </c>
      <c r="B21" s="77" t="inlineStr">
        <is>
          <t>Agro-industrie</t>
        </is>
      </c>
      <c r="C21" s="64" t="n">
        <v>0.15</v>
      </c>
    </row>
    <row r="22" ht="15" customHeight="1" s="36">
      <c r="A22" s="76" t="inlineStr">
        <is>
          <t>TOU</t>
        </is>
      </c>
      <c r="B22" s="77" t="inlineStr">
        <is>
          <t>Tourisme et hôtellerie</t>
        </is>
      </c>
      <c r="C22" s="64" t="n">
        <v>0.2</v>
      </c>
    </row>
    <row r="23" ht="15" customHeight="1" s="36">
      <c r="A23" s="76" t="inlineStr">
        <is>
          <t>MIN</t>
        </is>
      </c>
      <c r="B23" s="77" t="inlineStr">
        <is>
          <t>Mines et extraction</t>
        </is>
      </c>
      <c r="C23" s="64" t="n">
        <v>0.25</v>
      </c>
    </row>
    <row r="26" ht="15" customHeight="1" s="36">
      <c r="A26" s="81" t="inlineStr">
        <is>
          <t>Phase</t>
        </is>
      </c>
      <c r="B26" s="81" t="inlineStr">
        <is>
          <t>Libellé</t>
        </is>
      </c>
      <c r="C26" s="81" t="inlineStr">
        <is>
          <t>Majoration</t>
        </is>
      </c>
    </row>
    <row r="27" ht="15" customHeight="1" s="36">
      <c r="A27" s="76" t="inlineStr">
        <is>
          <t>P1</t>
        </is>
      </c>
      <c r="B27" s="77" t="inlineStr">
        <is>
          <t>Construction</t>
        </is>
      </c>
      <c r="C27" s="61" t="n">
        <v>0</v>
      </c>
    </row>
    <row r="28" ht="15" customHeight="1" s="36">
      <c r="A28" s="76" t="inlineStr">
        <is>
          <t>P2</t>
        </is>
      </c>
      <c r="B28" s="77" t="inlineStr">
        <is>
          <t>Montée en charge</t>
        </is>
      </c>
      <c r="C28" s="61" t="n">
        <v>0.05</v>
      </c>
    </row>
    <row r="29" ht="15" customHeight="1" s="36">
      <c r="A29" s="76" t="inlineStr">
        <is>
          <t>P3</t>
        </is>
      </c>
      <c r="B29" s="77" t="inlineStr">
        <is>
          <t>Exploitation</t>
        </is>
      </c>
      <c r="C29" s="61" t="n">
        <v>0</v>
      </c>
    </row>
    <row r="32" ht="15" customHeight="1" s="36">
      <c r="A32" s="81" t="inlineStr">
        <is>
          <t>Domaine</t>
        </is>
      </c>
      <c r="B32" s="81" t="inlineStr">
        <is>
          <t>Libellé</t>
        </is>
      </c>
      <c r="C32" s="81" t="inlineStr">
        <is>
          <t>P1 construction</t>
        </is>
      </c>
      <c r="D32" s="81" t="inlineStr">
        <is>
          <t>P2 montée en charge</t>
        </is>
      </c>
      <c r="E32" s="81" t="inlineStr">
        <is>
          <t>P3 exploitation</t>
        </is>
      </c>
    </row>
    <row r="33" ht="15" customHeight="1" s="36">
      <c r="A33" s="76" t="inlineStr">
        <is>
          <t>D1</t>
        </is>
      </c>
      <c r="B33" s="77" t="inlineStr">
        <is>
          <t>Sponsors et actionnariat</t>
        </is>
      </c>
      <c r="C33" s="73" t="n">
        <v>0.1</v>
      </c>
      <c r="D33" s="73" t="n">
        <v>0.08</v>
      </c>
      <c r="E33" s="73" t="n">
        <v>0.05</v>
      </c>
    </row>
    <row r="34" ht="15" customHeight="1" s="36">
      <c r="A34" s="76" t="inlineStr">
        <is>
          <t>D2</t>
        </is>
      </c>
      <c r="B34" s="77" t="inlineStr">
        <is>
          <t>Projet, site, technologie</t>
        </is>
      </c>
      <c r="C34" s="73" t="n">
        <v>0.1</v>
      </c>
      <c r="D34" s="73" t="n">
        <v>0.07000000000000001</v>
      </c>
      <c r="E34" s="73" t="n">
        <v>0.05</v>
      </c>
    </row>
    <row r="35" ht="15" customHeight="1" s="36">
      <c r="A35" s="76" t="inlineStr">
        <is>
          <t>D3</t>
        </is>
      </c>
      <c r="B35" s="77" t="inlineStr">
        <is>
          <t>Construction et achèvement</t>
        </is>
      </c>
      <c r="C35" s="73" t="n">
        <v>0.2</v>
      </c>
      <c r="D35" s="73" t="n">
        <v>0.08</v>
      </c>
      <c r="E35" s="73" t="n">
        <v>0</v>
      </c>
    </row>
    <row r="36" ht="15" customHeight="1" s="36">
      <c r="A36" s="76" t="inlineStr">
        <is>
          <t>D4</t>
        </is>
      </c>
      <c r="B36" s="77" t="inlineStr">
        <is>
          <t>Mécanisme des recettes</t>
        </is>
      </c>
      <c r="C36" s="73" t="n">
        <v>0.05</v>
      </c>
      <c r="D36" s="73" t="n">
        <v>0.12</v>
      </c>
      <c r="E36" s="73" t="n">
        <v>0.15</v>
      </c>
    </row>
    <row r="37" ht="15" customHeight="1" s="36">
      <c r="A37" s="76" t="inlineStr">
        <is>
          <t>D5</t>
        </is>
      </c>
      <c r="B37" s="77" t="inlineStr">
        <is>
          <t>Exploitation et maintenance</t>
        </is>
      </c>
      <c r="C37" s="73" t="n">
        <v>0.05</v>
      </c>
      <c r="D37" s="73" t="n">
        <v>0.12</v>
      </c>
      <c r="E37" s="73" t="n">
        <v>0.15</v>
      </c>
    </row>
    <row r="38" ht="15" customHeight="1" s="36">
      <c r="A38" s="76" t="inlineStr">
        <is>
          <t>D6</t>
        </is>
      </c>
      <c r="B38" s="77" t="inlineStr">
        <is>
          <t>Contreparties et consortium</t>
        </is>
      </c>
      <c r="C38" s="73" t="n">
        <v>0.1</v>
      </c>
      <c r="D38" s="73" t="n">
        <v>0.12</v>
      </c>
      <c r="E38" s="73" t="n">
        <v>0.15</v>
      </c>
    </row>
    <row r="39" ht="15" customHeight="1" s="36">
      <c r="A39" s="76" t="inlineStr">
        <is>
          <t>D7</t>
        </is>
      </c>
      <c r="B39" s="77" t="inlineStr">
        <is>
          <t>Finance et trésorerie (noyau)</t>
        </is>
      </c>
      <c r="C39" s="73" t="n">
        <v>0.25</v>
      </c>
      <c r="D39" s="73" t="n">
        <v>0.28</v>
      </c>
      <c r="E39" s="73" t="n">
        <v>0.3</v>
      </c>
    </row>
    <row r="40" ht="15" customHeight="1" s="36">
      <c r="A40" s="76" t="inlineStr">
        <is>
          <t>D8</t>
        </is>
      </c>
      <c r="B40" s="77" t="inlineStr">
        <is>
          <t>Juridique, sûretés, continuité</t>
        </is>
      </c>
      <c r="C40" s="73" t="n">
        <v>0.1</v>
      </c>
      <c r="D40" s="73" t="n">
        <v>0.08</v>
      </c>
      <c r="E40" s="73" t="n">
        <v>0.1</v>
      </c>
    </row>
    <row r="41" ht="15" customHeight="1" s="36">
      <c r="A41" s="76" t="inlineStr">
        <is>
          <t>D9</t>
        </is>
      </c>
      <c r="B41" s="77" t="inlineStr">
        <is>
          <t>ESG et climat résiduel</t>
        </is>
      </c>
      <c r="C41" s="73" t="n">
        <v>0.05</v>
      </c>
      <c r="D41" s="73" t="n">
        <v>0.05</v>
      </c>
      <c r="E41" s="73" t="n">
        <v>0.05</v>
      </c>
    </row>
    <row r="42" ht="15" customHeight="1" s="36">
      <c r="B42" s="76" t="inlineStr">
        <is>
          <t>Total (doit faire 100 %)</t>
        </is>
      </c>
      <c r="C42" s="74">
        <f>SUM(C33:C41)</f>
        <v/>
      </c>
      <c r="D42" s="74">
        <f>SUM(D33:D41)</f>
        <v/>
      </c>
      <c r="E42" s="74">
        <f>SUM(E33:E41)</f>
        <v/>
      </c>
    </row>
  </sheetData>
  <mergeCells count="2">
    <mergeCell ref="H16:J19"/>
    <mergeCell ref="H4:J4"/>
  </mergeCells>
  <dataValidations count="3">
    <dataValidation sqref="I5" showDropDown="0" showInputMessage="0" showErrorMessage="0" allowBlank="0" type="list" errorStyle="stop" operator="between">
      <formula1>$A$5:$A$8</formula1>
      <formula2>0</formula2>
    </dataValidation>
    <dataValidation sqref="I6" showDropDown="0" showInputMessage="0" showErrorMessage="0" allowBlank="0" type="list" errorStyle="stop" operator="between">
      <formula1>$A$12:$A$23</formula1>
      <formula2>0</formula2>
    </dataValidation>
    <dataValidation sqref="I7" showDropDown="0" showInputMessage="0" showErrorMessage="0" allowBlank="0" type="list" errorStyle="stop" operator="between">
      <formula1>$A$27:$A$29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8" customWidth="1" style="35" min="1" max="1"/>
    <col width="60" customWidth="1" style="35" min="2" max="2"/>
    <col width="12" customWidth="1" style="35" min="3" max="3"/>
    <col width="70" customWidth="1" style="35" min="4" max="4"/>
  </cols>
  <sheetData>
    <row r="1" ht="19.7" customHeight="1" s="36">
      <c r="A1" s="80" t="inlineStr">
        <is>
          <t>Plafonds C1 à C17 — déclenchés par les données</t>
        </is>
      </c>
    </row>
    <row r="2" ht="15" customHeight="1" s="36">
      <c r="A2" s="79" t="inlineStr">
        <is>
          <t>La note approuvée ne peut dépasser le plafond actif le plus bas. Le chargé d'affaires ne les choisit pas : il saisit les données, l'outil les évalue.</t>
        </is>
      </c>
    </row>
    <row r="4" ht="15" customHeight="1" s="36">
      <c r="A4" s="81" t="inlineStr">
        <is>
          <t>Code</t>
        </is>
      </c>
      <c r="B4" s="81" t="inlineStr">
        <is>
          <t>Fait générateur</t>
        </is>
      </c>
      <c r="C4" s="81" t="inlineStr">
        <is>
          <t>Note maximale</t>
        </is>
      </c>
      <c r="D4" s="81" t="inlineStr">
        <is>
          <t>Exemple (cas d'étude fictifs)</t>
        </is>
      </c>
    </row>
    <row r="5" ht="31.5" customHeight="1" s="36">
      <c r="A5" s="76" t="inlineStr">
        <is>
          <t>C1</t>
        </is>
      </c>
      <c r="B5" s="77" t="inlineStr">
        <is>
          <t>DSCR minimum de base inférieur à 1,05x sur une échéance</t>
        </is>
      </c>
      <c r="C5" s="78" t="n">
        <v>3</v>
      </c>
      <c r="D5" s="77" t="inlineStr">
        <is>
          <t>Hôtel dont le CFADS de basse saison est négatif : DSCR −0,19 (cas TOU).</t>
        </is>
      </c>
    </row>
    <row r="6" ht="31.5" customHeight="1" s="36">
      <c r="A6" s="76" t="inlineStr">
        <is>
          <t>C2</t>
        </is>
      </c>
      <c r="B6" s="77" t="inlineStr">
        <is>
          <t>DSCR minimum de base sous le seuil critique du couple régime × secteur</t>
        </is>
      </c>
      <c r="C6" s="78" t="n">
        <v>5</v>
      </c>
      <c r="D6" s="77" t="inlineStr">
        <is>
          <t>Autoroute R4 : DSCR minimum 1,367 sous le seuil de 1,40 (cas TRA).</t>
        </is>
      </c>
    </row>
    <row r="7" ht="31.5" customHeight="1" s="36">
      <c r="A7" s="76" t="inlineStr">
        <is>
          <t>C3</t>
        </is>
      </c>
      <c r="B7" s="77" t="inlineStr">
        <is>
          <t>DSCR minimum sous scénario défavorable inférieur à 1,00x</t>
        </is>
      </c>
      <c r="C7" s="78" t="n">
        <v>4</v>
      </c>
      <c r="D7" s="77" t="inlineStr">
        <is>
          <t>Centre de données : départ d'un client de 4 MW, DSCR stressé 0,987 (cas TEL).</t>
        </is>
      </c>
    </row>
    <row r="8" ht="31.5" customHeight="1" s="36">
      <c r="A8" s="76" t="inlineStr">
        <is>
          <t>C4</t>
        </is>
      </c>
      <c r="B8" s="77" t="inlineStr">
        <is>
          <t>LLCR inférieur à 1,10x</t>
        </is>
      </c>
      <c r="C8" s="78" t="n">
        <v>4</v>
      </c>
      <c r="D8" s="77" t="inlineStr">
        <is>
          <t>Centrale à gaz : LLCR 1,08 (cas ETH).</t>
        </is>
      </c>
    </row>
    <row r="9" ht="31.5" customHeight="1" s="36">
      <c r="A9" s="76" t="inlineStr">
        <is>
          <t>C5</t>
        </is>
      </c>
      <c r="B9" s="77" t="inlineStr">
        <is>
          <t>Contrat de revenus expirant avant la dernière échéance de dette, sans solution documentée</t>
        </is>
      </c>
      <c r="C9" s="78" t="n">
        <v>5</v>
      </c>
      <c r="D9" s="77" t="inlineStr">
        <is>
          <t>Contrat d'enlèvement de 8 ans pour une dette de 12 ans, sans solution (cas IND).</t>
        </is>
      </c>
    </row>
    <row r="10" ht="31.5" customHeight="1" s="36">
      <c r="A10" s="76" t="inlineStr">
        <is>
          <t>C6</t>
        </is>
      </c>
      <c r="B10" s="77" t="inlineStr">
        <is>
          <t>Exposition nette en devises non couverte supérieure à 25 % du service de dette annuel</t>
        </is>
      </c>
      <c r="C10" s="78" t="n">
        <v>5</v>
      </c>
      <c r="D10" s="77" t="inlineStr">
        <is>
          <t>Dette en euros non couverte : 30 % du service annuel (cas IND).</t>
        </is>
      </c>
    </row>
    <row r="11" ht="31.5" customHeight="1" s="36">
      <c r="A11" s="76" t="inlineStr">
        <is>
          <t>C7</t>
        </is>
      </c>
      <c r="B11" s="77" t="inlineStr">
        <is>
          <t>DSRA absente ou inférieure à 3 mois de service de dette</t>
        </is>
      </c>
      <c r="C11" s="78" t="n">
        <v>6</v>
      </c>
      <c r="D11" s="77" t="inlineStr">
        <is>
          <t>Immeuble de bureaux avec 2 mois de DSRA (cas IMMO).</t>
        </is>
      </c>
    </row>
    <row r="12" ht="31.5" customHeight="1" s="36">
      <c r="A12" s="76" t="inlineStr">
        <is>
          <t>C8</t>
        </is>
      </c>
      <c r="B12" s="77" t="inlineStr">
        <is>
          <t>Dette à refinancer à maturité supérieure à 30 % du nominal, sans stratégie approuvée</t>
        </is>
      </c>
      <c r="C12" s="78" t="n">
        <v>5</v>
      </c>
      <c r="D12" s="77" t="inlineStr">
        <is>
          <t>Ballon de 35 % à refinancer, sans stratégie approuvée (cas ETH).</t>
        </is>
      </c>
    </row>
    <row r="13" ht="31.5" customHeight="1" s="36">
      <c r="A13" s="76" t="inlineStr">
        <is>
          <t>C9</t>
        </is>
      </c>
      <c r="B13" s="77" t="inlineStr">
        <is>
          <t>Quote-part de dette supérieure à 85 % du plan de financement</t>
        </is>
      </c>
      <c r="C13" s="78" t="n">
        <v>5</v>
      </c>
      <c r="D13" s="77" t="inlineStr">
        <is>
          <t>Dette 88 % du coût total (cas IMMO).</t>
        </is>
      </c>
    </row>
    <row r="14" ht="31.5" customHeight="1" s="36">
      <c r="A14" s="76" t="inlineStr">
        <is>
          <t>C10</t>
        </is>
      </c>
      <c r="B14" s="77" t="inlineStr">
        <is>
          <t>Acheteur portant plus de 85 % des recettes et de qualité interne inférieure à BBB−</t>
        </is>
      </c>
      <c r="C14" s="78" t="n">
        <v>6</v>
      </c>
      <c r="D14" s="77" t="inlineStr">
        <is>
          <t>Centrale d'autoproduction vendant 100 % à un industriel non noté (cas C5).</t>
        </is>
      </c>
    </row>
    <row r="15" ht="31.5" customHeight="1" s="36">
      <c r="A15" s="76" t="inlineStr">
        <is>
          <t>C11</t>
        </is>
      </c>
      <c r="B15" s="77" t="inlineStr">
        <is>
          <t>Risque climatique physique élevé au site sans plan d'adaptation financé</t>
        </is>
      </c>
      <c r="C15" s="78" t="n">
        <v>6</v>
      </c>
      <c r="D15" s="77" t="inlineStr">
        <is>
          <t>Hôtel littoral exposé à l'érosion, sans plan financé (cas TOU).</t>
        </is>
      </c>
    </row>
    <row r="16" ht="31.5" customHeight="1" s="36">
      <c r="A16" s="76" t="inlineStr">
        <is>
          <t>C12</t>
        </is>
      </c>
      <c r="B16" s="77" t="inlineStr">
        <is>
          <t>Capacité résiduelle du sponsor insuffisante pour l'appel d'equity restant</t>
        </is>
      </c>
      <c r="C16" s="78" t="n">
        <v>6</v>
      </c>
      <c r="D16" s="77" t="inlineStr">
        <is>
          <t>Sponsor minier sans capacité pour l'appel de fonds restant (cas MIN).</t>
        </is>
      </c>
    </row>
    <row r="17" ht="31.5" customHeight="1" s="36">
      <c r="A17" s="76" t="inlineStr">
        <is>
          <t>C13</t>
        </is>
      </c>
      <c r="B17" s="77" t="inlineStr">
        <is>
          <t>Opérateur non remplaçable et contrat O&amp;M expirant plus de 5 ans avant la dette</t>
        </is>
      </c>
      <c r="C17" s="78" t="n">
        <v>7</v>
      </c>
      <c r="D17" s="77" t="inlineStr">
        <is>
          <t>Maintenance hospitalière par un opérateur non remplaçable, contrat 7 ans plus court que la dette (cas SAN).</t>
        </is>
      </c>
    </row>
    <row r="18" ht="31.5" customHeight="1" s="36">
      <c r="A18" s="76" t="inlineStr">
        <is>
          <t>C14</t>
        </is>
      </c>
      <c r="B18" s="77" t="inlineStr">
        <is>
          <t>Exposition du groupe bancaire sur un facteur commun au-delà de la limite interne</t>
        </is>
      </c>
      <c r="C18" s="78" t="n">
        <v>6</v>
      </c>
      <c r="D18" s="77" t="inlineStr">
        <is>
          <t>Exposition du groupe sur le même armateur au-delà de la limite interne (cas POR).</t>
        </is>
      </c>
    </row>
    <row r="19" ht="31.5" customHeight="1" s="36">
      <c r="A19" s="76" t="inlineStr">
        <is>
          <t>C15</t>
        </is>
      </c>
      <c r="B19" s="77" t="inlineStr">
        <is>
          <t>Note issue d'une évaluation partielle (statut provisoire)</t>
        </is>
      </c>
      <c r="C19" s="78" t="n">
        <v>6</v>
      </c>
      <c r="D19" s="77" t="inlineStr">
        <is>
          <t>Deux sous-critères en « Info. insuffisante » (cas SAN).</t>
        </is>
      </c>
    </row>
    <row r="20" ht="31.5" customHeight="1" s="36">
      <c r="A20" s="76" t="inlineStr">
        <is>
          <t>C16</t>
        </is>
      </c>
      <c r="B20" s="77" t="inlineStr">
        <is>
          <t>Risque de transition élevé sans plan de transition crédible (volet climatique, lot 2)</t>
        </is>
      </c>
      <c r="C20" s="78" t="n">
        <v>6</v>
      </c>
      <c r="D20" s="77" t="inlineStr">
        <is>
          <t>Centrale au gaz de 450 MW : 1,1 million de tCO₂e par an, sans plan de transition (cas ETH, lot 2).</t>
        </is>
      </c>
    </row>
    <row r="21" ht="31.5" customHeight="1" s="36">
      <c r="A21" s="76" t="inlineStr">
        <is>
          <t>C17</t>
        </is>
      </c>
      <c r="B21" s="77" t="inlineStr">
        <is>
          <t>Au moins deux aléas climatiques pertinents élevés sans adaptation financée (volet climatique, lot 2)</t>
        </is>
      </c>
      <c r="C21" s="78" t="n">
        <v>5</v>
      </c>
      <c r="D21" s="77" t="inlineStr">
        <is>
          <t>Complexe balnéaire : chaleur, sécheresse et submersion élevées, sans adaptation (cas TOU, lot 2).</t>
        </is>
      </c>
    </row>
    <row r="23" ht="32" customHeight="1" s="36">
      <c r="A23" s="79" t="inlineStr">
        <is>
          <t>Lot 2 du volet climatique : C16 et C17 ne s'appliquent que si le paramètre « Lot 2 actif » est à Oui ; C11 tient alors compte de l'adaptation aléa par aléa (section 14). Inactifs par défaut, à activer après validation par le comité.</t>
        </is>
      </c>
    </row>
  </sheetData>
  <mergeCells count="1">
    <mergeCell ref="A23:D2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style="36" min="1" max="1"/>
    <col width="14" customWidth="1" style="36" min="2" max="2"/>
    <col width="14" customWidth="1" style="36" min="3" max="3"/>
    <col width="14" customWidth="1" style="36" min="4" max="4"/>
    <col width="14" customWidth="1" style="36" min="5" max="5"/>
    <col width="14" customWidth="1" style="36" min="6" max="6"/>
    <col width="14" customWidth="1" style="36" min="7" max="7"/>
    <col width="60" customWidth="1" style="36" min="8" max="8"/>
  </cols>
  <sheetData>
    <row r="1">
      <c r="A1" s="80" t="inlineStr">
        <is>
          <t>Volet climatique — fiche des aléas, transition, scénario climatique</t>
        </is>
      </c>
    </row>
    <row r="2" ht="32" customHeight="1" s="36">
      <c r="A2" s="79" t="inlineStr">
        <is>
          <t>Section 14 de chaque dossier. Lot 1 : analysé sans effet sur la note. Lot 2 (paramètre « Lot 2 actif », inactif par défaut) : la fiche entre dans la note. Valeurs candidates, à valider par le comité.</t>
        </is>
      </c>
    </row>
    <row r="3"/>
    <row r="4" ht="45" customHeight="1" s="36">
      <c r="A4" s="81" t="inlineStr">
        <is>
          <t>Secteur</t>
        </is>
      </c>
      <c r="B4" s="81" t="inlineStr">
        <is>
          <t>Chaleur extrême</t>
        </is>
      </c>
      <c r="C4" s="81" t="inlineStr">
        <is>
          <t>Stress hydrique et sécheresse</t>
        </is>
      </c>
      <c r="D4" s="81" t="inlineStr">
        <is>
          <t>Inondation et crue</t>
        </is>
      </c>
      <c r="E4" s="81" t="inlineStr">
        <is>
          <t>Submersion marine et élévation du niveau de la mer</t>
        </is>
      </c>
      <c r="F4" s="81" t="inlineStr">
        <is>
          <t>Feux de forêt</t>
        </is>
      </c>
      <c r="G4" s="81" t="inlineStr">
        <is>
          <t>Tempêtes</t>
        </is>
      </c>
      <c r="H4" s="81" t="inlineStr">
        <is>
          <t>Scénario climatique de référence</t>
        </is>
      </c>
    </row>
    <row r="5">
      <c r="A5" s="76" t="inlineStr">
        <is>
          <t>ENR</t>
        </is>
      </c>
      <c r="B5" s="78" t="inlineStr">
        <is>
          <t>Oui</t>
        </is>
      </c>
      <c r="C5" s="78" t="inlineStr"/>
      <c r="D5" s="78" t="inlineStr"/>
      <c r="E5" s="78" t="inlineStr"/>
      <c r="F5" s="78" t="inlineStr">
        <is>
          <t>Oui</t>
        </is>
      </c>
      <c r="G5" s="78" t="inlineStr">
        <is>
          <t>Oui</t>
        </is>
      </c>
      <c r="H5" s="77" t="inlineStr">
        <is>
          <t>Canicule prolongée et vents de sable : production − 5 %, charges de nettoyage + 5 %</t>
        </is>
      </c>
    </row>
    <row r="6">
      <c r="A6" s="76" t="inlineStr">
        <is>
          <t>EAU</t>
        </is>
      </c>
      <c r="B6" s="78" t="inlineStr">
        <is>
          <t>Oui</t>
        </is>
      </c>
      <c r="C6" s="78" t="inlineStr"/>
      <c r="D6" s="78" t="inlineStr"/>
      <c r="E6" s="78" t="inlineStr">
        <is>
          <t>Oui</t>
        </is>
      </c>
      <c r="F6" s="78" t="inlineStr"/>
      <c r="G6" s="78" t="inlineStr">
        <is>
          <t>Oui</t>
        </is>
      </c>
      <c r="H6" s="77" t="inlineStr">
        <is>
          <t>Tempête : prise d'eau indisponible un mois (redevance − 8 %), réparations (charges + 5 %)</t>
        </is>
      </c>
    </row>
    <row r="7">
      <c r="A7" s="76" t="inlineStr">
        <is>
          <t>TEL</t>
        </is>
      </c>
      <c r="B7" s="78" t="inlineStr">
        <is>
          <t>Oui</t>
        </is>
      </c>
      <c r="C7" s="78" t="inlineStr"/>
      <c r="D7" s="78" t="inlineStr">
        <is>
          <t>Oui</t>
        </is>
      </c>
      <c r="E7" s="78" t="inlineStr"/>
      <c r="F7" s="78" t="inlineStr"/>
      <c r="G7" s="78" t="inlineStr"/>
      <c r="H7" s="77" t="inlineStr">
        <is>
          <t>Canicule : surcoût de refroidissement (charges + 15 %)</t>
        </is>
      </c>
    </row>
    <row r="8">
      <c r="A8" s="76" t="inlineStr">
        <is>
          <t>TRA</t>
        </is>
      </c>
      <c r="B8" s="78" t="inlineStr"/>
      <c r="C8" s="78" t="inlineStr"/>
      <c r="D8" s="78" t="inlineStr">
        <is>
          <t>Oui</t>
        </is>
      </c>
      <c r="E8" s="78" t="inlineStr"/>
      <c r="F8" s="78" t="inlineStr">
        <is>
          <t>Oui</t>
        </is>
      </c>
      <c r="G8" s="78" t="inlineStr"/>
      <c r="H8" s="77" t="inlineStr">
        <is>
          <t>Crue : section coupée deux mois (trafic − 10 %), réparations (charges + 10 %)</t>
        </is>
      </c>
    </row>
    <row r="9">
      <c r="A9" s="76" t="inlineStr">
        <is>
          <t>POR</t>
        </is>
      </c>
      <c r="B9" s="78" t="inlineStr"/>
      <c r="C9" s="78" t="inlineStr"/>
      <c r="D9" s="78" t="inlineStr"/>
      <c r="E9" s="78" t="inlineStr">
        <is>
          <t>Oui</t>
        </is>
      </c>
      <c r="F9" s="78" t="inlineStr"/>
      <c r="G9" s="78" t="inlineStr">
        <is>
          <t>Oui</t>
        </is>
      </c>
      <c r="H9" s="77" t="inlineStr">
        <is>
          <t>Tempête : quais arrêtés trois semaines (− 6 %), réparations (charges + 10 %)</t>
        </is>
      </c>
    </row>
    <row r="10">
      <c r="A10" s="76" t="inlineStr">
        <is>
          <t>SAN</t>
        </is>
      </c>
      <c r="B10" s="78" t="inlineStr">
        <is>
          <t>Oui</t>
        </is>
      </c>
      <c r="C10" s="78" t="inlineStr"/>
      <c r="D10" s="78" t="inlineStr">
        <is>
          <t>Oui</t>
        </is>
      </c>
      <c r="E10" s="78" t="inlineStr"/>
      <c r="F10" s="78" t="inlineStr"/>
      <c r="G10" s="78" t="inlineStr"/>
      <c r="H10" s="77" t="inlineStr">
        <is>
          <t>Inondation : pénalités de disponibilité (− 3 %), remise en état (charges + 10 %)</t>
        </is>
      </c>
    </row>
    <row r="11">
      <c r="A11" s="76" t="inlineStr">
        <is>
          <t>ETH</t>
        </is>
      </c>
      <c r="B11" s="78" t="inlineStr">
        <is>
          <t>Oui</t>
        </is>
      </c>
      <c r="C11" s="78" t="inlineStr">
        <is>
          <t>Oui</t>
        </is>
      </c>
      <c r="D11" s="78" t="inlineStr"/>
      <c r="E11" s="78" t="inlineStr"/>
      <c r="F11" s="78" t="inlineStr"/>
      <c r="G11" s="78" t="inlineStr"/>
      <c r="H11" s="77" t="inlineStr">
        <is>
          <t>Canicule et restriction d'eau de refroidissement (− 8 %), prix du carbone (charges + 15 %)</t>
        </is>
      </c>
    </row>
    <row r="12">
      <c r="A12" s="76" t="inlineStr">
        <is>
          <t>IMMO-REND</t>
        </is>
      </c>
      <c r="B12" s="78" t="inlineStr">
        <is>
          <t>Oui</t>
        </is>
      </c>
      <c r="C12" s="78" t="inlineStr"/>
      <c r="D12" s="78" t="inlineStr">
        <is>
          <t>Oui</t>
        </is>
      </c>
      <c r="E12" s="78" t="inlineStr"/>
      <c r="F12" s="78" t="inlineStr"/>
      <c r="G12" s="78" t="inlineStr"/>
      <c r="H12" s="77" t="inlineStr">
        <is>
          <t>Inondation : locaux indisponibles deux mois (loyers − 15 %), réparations (charges + 10 %)</t>
        </is>
      </c>
    </row>
    <row r="13">
      <c r="A13" s="76" t="inlineStr">
        <is>
          <t>IND</t>
        </is>
      </c>
      <c r="B13" s="78" t="inlineStr"/>
      <c r="C13" s="78" t="inlineStr">
        <is>
          <t>Oui</t>
        </is>
      </c>
      <c r="D13" s="78" t="inlineStr">
        <is>
          <t>Oui</t>
        </is>
      </c>
      <c r="E13" s="78" t="inlineStr"/>
      <c r="F13" s="78" t="inlineStr"/>
      <c r="G13" s="78" t="inlineStr"/>
      <c r="H13" s="77" t="inlineStr">
        <is>
          <t>Sécheresse : restrictions d'eau de process (volumes − 10 %), coût de l'eau et du carbone (charges + 10 %)</t>
        </is>
      </c>
    </row>
    <row r="14">
      <c r="A14" s="76" t="inlineStr">
        <is>
          <t>AGR</t>
        </is>
      </c>
      <c r="B14" s="78" t="inlineStr">
        <is>
          <t>Oui</t>
        </is>
      </c>
      <c r="C14" s="78" t="inlineStr">
        <is>
          <t>Oui</t>
        </is>
      </c>
      <c r="D14" s="78" t="inlineStr"/>
      <c r="E14" s="78" t="inlineStr"/>
      <c r="F14" s="78" t="inlineStr"/>
      <c r="G14" s="78" t="inlineStr"/>
      <c r="H14" s="77" t="inlineStr">
        <is>
          <t>Sécheresse sur deux campagnes consécutives : récolte − 35 %, charges + 5 %</t>
        </is>
      </c>
    </row>
    <row r="15">
      <c r="A15" s="76" t="inlineStr">
        <is>
          <t>TOU</t>
        </is>
      </c>
      <c r="B15" s="78" t="inlineStr">
        <is>
          <t>Oui</t>
        </is>
      </c>
      <c r="C15" s="78" t="inlineStr">
        <is>
          <t>Oui</t>
        </is>
      </c>
      <c r="D15" s="78" t="inlineStr"/>
      <c r="E15" s="78" t="inlineStr">
        <is>
          <t>Oui</t>
        </is>
      </c>
      <c r="F15" s="78" t="inlineStr">
        <is>
          <t>Oui</t>
        </is>
      </c>
      <c r="G15" s="78" t="inlineStr"/>
      <c r="H15" s="77" t="inlineStr">
        <is>
          <t>Canicule et pénurie d'eau : fréquentation − 20 %, charges + 10 %</t>
        </is>
      </c>
    </row>
    <row r="16">
      <c r="A16" s="76" t="inlineStr">
        <is>
          <t>MIN</t>
        </is>
      </c>
      <c r="B16" s="78" t="inlineStr"/>
      <c r="C16" s="78" t="inlineStr">
        <is>
          <t>Oui</t>
        </is>
      </c>
      <c r="D16" s="78" t="inlineStr">
        <is>
          <t>Oui</t>
        </is>
      </c>
      <c r="E16" s="78" t="inlineStr"/>
      <c r="F16" s="78" t="inlineStr"/>
      <c r="G16" s="78" t="inlineStr"/>
      <c r="H16" s="77" t="inlineStr">
        <is>
          <t>Sécheresse : restrictions d'eau (production − 15 %), charges + 10 %</t>
        </is>
      </c>
    </row>
    <row r="17"/>
    <row r="18" ht="44" customHeight="1" s="36">
      <c r="A18" s="82" t="inlineStr">
        <is>
          <t>Exposition déduite</t>
        </is>
      </c>
      <c r="B18" s="77" t="inlineStr">
        <is>
          <t>Le site est exposé si au moins un aléa est évalué « Élevé » ; à défaut d'aléa évalué, la case « site à risque climatique élevé » (section 2) s'applique.</t>
        </is>
      </c>
      <c r="C18" s="59" t="n"/>
      <c r="D18" s="59" t="n"/>
      <c r="E18" s="59" t="n"/>
      <c r="F18" s="59" t="n"/>
      <c r="G18" s="59" t="n"/>
      <c r="H18" s="60" t="n"/>
    </row>
    <row r="19" ht="44" customHeight="1" s="36">
      <c r="A19" s="82" t="inlineStr">
        <is>
          <t>Niveau de transition</t>
        </is>
      </c>
      <c r="B19" s="77" t="inlineStr">
        <is>
          <t>Élevé : émissions &gt; 100 000 tCO₂e/an  ou exportations MACF ≥ 20 % du CA  ou actif fossile sans plan. Moyen : émissions &gt; 25 000 tCO₂e/an  ou MACF &gt; 0  ou actif fossile avec plan. Sinon Faible.</t>
        </is>
      </c>
      <c r="C19" s="59" t="n"/>
      <c r="D19" s="59" t="n"/>
      <c r="E19" s="59" t="n"/>
      <c r="F19" s="59" t="n"/>
      <c r="G19" s="59" t="n"/>
      <c r="H19" s="60" t="n"/>
    </row>
    <row r="20" ht="44" customHeight="1" s="36">
      <c r="A20" s="82" t="inlineStr">
        <is>
          <t>D9.5 (lot 2)</t>
        </is>
      </c>
      <c r="B20" s="77" t="inlineStr">
        <is>
          <t>Risque de transition calculé : Faible 100 · Moyen 80 · Élevé avec plan 50 · Élevé sans plan 20 · non renseigné : info. insuffisante. Poids dans D9 : D9.1 25 %, D9.2 25 %, D9.3 10 %, D9.4 25 %, D9.5 15 %.</t>
        </is>
      </c>
      <c r="C20" s="59" t="n"/>
      <c r="D20" s="59" t="n"/>
      <c r="E20" s="59" t="n"/>
      <c r="F20" s="59" t="n"/>
      <c r="G20" s="59" t="n"/>
      <c r="H20" s="60" t="n"/>
    </row>
    <row r="21" ht="44" customHeight="1" s="36">
      <c r="A21" s="82" t="inlineStr">
        <is>
          <t>C11, C16, C17 (lot 2)</t>
        </is>
      </c>
      <c r="B21" s="77" t="inlineStr">
        <is>
          <t>C11 : un aléa élevé sans adaptation financée → note max. 6. C16 : transition élevée sans plan → 6. C17 : au moins deux aléas élevés sans adaptation → 5.</t>
        </is>
      </c>
      <c r="C21" s="59" t="n"/>
      <c r="D21" s="59" t="n"/>
      <c r="E21" s="59" t="n"/>
      <c r="F21" s="59" t="n"/>
      <c r="G21" s="59" t="n"/>
      <c r="H21" s="60" t="n"/>
    </row>
    <row r="22" ht="44" customHeight="1" s="36">
      <c r="A22" s="82" t="inlineStr">
        <is>
          <t>Scénario climatique</t>
        </is>
      </c>
      <c r="B22" s="77" t="inlineStr">
        <is>
          <t>Baisse du CFADS sous l'aléa : (recettes perdues + charges en plus) ÷ CFADS central. Au lot 2, sur un site exposé, N2 retient le plus bas des scénarios défavorable et climatique.</t>
        </is>
      </c>
      <c r="C22" s="59" t="n"/>
      <c r="D22" s="59" t="n"/>
      <c r="E22" s="59" t="n"/>
      <c r="F22" s="59" t="n"/>
      <c r="G22" s="59" t="n"/>
      <c r="H22" s="60" t="n"/>
    </row>
    <row r="23" ht="44" customHeight="1" s="36">
      <c r="A23" s="82" t="inlineStr">
        <is>
          <t>Effet mesuré (18 cas fictifs)</t>
        </is>
      </c>
      <c r="B23" s="77" t="inlineStr">
        <is>
          <t>Lot 2 actif : une seule note change (huilerie d'olives 8 → 6, C11) ; 8 dossiers prennent un plafond climatique ; 10 dossiers ont une exposition retenue différente de la case déclarée.</t>
        </is>
      </c>
      <c r="C23" s="59" t="n"/>
      <c r="D23" s="59" t="n"/>
      <c r="E23" s="59" t="n"/>
      <c r="F23" s="59" t="n"/>
      <c r="G23" s="59" t="n"/>
      <c r="H23" s="60" t="n"/>
    </row>
  </sheetData>
  <mergeCells count="7">
    <mergeCell ref="B22:H22"/>
    <mergeCell ref="B18:H18"/>
    <mergeCell ref="B21:H21"/>
    <mergeCell ref="A2:H2"/>
    <mergeCell ref="B19:H19"/>
    <mergeCell ref="B20:H20"/>
    <mergeCell ref="B23:H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8" customWidth="1" style="35" min="1" max="1"/>
    <col width="62" customWidth="1" style="35" min="2" max="2"/>
    <col width="30" customWidth="1" style="35" min="3" max="3"/>
    <col width="60" customWidth="1" style="35" min="4" max="4"/>
  </cols>
  <sheetData>
    <row r="1" ht="19.7" customHeight="1" s="36">
      <c r="A1" s="80" t="inlineStr">
        <is>
          <t>Verrous — exclusions X et blocages B</t>
        </is>
      </c>
    </row>
    <row r="2" ht="15" customHeight="1" s="36">
      <c r="A2" s="79" t="inlineStr">
        <is>
          <t>Exclusion X : aucune note n'est produite. Blocage B : la note est calculée mais reste provisoire ; le stade bloqué est indiqué.</t>
        </is>
      </c>
    </row>
    <row r="4" ht="15" customHeight="1" s="36">
      <c r="A4" s="81" t="inlineStr">
        <is>
          <t>Code</t>
        </is>
      </c>
      <c r="B4" s="81" t="inlineStr">
        <is>
          <t>Fait générateur</t>
        </is>
      </c>
      <c r="C4" s="81" t="inlineStr">
        <is>
          <t>Effet</t>
        </is>
      </c>
      <c r="D4" s="81" t="inlineStr">
        <is>
          <t>Exemple</t>
        </is>
      </c>
    </row>
    <row r="5" ht="31.5" customHeight="1" s="36">
      <c r="A5" s="76" t="inlineStr">
        <is>
          <t>X1</t>
        </is>
      </c>
      <c r="B5" s="77" t="inlineStr">
        <is>
          <t>Activité interdite par la loi marocaine ou par la politique d'exclusion de la banque</t>
        </is>
      </c>
      <c r="C5" s="77" t="inlineStr">
        <is>
          <t>Aucune note</t>
        </is>
      </c>
      <c r="D5" s="77" t="inlineStr">
        <is>
          <t>Projet de jeux d'argent exclu par la politique de la banque.</t>
        </is>
      </c>
    </row>
    <row r="6" ht="31.5" customHeight="1" s="36">
      <c r="A6" s="76" t="inlineStr">
        <is>
          <t>X2</t>
        </is>
      </c>
      <c r="B6" s="77" t="inlineStr">
        <is>
          <t>Autorisation légalement indispensable juridiquement impossible à obtenir</t>
        </is>
      </c>
      <c r="C6" s="77" t="inlineStr">
        <is>
          <t>Aucune note</t>
        </is>
      </c>
      <c r="D6" s="77" t="inlineStr">
        <is>
          <t>Projet sur une zone où la loi interdit toute construction.</t>
        </is>
      </c>
    </row>
    <row r="7" ht="31.5" customHeight="1" s="36">
      <c r="A7" s="76" t="inlineStr">
        <is>
          <t>X3</t>
        </is>
      </c>
      <c r="B7" s="77" t="inlineStr">
        <is>
          <t>Contrepartie clé sous sanctions ou signalée au titre du dispositif LBC-FT</t>
        </is>
      </c>
      <c r="C7" s="77" t="inlineStr">
        <is>
          <t>Aucune note</t>
        </is>
      </c>
      <c r="D7" s="77" t="inlineStr">
        <is>
          <t>Acheteur unique de la production sous sanctions internationales (cas MIN).</t>
        </is>
      </c>
    </row>
    <row r="8" ht="31.5" customHeight="1" s="36">
      <c r="A8" s="76" t="inlineStr">
        <is>
          <t>X4</t>
        </is>
      </c>
      <c r="B8" s="77" t="inlineStr">
        <is>
          <t>Contrepartie clé en défaut avéré non régularisé</t>
        </is>
      </c>
      <c r="C8" s="77" t="inlineStr">
        <is>
          <t>Aucune note</t>
        </is>
      </c>
      <c r="D8" s="77" t="inlineStr">
        <is>
          <t>EPC confié à un constructeur en défaut de paiement avéré.</t>
        </is>
      </c>
    </row>
    <row r="9" ht="31.5" customHeight="1" s="36">
      <c r="A9" s="76" t="inlineStr">
        <is>
          <t>B1</t>
        </is>
      </c>
      <c r="B9" s="77" t="inlineStr">
        <is>
          <t>Contrat de revenus principal non signé (régimes R1 à R3)</t>
        </is>
      </c>
      <c r="C9" s="77" t="inlineStr">
        <is>
          <t>Note provisoire — bloque : Octroi</t>
        </is>
      </c>
      <c r="D9" s="77" t="inlineStr">
        <is>
          <t>Contrat d'achat d'électricité encore en négociation.</t>
        </is>
      </c>
    </row>
    <row r="10" ht="31.5" customHeight="1" s="36">
      <c r="A10" s="76" t="inlineStr">
        <is>
          <t>B2</t>
        </is>
      </c>
      <c r="B10" s="77" t="inlineStr">
        <is>
          <t>Contrat EPC non signé en phase P1</t>
        </is>
      </c>
      <c r="C10" s="77" t="inlineStr">
        <is>
          <t>Note provisoire — bloque : Octroi</t>
        </is>
      </c>
      <c r="D10" s="77" t="inlineStr">
        <is>
          <t>Terminal portuaire en construction sans EPC signé (cas POR).</t>
        </is>
      </c>
    </row>
    <row r="11" ht="31.5" customHeight="1" s="36">
      <c r="A11" s="76" t="inlineStr">
        <is>
          <t>B3</t>
        </is>
      </c>
      <c r="B11" s="77" t="inlineStr">
        <is>
          <t>Besoin à terminaison supérieur aux ressources engagées (couverture &lt; 95 % en P1)</t>
        </is>
      </c>
      <c r="C11" s="77" t="inlineStr">
        <is>
          <t>Note provisoire — bloque : Décaissement</t>
        </is>
      </c>
      <c r="D11" s="77" t="inlineStr">
        <is>
          <t>Mine en construction : ressources couvrant 92 % du besoin (cas MIN).</t>
        </is>
      </c>
    </row>
    <row r="12" ht="31.5" customHeight="1" s="36">
      <c r="A12" s="76" t="inlineStr">
        <is>
          <t>B4</t>
        </is>
      </c>
      <c r="B12" s="77" t="inlineStr">
        <is>
          <t>Droit d'occupation du site non établi, ou durée &lt; dette + 24 mois</t>
        </is>
      </c>
      <c r="C12" s="77" t="inlineStr">
        <is>
          <t>Note provisoire — bloque : Octroi</t>
        </is>
      </c>
      <c r="D12" s="77" t="inlineStr">
        <is>
          <t>Hôtel dont le droit d'occupation du domaine n'est pas établi (cas TOU).</t>
        </is>
      </c>
    </row>
    <row r="13" ht="31.5" customHeight="1" s="36">
      <c r="A13" s="76" t="inlineStr">
        <is>
          <t>B5</t>
        </is>
      </c>
      <c r="B13" s="77" t="inlineStr">
        <is>
          <t>Avis juridique d'opposabilité des sûretés absent ou avec réserve substantielle</t>
        </is>
      </c>
      <c r="C13" s="77" t="inlineStr">
        <is>
          <t>Note provisoire — bloque : Décaissement</t>
        </is>
      </c>
      <c r="D13" s="77" t="inlineStr">
        <is>
          <t>Avis juridique avec réserve sur le nantissement des créances (cas IND).</t>
        </is>
      </c>
    </row>
    <row r="14" ht="31.5" customHeight="1" s="36">
      <c r="A14" s="76" t="inlineStr">
        <is>
          <t>B6</t>
        </is>
      </c>
      <c r="B14" s="77" t="inlineStr">
        <is>
          <t>Modèle de flux datés absent ou non rapproché des états financiers</t>
        </is>
      </c>
      <c r="C14" s="77" t="inlineStr">
        <is>
          <t>Note provisoire — bloque : Notation validée</t>
        </is>
      </c>
      <c r="D14" s="77" t="inlineStr">
        <is>
          <t>Pas de modèle de flux daté, ou non rapproché des comptes.</t>
        </is>
      </c>
    </row>
    <row r="15" ht="31.5" customHeight="1" s="36">
      <c r="A15" s="76" t="inlineStr">
        <is>
          <t>B7</t>
        </is>
      </c>
      <c r="B15" s="77" t="inlineStr">
        <is>
          <t>Complétude des critères critiques inférieure à 100 %</t>
        </is>
      </c>
      <c r="C15" s="77" t="inlineStr">
        <is>
          <t>Note provisoire — bloque : Notation validée</t>
        </is>
      </c>
      <c r="D15" s="77" t="inlineStr">
        <is>
          <t>Deux sous-critères en « Info. insuffisante » (cas SAN).</t>
        </is>
      </c>
    </row>
    <row r="16" ht="31.5" customHeight="1" s="36">
      <c r="A16" s="76" t="inlineStr">
        <is>
          <t>B8</t>
        </is>
      </c>
      <c r="B16" s="77" t="inlineStr">
        <is>
          <t>Acceptabilité environnementale non obtenue au stade requis</t>
        </is>
      </c>
      <c r="C16" s="77" t="inlineStr">
        <is>
          <t>Note provisoire — bloque : Octroi</t>
        </is>
      </c>
      <c r="D16" s="77" t="inlineStr">
        <is>
          <t>Étude d'impact environnemental non approuvée (cas MIN).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6" customWidth="1" style="35" min="1" max="1"/>
    <col width="8" customWidth="1" style="35" min="2" max="2"/>
    <col width="16" customWidth="1" style="35" min="3" max="3"/>
    <col width="36" customWidth="1" style="35" min="4" max="4"/>
    <col width="3" customWidth="1" style="35" min="5" max="5"/>
    <col width="36" customWidth="1" style="35" min="6" max="6"/>
    <col width="16" customWidth="1" style="35" min="7" max="7"/>
  </cols>
  <sheetData>
    <row r="1" ht="19.7" customHeight="1" s="36">
      <c r="A1" s="80" t="inlineStr">
        <is>
          <t>Conversion du score en note</t>
        </is>
      </c>
    </row>
    <row r="2" ht="15" customHeight="1" s="36">
      <c r="A2" s="79" t="inlineStr">
        <is>
          <t>Calculateur : saisissez un score et un plafond éventuel (cellules bleues).</t>
        </is>
      </c>
    </row>
    <row r="4" ht="15" customHeight="1" s="36">
      <c r="A4" s="81" t="inlineStr">
        <is>
          <t>Score à partir de</t>
        </is>
      </c>
      <c r="B4" s="81" t="inlineStr">
        <is>
          <t>Note</t>
        </is>
      </c>
      <c r="C4" s="81" t="inlineStr">
        <is>
          <t>Libellé</t>
        </is>
      </c>
      <c r="D4" s="81" t="inlineStr">
        <is>
          <t>Orientation</t>
        </is>
      </c>
      <c r="F4" s="76" t="inlineStr">
        <is>
          <t>Score global (sur 100)</t>
        </is>
      </c>
      <c r="G4" s="83" t="n">
        <v>73.7</v>
      </c>
    </row>
    <row r="5" ht="15" customHeight="1" s="36">
      <c r="A5" s="78" t="n">
        <v>0</v>
      </c>
      <c r="B5" s="43" t="n">
        <v>1</v>
      </c>
      <c r="C5" s="77" t="inlineStr">
        <is>
          <t>Très critique</t>
        </is>
      </c>
      <c r="D5" s="77" t="inlineStr">
        <is>
          <t>Refus ou restructuration complète</t>
        </is>
      </c>
      <c r="F5" s="76" t="inlineStr">
        <is>
          <t>Note calculée</t>
        </is>
      </c>
      <c r="G5" s="43">
        <f>INDEX($B$5:$B$14,MATCH(G4,$A$5:$A$14,1))</f>
        <v/>
      </c>
    </row>
    <row r="6" ht="15" customHeight="1" s="36">
      <c r="A6" s="78" t="n">
        <v>32</v>
      </c>
      <c r="B6" s="43" t="n">
        <v>2</v>
      </c>
      <c r="C6" s="77" t="inlineStr">
        <is>
          <t>Critique</t>
        </is>
      </c>
      <c r="D6" s="77" t="inlineStr">
        <is>
          <t>Refus en l'état</t>
        </is>
      </c>
      <c r="F6" s="76" t="inlineStr">
        <is>
          <t>Plafond actif le plus bas (10 = aucun)</t>
        </is>
      </c>
      <c r="G6" s="62" t="n">
        <v>4</v>
      </c>
    </row>
    <row r="7" ht="15" customHeight="1" s="36">
      <c r="A7" s="78" t="n">
        <v>42</v>
      </c>
      <c r="B7" s="43" t="n">
        <v>3</v>
      </c>
      <c r="C7" s="77" t="inlineStr">
        <is>
          <t>Préoccupant</t>
        </is>
      </c>
      <c r="D7" s="77" t="inlineStr">
        <is>
          <t>Révision de fond</t>
        </is>
      </c>
      <c r="F7" s="76" t="inlineStr">
        <is>
          <t>Note approuvée</t>
        </is>
      </c>
      <c r="G7" s="84">
        <f>MIN(G5,G6)</f>
        <v/>
      </c>
    </row>
    <row r="8" ht="15" customHeight="1" s="36">
      <c r="A8" s="78" t="n">
        <v>50</v>
      </c>
      <c r="B8" s="43" t="n">
        <v>4</v>
      </c>
      <c r="C8" s="77" t="inlineStr">
        <is>
          <t>Fragile</t>
        </is>
      </c>
      <c r="D8" s="77" t="inlineStr">
        <is>
          <t>Restructuration à examiner</t>
        </is>
      </c>
      <c r="F8" s="76" t="inlineStr">
        <is>
          <t>Libellé</t>
        </is>
      </c>
      <c r="G8" s="43">
        <f>INDEX($C$5:$C$14,MATCH(G7,$B$5:$B$14,0))</f>
        <v/>
      </c>
    </row>
    <row r="9" ht="15" customHeight="1" s="36">
      <c r="A9" s="78" t="n">
        <v>58</v>
      </c>
      <c r="B9" s="43" t="n">
        <v>5</v>
      </c>
      <c r="C9" s="77" t="inlineStr">
        <is>
          <t>Moyen</t>
        </is>
      </c>
      <c r="D9" s="77" t="inlineStr">
        <is>
          <t>Sous surveillance</t>
        </is>
      </c>
      <c r="F9" s="77" t="inlineStr">
        <is>
          <t>Exemple pré-rempli : hôtel C3, score 73,7 (note 7) plafonné à 4 par C3.</t>
        </is>
      </c>
      <c r="G9" s="67" t="n"/>
    </row>
    <row r="10" ht="15" customHeight="1" s="36">
      <c r="A10" s="78" t="n">
        <v>66</v>
      </c>
      <c r="B10" s="43" t="n">
        <v>6</v>
      </c>
      <c r="C10" s="77" t="inlineStr">
        <is>
          <t>Acceptable</t>
        </is>
      </c>
      <c r="D10" s="77" t="inlineStr">
        <is>
          <t>Conditions et mitigants</t>
        </is>
      </c>
      <c r="F10" s="68" t="n"/>
      <c r="G10" s="69" t="n"/>
    </row>
    <row r="11" ht="15" customHeight="1" s="36">
      <c r="A11" s="78" t="n">
        <v>73</v>
      </c>
      <c r="B11" s="43" t="n">
        <v>7</v>
      </c>
      <c r="C11" s="77" t="inlineStr">
        <is>
          <t>Satisfaisant</t>
        </is>
      </c>
      <c r="D11" s="77" t="inlineStr">
        <is>
          <t>Conditions légères</t>
        </is>
      </c>
      <c r="F11" s="70" t="n"/>
      <c r="G11" s="72" t="n"/>
    </row>
    <row r="12" ht="15" customHeight="1" s="36">
      <c r="A12" s="78" t="n">
        <v>80</v>
      </c>
      <c r="B12" s="43" t="n">
        <v>8</v>
      </c>
      <c r="C12" s="77" t="inlineStr">
        <is>
          <t>Solide</t>
        </is>
      </c>
      <c r="D12" s="77" t="inlineStr">
        <is>
          <t>Réserves mineures à documenter</t>
        </is>
      </c>
    </row>
    <row r="13" ht="15" customHeight="1" s="36">
      <c r="A13" s="78" t="n">
        <v>86</v>
      </c>
      <c r="B13" s="43" t="n">
        <v>9</v>
      </c>
      <c r="C13" s="77" t="inlineStr">
        <is>
          <t>Très solide</t>
        </is>
      </c>
      <c r="D13" s="77" t="inlineStr">
        <is>
          <t>Conditions minimales</t>
        </is>
      </c>
    </row>
    <row r="14" ht="15" customHeight="1" s="36">
      <c r="A14" s="78" t="n">
        <v>92</v>
      </c>
      <c r="B14" s="43" t="n">
        <v>10</v>
      </c>
      <c r="C14" s="77" t="inlineStr">
        <is>
          <t>Excellent</t>
        </is>
      </c>
      <c r="D14" s="77" t="inlineStr">
        <is>
          <t>Profil de référence</t>
        </is>
      </c>
    </row>
  </sheetData>
  <mergeCells count="1">
    <mergeCell ref="F9:G1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G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5" min="1" max="1"/>
    <col width="8" customWidth="1" style="35" min="2" max="2"/>
    <col width="44" customWidth="1" style="35" min="3" max="3"/>
    <col width="22" customWidth="1" style="35" min="4" max="4"/>
    <col width="8" customWidth="1" style="35" min="5" max="5"/>
    <col width="9" customWidth="1" style="35" min="6" max="6"/>
    <col width="14" customWidth="1" style="35" min="7" max="7"/>
  </cols>
  <sheetData>
    <row r="1" ht="19.7" customHeight="1" s="36">
      <c r="A1" s="80" t="inlineStr">
        <is>
          <t>Exemple de calcul complet — cas C1, centrale solaire de 80 MWc (fictif)</t>
        </is>
      </c>
    </row>
    <row r="2" ht="15" customHeight="1" s="36">
      <c r="A2" s="79" t="inlineStr">
        <is>
          <t>Phase P1 (construction). Les notes sont celles choisies dans l'outil ; tout le reste est calculé ici par formule.</t>
        </is>
      </c>
    </row>
    <row r="4" ht="15" customHeight="1" s="36">
      <c r="A4" s="81" t="inlineStr">
        <is>
          <t>Domaine</t>
        </is>
      </c>
      <c r="B4" s="81" t="inlineStr">
        <is>
          <t>Clé</t>
        </is>
      </c>
      <c r="C4" s="81" t="inlineStr">
        <is>
          <t>Sous-critère</t>
        </is>
      </c>
      <c r="D4" s="81" t="inlineStr">
        <is>
          <t>Niveau choisi</t>
        </is>
      </c>
      <c r="E4" s="81" t="inlineStr">
        <is>
          <t>Note</t>
        </is>
      </c>
      <c r="F4" s="81" t="inlineStr">
        <is>
          <t>Poids</t>
        </is>
      </c>
      <c r="G4" s="81" t="inlineStr">
        <is>
          <t>Note × poids</t>
        </is>
      </c>
    </row>
    <row r="5" ht="15" customHeight="1" s="36">
      <c r="A5" s="77" t="inlineStr">
        <is>
          <t>D1</t>
        </is>
      </c>
      <c r="B5" s="77" t="inlineStr">
        <is>
          <t>D1.1</t>
        </is>
      </c>
      <c r="C5" s="77" t="inlineStr">
        <is>
          <t>Capacité financière du sponsor</t>
        </is>
      </c>
      <c r="D5" s="44" t="inlineStr">
        <is>
          <t>Favorable</t>
        </is>
      </c>
      <c r="E5" s="43">
        <f>Paramètres!$B$6</f>
        <v/>
      </c>
      <c r="F5" s="58" t="n">
        <v>0.4</v>
      </c>
      <c r="G5" s="85">
        <f>E5*F5</f>
        <v/>
      </c>
    </row>
    <row r="6" ht="15" customHeight="1" s="36">
      <c r="A6" s="77" t="inlineStr">
        <is>
          <t>D1</t>
        </is>
      </c>
      <c r="B6" s="77" t="inlineStr">
        <is>
          <t>D1.2</t>
        </is>
      </c>
      <c r="C6" s="77" t="inlineStr">
        <is>
          <t>Obligation juridique de soutien</t>
        </is>
      </c>
      <c r="D6" s="42" t="inlineStr">
        <is>
          <t>Très favorable</t>
        </is>
      </c>
      <c r="E6" s="43">
        <f>Paramètres!$B$5</f>
        <v/>
      </c>
      <c r="F6" s="58" t="n">
        <v>0.35</v>
      </c>
      <c r="G6" s="85">
        <f>E6*F6</f>
        <v/>
      </c>
    </row>
    <row r="7" ht="15" customHeight="1" s="36">
      <c r="A7" s="77" t="inlineStr">
        <is>
          <t>D1</t>
        </is>
      </c>
      <c r="B7" s="77" t="inlineStr">
        <is>
          <t>D1.3</t>
        </is>
      </c>
      <c r="C7" s="77" t="inlineStr">
        <is>
          <t>Structure actionnariale et gouvernance</t>
        </is>
      </c>
      <c r="D7" s="44" t="inlineStr">
        <is>
          <t>Favorable</t>
        </is>
      </c>
      <c r="E7" s="43">
        <f>Paramètres!$B$6</f>
        <v/>
      </c>
      <c r="F7" s="58" t="n">
        <v>0.25</v>
      </c>
      <c r="G7" s="85">
        <f>E7*F7</f>
        <v/>
      </c>
    </row>
    <row r="8" ht="15" customHeight="1" s="36">
      <c r="C8" s="39" t="inlineStr">
        <is>
          <t>Score D1</t>
        </is>
      </c>
      <c r="G8" s="86">
        <f>SUM(G5:G7)</f>
        <v/>
      </c>
    </row>
    <row r="9" ht="15" customHeight="1" s="36">
      <c r="A9" s="77" t="inlineStr">
        <is>
          <t>D2</t>
        </is>
      </c>
      <c r="B9" s="77" t="inlineStr">
        <is>
          <t>D2.1</t>
        </is>
      </c>
      <c r="C9" s="77" t="inlineStr">
        <is>
          <t>Technologie et performance</t>
        </is>
      </c>
      <c r="D9" s="42" t="inlineStr">
        <is>
          <t>Très favorable</t>
        </is>
      </c>
      <c r="E9" s="43">
        <f>Paramètres!$B$5</f>
        <v/>
      </c>
      <c r="F9" s="58" t="n">
        <v>0.35</v>
      </c>
      <c r="G9" s="85">
        <f>E9*F9</f>
        <v/>
      </c>
    </row>
    <row r="10" ht="15" customHeight="1" s="36">
      <c r="A10" s="77" t="inlineStr">
        <is>
          <t>D2</t>
        </is>
      </c>
      <c r="B10" s="77" t="inlineStr">
        <is>
          <t>D2.2</t>
        </is>
      </c>
      <c r="C10" s="77" t="inlineStr">
        <is>
          <t>Site, foncier physique et accès</t>
        </is>
      </c>
      <c r="D10" s="44" t="inlineStr">
        <is>
          <t>Favorable</t>
        </is>
      </c>
      <c r="E10" s="43">
        <f>Paramètres!$B$6</f>
        <v/>
      </c>
      <c r="F10" s="58" t="n">
        <v>0.4</v>
      </c>
      <c r="G10" s="85">
        <f>E10*F10</f>
        <v/>
      </c>
    </row>
    <row r="11" ht="15" customHeight="1" s="36">
      <c r="A11" s="77" t="inlineStr">
        <is>
          <t>D2</t>
        </is>
      </c>
      <c r="B11" s="77" t="inlineStr">
        <is>
          <t>D2.3</t>
        </is>
      </c>
      <c r="C11" s="77" t="inlineStr">
        <is>
          <t>Planning et complexité d'exécution</t>
        </is>
      </c>
      <c r="D11" s="44" t="inlineStr">
        <is>
          <t>Favorable</t>
        </is>
      </c>
      <c r="E11" s="43">
        <f>Paramètres!$B$6</f>
        <v/>
      </c>
      <c r="F11" s="58" t="n">
        <v>0.25</v>
      </c>
      <c r="G11" s="85">
        <f>E11*F11</f>
        <v/>
      </c>
    </row>
    <row r="12" ht="15" customHeight="1" s="36">
      <c r="C12" s="39" t="inlineStr">
        <is>
          <t>Score D2</t>
        </is>
      </c>
      <c r="G12" s="86">
        <f>SUM(G9:G11)</f>
        <v/>
      </c>
    </row>
    <row r="13" ht="15" customHeight="1" s="36">
      <c r="A13" s="77" t="inlineStr">
        <is>
          <t>D3</t>
        </is>
      </c>
      <c r="B13" s="77" t="inlineStr">
        <is>
          <t>D3.1</t>
        </is>
      </c>
      <c r="C13" s="77" t="inlineStr">
        <is>
          <t>Contrat EPC et constructeur</t>
        </is>
      </c>
      <c r="D13" s="42" t="inlineStr">
        <is>
          <t>Très favorable</t>
        </is>
      </c>
      <c r="E13" s="43">
        <f>Paramètres!$B$5</f>
        <v/>
      </c>
      <c r="F13" s="58" t="n">
        <v>0.4</v>
      </c>
      <c r="G13" s="85">
        <f>E13*F13</f>
        <v/>
      </c>
    </row>
    <row r="14" ht="15" customHeight="1" s="36">
      <c r="A14" s="77" t="inlineStr">
        <is>
          <t>D3</t>
        </is>
      </c>
      <c r="B14" s="77" t="inlineStr">
        <is>
          <t>D3.2</t>
        </is>
      </c>
      <c r="C14" s="77" t="inlineStr">
        <is>
          <t>Interfaces et gouvernance de chantier</t>
        </is>
      </c>
      <c r="D14" s="44" t="inlineStr">
        <is>
          <t>Favorable</t>
        </is>
      </c>
      <c r="E14" s="43">
        <f>Paramètres!$B$6</f>
        <v/>
      </c>
      <c r="F14" s="58" t="n">
        <v>0.25</v>
      </c>
      <c r="G14" s="85">
        <f>E14*F14</f>
        <v/>
      </c>
    </row>
    <row r="15" ht="15" customHeight="1" s="36">
      <c r="A15" s="77" t="inlineStr">
        <is>
          <t>D3</t>
        </is>
      </c>
      <c r="B15" s="77" t="inlineStr">
        <is>
          <t>D3.3</t>
        </is>
      </c>
      <c r="C15" s="77" t="inlineStr">
        <is>
          <t>Assurances et garanties mobilisables</t>
        </is>
      </c>
      <c r="D15" s="44" t="inlineStr">
        <is>
          <t>Favorable</t>
        </is>
      </c>
      <c r="E15" s="43">
        <f>Paramètres!$B$6</f>
        <v/>
      </c>
      <c r="F15" s="58" t="n">
        <v>0.35</v>
      </c>
      <c r="G15" s="85">
        <f>E15*F15</f>
        <v/>
      </c>
    </row>
    <row r="16" ht="15" customHeight="1" s="36">
      <c r="C16" s="39" t="inlineStr">
        <is>
          <t>Score D3</t>
        </is>
      </c>
      <c r="G16" s="86">
        <f>SUM(G13:G15)</f>
        <v/>
      </c>
    </row>
    <row r="17" ht="15" customHeight="1" s="36">
      <c r="A17" s="77" t="inlineStr">
        <is>
          <t>D4</t>
        </is>
      </c>
      <c r="B17" s="77" t="inlineStr">
        <is>
          <t>D4.1</t>
        </is>
      </c>
      <c r="C17" s="77" t="inlineStr">
        <is>
          <t>Structure contractuelle des recettes</t>
        </is>
      </c>
      <c r="D17" s="42" t="inlineStr">
        <is>
          <t>Très favorable</t>
        </is>
      </c>
      <c r="E17" s="43">
        <f>Paramètres!$B$5</f>
        <v/>
      </c>
      <c r="F17" s="58" t="n">
        <v>0.45</v>
      </c>
      <c r="G17" s="85">
        <f>E17*F17</f>
        <v/>
      </c>
    </row>
    <row r="18" ht="15" customHeight="1" s="36">
      <c r="A18" s="77" t="inlineStr">
        <is>
          <t>D4</t>
        </is>
      </c>
      <c r="B18" s="77" t="inlineStr">
        <is>
          <t>D4.2</t>
        </is>
      </c>
      <c r="C18" s="77" t="inlineStr">
        <is>
          <t>Mécanisme de prix et indexation</t>
        </is>
      </c>
      <c r="D18" s="44" t="inlineStr">
        <is>
          <t>Favorable</t>
        </is>
      </c>
      <c r="E18" s="43">
        <f>Paramètres!$B$6</f>
        <v/>
      </c>
      <c r="F18" s="58" t="n">
        <v>0.3</v>
      </c>
      <c r="G18" s="85">
        <f>E18*F18</f>
        <v/>
      </c>
    </row>
    <row r="19" ht="15" customHeight="1" s="36">
      <c r="A19" s="77" t="inlineStr">
        <is>
          <t>D4</t>
        </is>
      </c>
      <c r="B19" s="77" t="inlineStr">
        <is>
          <t>D4.3</t>
        </is>
      </c>
      <c r="C19" s="77" t="inlineStr">
        <is>
          <t>Marché et concurrence</t>
        </is>
      </c>
      <c r="D19" s="42" t="inlineStr">
        <is>
          <t>Très favorable</t>
        </is>
      </c>
      <c r="E19" s="43">
        <f>Paramètres!$B$5</f>
        <v/>
      </c>
      <c r="F19" s="58" t="n">
        <v>0.25</v>
      </c>
      <c r="G19" s="85">
        <f>E19*F19</f>
        <v/>
      </c>
    </row>
    <row r="20" ht="15" customHeight="1" s="36">
      <c r="C20" s="39" t="inlineStr">
        <is>
          <t>Score D4</t>
        </is>
      </c>
      <c r="G20" s="86">
        <f>SUM(G17:G19)</f>
        <v/>
      </c>
    </row>
    <row r="21" ht="15" customHeight="1" s="36">
      <c r="A21" s="77" t="inlineStr">
        <is>
          <t>D5</t>
        </is>
      </c>
      <c r="B21" s="77" t="inlineStr">
        <is>
          <t>D5.1</t>
        </is>
      </c>
      <c r="C21" s="77" t="inlineStr">
        <is>
          <t>Opérateur et contrat O&amp;M</t>
        </is>
      </c>
      <c r="D21" s="44" t="inlineStr">
        <is>
          <t>Favorable</t>
        </is>
      </c>
      <c r="E21" s="43">
        <f>Paramètres!$B$6</f>
        <v/>
      </c>
      <c r="F21" s="58" t="n">
        <v>0.35</v>
      </c>
      <c r="G21" s="85">
        <f>E21*F21</f>
        <v/>
      </c>
    </row>
    <row r="22" ht="15" customHeight="1" s="36">
      <c r="A22" s="77" t="inlineStr">
        <is>
          <t>D5</t>
        </is>
      </c>
      <c r="B22" s="77" t="inlineStr">
        <is>
          <t>D5.2</t>
        </is>
      </c>
      <c r="C22" s="77" t="inlineStr">
        <is>
          <t>Performance technique et disponibilité</t>
        </is>
      </c>
      <c r="D22" s="44" t="inlineStr">
        <is>
          <t>Favorable</t>
        </is>
      </c>
      <c r="E22" s="43">
        <f>Paramètres!$B$6</f>
        <v/>
      </c>
      <c r="F22" s="58" t="n">
        <v>0.4</v>
      </c>
      <c r="G22" s="85">
        <f>E22*F22</f>
        <v/>
      </c>
    </row>
    <row r="23" ht="15" customHeight="1" s="36">
      <c r="A23" s="77" t="inlineStr">
        <is>
          <t>D5</t>
        </is>
      </c>
      <c r="B23" s="77" t="inlineStr">
        <is>
          <t>D5.3</t>
        </is>
      </c>
      <c r="C23" s="77" t="inlineStr">
        <is>
          <t>Coûts, gros entretien et dépendances</t>
        </is>
      </c>
      <c r="D23" s="44" t="inlineStr">
        <is>
          <t>Favorable</t>
        </is>
      </c>
      <c r="E23" s="43">
        <f>Paramètres!$B$6</f>
        <v/>
      </c>
      <c r="F23" s="58" t="n">
        <v>0.25</v>
      </c>
      <c r="G23" s="85">
        <f>E23*F23</f>
        <v/>
      </c>
    </row>
    <row r="24" ht="15" customHeight="1" s="36">
      <c r="C24" s="39" t="inlineStr">
        <is>
          <t>Score D5</t>
        </is>
      </c>
      <c r="G24" s="86">
        <f>SUM(G21:G23)</f>
        <v/>
      </c>
    </row>
    <row r="25" ht="15" customHeight="1" s="36">
      <c r="A25" s="77" t="inlineStr">
        <is>
          <t>D6</t>
        </is>
      </c>
      <c r="B25" s="77" t="inlineStr">
        <is>
          <t>D6.1</t>
        </is>
      </c>
      <c r="C25" s="77" t="inlineStr">
        <is>
          <t>Acheteur ou payeur principal</t>
        </is>
      </c>
      <c r="D25" s="44" t="inlineStr">
        <is>
          <t>Favorable</t>
        </is>
      </c>
      <c r="E25" s="43">
        <f>Paramètres!$B$6</f>
        <v/>
      </c>
      <c r="F25" s="58" t="n">
        <v>0.5</v>
      </c>
      <c r="G25" s="85">
        <f>E25*F25</f>
        <v/>
      </c>
    </row>
    <row r="26" ht="15" customHeight="1" s="36">
      <c r="A26" s="77" t="inlineStr">
        <is>
          <t>D6</t>
        </is>
      </c>
      <c r="B26" s="77" t="inlineStr">
        <is>
          <t>D6.2</t>
        </is>
      </c>
      <c r="C26" s="77" t="inlineStr">
        <is>
          <t>Fournisseurs critiques</t>
        </is>
      </c>
      <c r="D26" s="45" t="inlineStr">
        <is>
          <t>Vigilance</t>
        </is>
      </c>
      <c r="E26" s="43">
        <f>Paramètres!$B$7</f>
        <v/>
      </c>
      <c r="F26" s="58" t="n">
        <v>0.2</v>
      </c>
      <c r="G26" s="85">
        <f>E26*F26</f>
        <v/>
      </c>
    </row>
    <row r="27" ht="15" customHeight="1" s="36">
      <c r="A27" s="77" t="inlineStr">
        <is>
          <t>D6</t>
        </is>
      </c>
      <c r="B27" s="77" t="inlineStr">
        <is>
          <t>D6.3</t>
        </is>
      </c>
      <c r="C27" s="77" t="inlineStr">
        <is>
          <t>Prêteurs et consortium</t>
        </is>
      </c>
      <c r="D27" s="42" t="inlineStr">
        <is>
          <t>Très favorable</t>
        </is>
      </c>
      <c r="E27" s="43">
        <f>Paramètres!$B$5</f>
        <v/>
      </c>
      <c r="F27" s="58" t="n">
        <v>0.3</v>
      </c>
      <c r="G27" s="85">
        <f>E27*F27</f>
        <v/>
      </c>
    </row>
    <row r="28" ht="15" customHeight="1" s="36">
      <c r="C28" s="39" t="inlineStr">
        <is>
          <t>Score D6</t>
        </is>
      </c>
      <c r="G28" s="86">
        <f>SUM(G25:G27)</f>
        <v/>
      </c>
    </row>
    <row r="29" ht="15" customHeight="1" s="36">
      <c r="A29" s="77" t="inlineStr">
        <is>
          <t>D8</t>
        </is>
      </c>
      <c r="B29" s="77" t="inlineStr">
        <is>
          <t>D8.1</t>
        </is>
      </c>
      <c r="C29" s="77" t="inlineStr">
        <is>
          <t>Documentation contractuelle et droits directs</t>
        </is>
      </c>
      <c r="D29" s="44" t="inlineStr">
        <is>
          <t>Favorable</t>
        </is>
      </c>
      <c r="E29" s="43">
        <f>Paramètres!$B$6</f>
        <v/>
      </c>
      <c r="F29" s="58" t="n">
        <v>0.35</v>
      </c>
      <c r="G29" s="85">
        <f>E29*F29</f>
        <v/>
      </c>
    </row>
    <row r="30" ht="15" customHeight="1" s="36">
      <c r="A30" s="77" t="inlineStr">
        <is>
          <t>D8</t>
        </is>
      </c>
      <c r="B30" s="77" t="inlineStr">
        <is>
          <t>D8.2</t>
        </is>
      </c>
      <c r="C30" s="77" t="inlineStr">
        <is>
          <t>Sûretés et opposabilité</t>
        </is>
      </c>
      <c r="D30" s="44" t="inlineStr">
        <is>
          <t>Favorable</t>
        </is>
      </c>
      <c r="E30" s="43">
        <f>Paramètres!$B$6</f>
        <v/>
      </c>
      <c r="F30" s="58" t="n">
        <v>0.4</v>
      </c>
      <c r="G30" s="85">
        <f>E30*F30</f>
        <v/>
      </c>
    </row>
    <row r="31" ht="15" customHeight="1" s="36">
      <c r="A31" s="77" t="inlineStr">
        <is>
          <t>D8</t>
        </is>
      </c>
      <c r="B31" s="77" t="inlineStr">
        <is>
          <t>D8.3</t>
        </is>
      </c>
      <c r="C31" s="77" t="inlineStr">
        <is>
          <t>Autorisations, cadre réglementaire, litiges</t>
        </is>
      </c>
      <c r="D31" s="42" t="inlineStr">
        <is>
          <t>Très favorable</t>
        </is>
      </c>
      <c r="E31" s="43">
        <f>Paramètres!$B$5</f>
        <v/>
      </c>
      <c r="F31" s="58" t="n">
        <v>0.25</v>
      </c>
      <c r="G31" s="85">
        <f>E31*F31</f>
        <v/>
      </c>
    </row>
    <row r="32" ht="15" customHeight="1" s="36">
      <c r="C32" s="39" t="inlineStr">
        <is>
          <t>Score D8</t>
        </is>
      </c>
      <c r="G32" s="86">
        <f>SUM(G29:G31)</f>
        <v/>
      </c>
    </row>
    <row r="33" ht="15" customHeight="1" s="36">
      <c r="A33" s="77" t="inlineStr">
        <is>
          <t>D9</t>
        </is>
      </c>
      <c r="B33" s="77" t="inlineStr">
        <is>
          <t>D9.1</t>
        </is>
      </c>
      <c r="C33" s="77" t="inlineStr">
        <is>
          <t>Environnement et ressources</t>
        </is>
      </c>
      <c r="D33" s="42" t="inlineStr">
        <is>
          <t>Très favorable</t>
        </is>
      </c>
      <c r="E33" s="43">
        <f>Paramètres!$B$5</f>
        <v/>
      </c>
      <c r="F33" s="58" t="n">
        <v>0.3</v>
      </c>
      <c r="G33" s="85">
        <f>E33*F33</f>
        <v/>
      </c>
    </row>
    <row r="34" ht="15" customHeight="1" s="36">
      <c r="A34" s="77" t="inlineStr">
        <is>
          <t>D9</t>
        </is>
      </c>
      <c r="B34" s="77" t="inlineStr">
        <is>
          <t>D9.2</t>
        </is>
      </c>
      <c r="C34" s="77" t="inlineStr">
        <is>
          <t>Social et acceptabilité</t>
        </is>
      </c>
      <c r="D34" s="44" t="inlineStr">
        <is>
          <t>Favorable</t>
        </is>
      </c>
      <c r="E34" s="43">
        <f>Paramètres!$B$6</f>
        <v/>
      </c>
      <c r="F34" s="58" t="n">
        <v>0.3</v>
      </c>
      <c r="G34" s="85">
        <f>E34*F34</f>
        <v/>
      </c>
    </row>
    <row r="35" ht="15" customHeight="1" s="36">
      <c r="A35" s="77" t="inlineStr">
        <is>
          <t>D9</t>
        </is>
      </c>
      <c r="B35" s="77" t="inlineStr">
        <is>
          <t>D9.3</t>
        </is>
      </c>
      <c r="C35" s="77" t="inlineStr">
        <is>
          <t>Gouvernance ESG et exécution</t>
        </is>
      </c>
      <c r="D35" s="44" t="inlineStr">
        <is>
          <t>Favorable</t>
        </is>
      </c>
      <c r="E35" s="43">
        <f>Paramètres!$B$6</f>
        <v/>
      </c>
      <c r="F35" s="58" t="n">
        <v>0.15</v>
      </c>
      <c r="G35" s="85">
        <f>E35*F35</f>
        <v/>
      </c>
    </row>
    <row r="36" ht="15" customHeight="1" s="36">
      <c r="A36" s="77" t="inlineStr">
        <is>
          <t>D9</t>
        </is>
      </c>
      <c r="B36" s="77" t="inlineStr">
        <is>
          <t>D9.4</t>
        </is>
      </c>
      <c r="C36" s="77" t="inlineStr">
        <is>
          <t>Climat résiduel</t>
        </is>
      </c>
      <c r="D36" s="44" t="inlineStr">
        <is>
          <t>Favorable</t>
        </is>
      </c>
      <c r="E36" s="43">
        <f>Paramètres!$B$6</f>
        <v/>
      </c>
      <c r="F36" s="58" t="n">
        <v>0.25</v>
      </c>
      <c r="G36" s="85">
        <f>E36*F36</f>
        <v/>
      </c>
    </row>
    <row r="37" ht="15" customHeight="1" s="36">
      <c r="C37" s="39" t="inlineStr">
        <is>
          <t>Score D9</t>
        </is>
      </c>
      <c r="G37" s="86">
        <f>SUM(G33:G36)</f>
        <v/>
      </c>
    </row>
    <row r="39" ht="15" customHeight="1" s="36">
      <c r="A39" s="76" t="inlineStr">
        <is>
          <t>Noyau D7</t>
        </is>
      </c>
    </row>
    <row r="40" ht="15" customHeight="1" s="36">
      <c r="A40" s="81" t="inlineStr">
        <is>
          <t>Code</t>
        </is>
      </c>
      <c r="B40" s="81" t="n"/>
      <c r="C40" s="81" t="inlineStr">
        <is>
          <t>Indicateur</t>
        </is>
      </c>
      <c r="D40" s="81" t="inlineStr">
        <is>
          <t>Comment</t>
        </is>
      </c>
      <c r="E40" s="81" t="inlineStr">
        <is>
          <t>Note</t>
        </is>
      </c>
      <c r="F40" s="81" t="inlineStr">
        <is>
          <t>Poids</t>
        </is>
      </c>
      <c r="G40" s="81" t="inlineStr">
        <is>
          <t>Note × poids</t>
        </is>
      </c>
    </row>
    <row r="41" ht="15" customHeight="1" s="36">
      <c r="A41" s="77" t="inlineStr">
        <is>
          <t>N1</t>
        </is>
      </c>
      <c r="C41" s="77" t="inlineStr">
        <is>
          <t>DSCR minimum, scénario central</t>
        </is>
      </c>
      <c r="D41" s="77" t="inlineStr">
        <is>
          <t>DSCR min 1,296 ≥ 1,25</t>
        </is>
      </c>
      <c r="E41" s="43">
        <f>Paramètres!$B$5</f>
        <v/>
      </c>
      <c r="F41" s="58" t="n">
        <v>0.25</v>
      </c>
      <c r="G41" s="85">
        <f>E41*F41</f>
        <v/>
      </c>
    </row>
    <row r="42" ht="15" customHeight="1" s="36">
      <c r="A42" s="77" t="inlineStr">
        <is>
          <t>N2</t>
        </is>
      </c>
      <c r="C42" s="77" t="inlineStr">
        <is>
          <t>DSCR minimum, scénario défavorable</t>
        </is>
      </c>
      <c r="D42" s="77" t="inlineStr">
        <is>
          <t>DSCR stressé 1,117</t>
        </is>
      </c>
      <c r="E42" s="43">
        <f>Paramètres!$B$7</f>
        <v/>
      </c>
      <c r="F42" s="58" t="n">
        <v>0.2</v>
      </c>
      <c r="G42" s="85">
        <f>E42*F42</f>
        <v/>
      </c>
    </row>
    <row r="43" ht="15" customHeight="1" s="36">
      <c r="A43" s="77" t="inlineStr">
        <is>
          <t>N3</t>
        </is>
      </c>
      <c r="C43" s="77" t="inlineStr">
        <is>
          <t>LLCR / financement à terminaison (P1)</t>
        </is>
      </c>
      <c r="D43" s="77" t="inlineStr">
        <is>
          <t>Couverture 105,7 %</t>
        </is>
      </c>
      <c r="E43" s="43">
        <f>Paramètres!$B$6</f>
        <v/>
      </c>
      <c r="F43" s="58" t="n">
        <v>0.15</v>
      </c>
      <c r="G43" s="85">
        <f>E43*F43</f>
        <v/>
      </c>
    </row>
    <row r="44" ht="15" customHeight="1" s="36">
      <c r="A44" s="77" t="inlineStr">
        <is>
          <t>N4</t>
        </is>
      </c>
      <c r="C44" s="77" t="inlineStr">
        <is>
          <t>Liquidité (DSRA, lignes, cascade)</t>
        </is>
      </c>
      <c r="D44" s="77" t="inlineStr">
        <is>
          <t>Situation choisie</t>
        </is>
      </c>
      <c r="E44" s="43">
        <f>Paramètres!$B$5</f>
        <v/>
      </c>
      <c r="F44" s="58" t="n">
        <v>0.15</v>
      </c>
      <c r="G44" s="85">
        <f>E44*F44</f>
        <v/>
      </c>
    </row>
    <row r="45" ht="15" customHeight="1" s="36">
      <c r="A45" s="77" t="inlineStr">
        <is>
          <t>N5</t>
        </is>
      </c>
      <c r="C45" s="77" t="inlineStr">
        <is>
          <t>Levier et fonds propres à risque</t>
        </is>
      </c>
      <c r="D45" s="77" t="inlineStr">
        <is>
          <t>Situation choisie</t>
        </is>
      </c>
      <c r="E45" s="43">
        <f>Paramètres!$B$5</f>
        <v/>
      </c>
      <c r="F45" s="58" t="n">
        <v>0.15</v>
      </c>
      <c r="G45" s="85">
        <f>E45*F45</f>
        <v/>
      </c>
    </row>
    <row r="46" ht="15" customHeight="1" s="36">
      <c r="A46" s="77" t="inlineStr">
        <is>
          <t>N6</t>
        </is>
      </c>
      <c r="C46" s="77" t="inlineStr">
        <is>
          <t>Exposition résiduelle taux / change / refinancement</t>
        </is>
      </c>
      <c r="D46" s="77" t="inlineStr">
        <is>
          <t>Situation choisie</t>
        </is>
      </c>
      <c r="E46" s="43">
        <f>Paramètres!$B$5</f>
        <v/>
      </c>
      <c r="F46" s="58" t="n">
        <v>0.1</v>
      </c>
      <c r="G46" s="85">
        <f>E46*F46</f>
        <v/>
      </c>
    </row>
    <row r="47" ht="15" customHeight="1" s="36">
      <c r="C47" s="39" t="inlineStr">
        <is>
          <t>Score D7</t>
        </is>
      </c>
      <c r="G47" s="86">
        <f>SUM(G41:G46)</f>
        <v/>
      </c>
    </row>
    <row r="49" ht="15" customHeight="1" s="36">
      <c r="A49" s="81" t="inlineStr">
        <is>
          <t>Domaine</t>
        </is>
      </c>
      <c r="B49" s="81" t="n"/>
      <c r="C49" s="81" t="inlineStr">
        <is>
          <t>Libellé</t>
        </is>
      </c>
      <c r="D49" s="81" t="n"/>
      <c r="E49" s="81" t="inlineStr">
        <is>
          <t>Score</t>
        </is>
      </c>
      <c r="F49" s="81" t="inlineStr">
        <is>
          <t>Poids P1</t>
        </is>
      </c>
      <c r="G49" s="81" t="inlineStr">
        <is>
          <t>Contribution</t>
        </is>
      </c>
    </row>
    <row r="50" ht="15" customHeight="1" s="36">
      <c r="A50" s="77" t="inlineStr">
        <is>
          <t>D1</t>
        </is>
      </c>
      <c r="C50" s="77" t="inlineStr">
        <is>
          <t>Sponsors et actionnariat</t>
        </is>
      </c>
      <c r="E50" s="85">
        <f>G8</f>
        <v/>
      </c>
      <c r="F50" s="58" t="n">
        <v>0.1</v>
      </c>
      <c r="G50" s="63">
        <f>E50*F50</f>
        <v/>
      </c>
    </row>
    <row r="51" ht="15" customHeight="1" s="36">
      <c r="A51" s="77" t="inlineStr">
        <is>
          <t>D2</t>
        </is>
      </c>
      <c r="C51" s="77" t="inlineStr">
        <is>
          <t>Projet, site, technologie</t>
        </is>
      </c>
      <c r="E51" s="85">
        <f>G12</f>
        <v/>
      </c>
      <c r="F51" s="58" t="n">
        <v>0.1</v>
      </c>
      <c r="G51" s="63">
        <f>E51*F51</f>
        <v/>
      </c>
    </row>
    <row r="52" ht="15" customHeight="1" s="36">
      <c r="A52" s="77" t="inlineStr">
        <is>
          <t>D3</t>
        </is>
      </c>
      <c r="C52" s="77" t="inlineStr">
        <is>
          <t>Construction et achèvement</t>
        </is>
      </c>
      <c r="E52" s="85">
        <f>G16</f>
        <v/>
      </c>
      <c r="F52" s="58" t="n">
        <v>0.2</v>
      </c>
      <c r="G52" s="63">
        <f>E52*F52</f>
        <v/>
      </c>
    </row>
    <row r="53" ht="15" customHeight="1" s="36">
      <c r="A53" s="77" t="inlineStr">
        <is>
          <t>D4</t>
        </is>
      </c>
      <c r="C53" s="77" t="inlineStr">
        <is>
          <t>Mécanisme des recettes</t>
        </is>
      </c>
      <c r="E53" s="85">
        <f>G20</f>
        <v/>
      </c>
      <c r="F53" s="58" t="n">
        <v>0.05</v>
      </c>
      <c r="G53" s="63">
        <f>E53*F53</f>
        <v/>
      </c>
    </row>
    <row r="54" ht="15" customHeight="1" s="36">
      <c r="A54" s="77" t="inlineStr">
        <is>
          <t>D5</t>
        </is>
      </c>
      <c r="C54" s="77" t="inlineStr">
        <is>
          <t>Exploitation et maintenance</t>
        </is>
      </c>
      <c r="E54" s="85">
        <f>G24</f>
        <v/>
      </c>
      <c r="F54" s="58" t="n">
        <v>0.05</v>
      </c>
      <c r="G54" s="63">
        <f>E54*F54</f>
        <v/>
      </c>
    </row>
    <row r="55" ht="15" customHeight="1" s="36">
      <c r="A55" s="77" t="inlineStr">
        <is>
          <t>D6</t>
        </is>
      </c>
      <c r="C55" s="77" t="inlineStr">
        <is>
          <t>Contreparties et consortium</t>
        </is>
      </c>
      <c r="E55" s="85">
        <f>G28</f>
        <v/>
      </c>
      <c r="F55" s="58" t="n">
        <v>0.1</v>
      </c>
      <c r="G55" s="63">
        <f>E55*F55</f>
        <v/>
      </c>
    </row>
    <row r="56" ht="15" customHeight="1" s="36">
      <c r="A56" s="77" t="inlineStr">
        <is>
          <t>D7</t>
        </is>
      </c>
      <c r="C56" s="77" t="inlineStr">
        <is>
          <t>Finance et trésorerie (noyau)</t>
        </is>
      </c>
      <c r="E56" s="85">
        <f>G47</f>
        <v/>
      </c>
      <c r="F56" s="58" t="n">
        <v>0.25</v>
      </c>
      <c r="G56" s="63">
        <f>E56*F56</f>
        <v/>
      </c>
    </row>
    <row r="57" ht="15" customHeight="1" s="36">
      <c r="A57" s="77" t="inlineStr">
        <is>
          <t>D8</t>
        </is>
      </c>
      <c r="C57" s="77" t="inlineStr">
        <is>
          <t>Juridique, sûretés, continuité</t>
        </is>
      </c>
      <c r="E57" s="85">
        <f>G32</f>
        <v/>
      </c>
      <c r="F57" s="58" t="n">
        <v>0.1</v>
      </c>
      <c r="G57" s="63">
        <f>E57*F57</f>
        <v/>
      </c>
    </row>
    <row r="58" ht="15" customHeight="1" s="36">
      <c r="A58" s="77" t="inlineStr">
        <is>
          <t>D9</t>
        </is>
      </c>
      <c r="C58" s="77" t="inlineStr">
        <is>
          <t>ESG et climat résiduel</t>
        </is>
      </c>
      <c r="E58" s="85">
        <f>G37</f>
        <v/>
      </c>
      <c r="F58" s="58" t="n">
        <v>0.05</v>
      </c>
      <c r="G58" s="63">
        <f>E58*F58</f>
        <v/>
      </c>
    </row>
    <row r="59" ht="15" customHeight="1" s="36">
      <c r="C59" s="39" t="inlineStr">
        <is>
          <t>SCORE GLOBAL</t>
        </is>
      </c>
      <c r="G59" s="87">
        <f>SUM(G50:G58)</f>
        <v/>
      </c>
    </row>
    <row r="60" ht="15" customHeight="1" s="36">
      <c r="C60" s="76" t="inlineStr">
        <is>
          <t>Note calculée (onglet Conversion)</t>
        </is>
      </c>
      <c r="G60" s="84">
        <f>INDEX(Conversion!$B$5:$B$14,MATCH(G59,Conversion!$A$5:$A$14,1))</f>
        <v/>
      </c>
    </row>
    <row r="61" ht="15" customHeight="1" s="36">
      <c r="C61" s="77" t="inlineStr">
        <is>
          <t>Plafonds et verrous actifs : aucun. Note approuvée = note calculée.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C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5" min="1" max="1"/>
    <col width="70" customWidth="1" style="35" min="2" max="2"/>
    <col width="60" customWidth="1" style="35" min="3" max="3"/>
  </cols>
  <sheetData>
    <row r="1" ht="19.7" customHeight="1" s="36">
      <c r="A1" s="80" t="inlineStr">
        <is>
          <t>Glossaire des termes techniques</t>
        </is>
      </c>
    </row>
    <row r="2" ht="15" customHeight="1" s="36">
      <c r="A2" s="79" t="inlineStr">
        <is>
          <t>Avec un exemple chiffré fictif pour chaque terme.</t>
        </is>
      </c>
    </row>
    <row r="4" ht="15" customHeight="1" s="36">
      <c r="A4" s="81" t="inlineStr">
        <is>
          <t>Terme</t>
        </is>
      </c>
      <c r="B4" s="81" t="inlineStr">
        <is>
          <t>Définition</t>
        </is>
      </c>
      <c r="C4" s="81" t="inlineStr">
        <is>
          <t>Exemple</t>
        </is>
      </c>
    </row>
    <row r="5" ht="31.5" customHeight="1" s="36">
      <c r="A5" s="76" t="inlineStr">
        <is>
          <t>CFADS</t>
        </is>
      </c>
      <c r="B5" s="77" t="inlineStr">
        <is>
          <t>Cash Flow Available for Debt Service : trésorerie disponible pour payer la dette, après charges d'exploitation, impôts et investissements de maintien.</t>
        </is>
      </c>
      <c r="C5" s="77" t="inlineStr">
        <is>
          <t>Recettes 73 − charges 11 − impôts et maintien 8 = CFADS 54 MMAD.</t>
        </is>
      </c>
    </row>
    <row r="6" ht="31.5" customHeight="1" s="36">
      <c r="A6" s="76" t="inlineStr">
        <is>
          <t>DSCR</t>
        </is>
      </c>
      <c r="B6" s="77" t="inlineStr">
        <is>
          <t>Debt Service Coverage Ratio : CFADS de la période ÷ service de la dette (intérêts + capital) de la période.</t>
        </is>
      </c>
      <c r="C6" s="77" t="inlineStr">
        <is>
          <t>CFADS semestriel 25,9 ÷ échéance 19,45 = DSCR 1,33.</t>
        </is>
      </c>
    </row>
    <row r="7" ht="31.5" customHeight="1" s="36">
      <c r="A7" s="76" t="inlineStr">
        <is>
          <t>LLCR</t>
        </is>
      </c>
      <c r="B7" s="77" t="inlineStr">
        <is>
          <t>Loan Life Coverage Ratio : valeur actualisée des CFADS sur la durée du prêt ÷ dette restante.</t>
        </is>
      </c>
      <c r="C7" s="77" t="inlineStr">
        <is>
          <t>VA des CFADS 680 ÷ dette 500 = LLCR 1,36.</t>
        </is>
      </c>
    </row>
    <row r="8" ht="31.5" customHeight="1" s="36">
      <c r="A8" s="76" t="inlineStr">
        <is>
          <t>DSRA</t>
        </is>
      </c>
      <c r="B8" s="77" t="inlineStr">
        <is>
          <t>Debt Service Reserve Account : compte de réserve bloqué, exprimé en mois de service de la dette.</t>
        </is>
      </c>
      <c r="C8" s="77" t="inlineStr">
        <is>
          <t>Échéance semestrielle de 19,45 : DSRA de 6 mois = 19,45 MMAD bloqués.</t>
        </is>
      </c>
    </row>
    <row r="9" ht="31.5" customHeight="1" s="36">
      <c r="A9" s="76" t="inlineStr">
        <is>
          <t>Financement à terminaison</t>
        </is>
      </c>
      <c r="B9" s="77" t="inlineStr">
        <is>
          <t>En construction : les ressources engagées couvrent-elles tout le besoin jusqu'à la mise en service ?</t>
        </is>
      </c>
      <c r="C9" s="77" t="inlineStr">
        <is>
          <t>Ressources 747 ÷ besoin 707 = 105,7 % : couverture suffisante.</t>
        </is>
      </c>
    </row>
    <row r="10" ht="31.5" customHeight="1" s="36">
      <c r="A10" s="76" t="inlineStr">
        <is>
          <t>Take-or-pay</t>
        </is>
      </c>
      <c r="B10" s="77" t="inlineStr">
        <is>
          <t>Contrat où l'acheteur paie une quantité garantie, qu'il la prenne ou non.</t>
        </is>
      </c>
      <c r="C10" s="77" t="inlineStr">
        <is>
          <t>L'office public paie 152 GWh par an même s'il n'en consomme que 140.</t>
        </is>
      </c>
    </row>
    <row r="11" ht="31.5" customHeight="1" s="36">
      <c r="A11" s="76" t="inlineStr">
        <is>
          <t>Paiement à la disponibilité</t>
        </is>
      </c>
      <c r="B11" s="77" t="inlineStr">
        <is>
          <t>L'autorité paie si l'ouvrage est disponible, quel que soit l'usage.</t>
        </is>
      </c>
      <c r="C11" s="77" t="inlineStr">
        <is>
          <t>L'hôpital est payé s'il est ouvert et conforme, même avec peu de patients.</t>
        </is>
      </c>
    </row>
    <row r="12" ht="31.5" customHeight="1" s="36">
      <c r="A12" s="76" t="inlineStr">
        <is>
          <t>EPC</t>
        </is>
      </c>
      <c r="B12" s="77" t="inlineStr">
        <is>
          <t>Engineering, Procurement, Construction : contrat clé-en-main confiant toute la construction à un seul constructeur.</t>
        </is>
      </c>
      <c r="C12" s="77" t="inlineStr">
        <is>
          <t>Le constructeur livre la centrale finie à prix et date garantis.</t>
        </is>
      </c>
    </row>
    <row r="13" ht="31.5" customHeight="1" s="36">
      <c r="A13" s="76" t="inlineStr">
        <is>
          <t>O&amp;M</t>
        </is>
      </c>
      <c r="B13" s="77" t="inlineStr">
        <is>
          <t>Operation and Maintenance : contrat d'exploitation et d'entretien.</t>
        </is>
      </c>
      <c r="C13" s="77" t="inlineStr">
        <is>
          <t>Un opérateur spécialisé exploite l'usine pendant 15 ans.</t>
        </is>
      </c>
    </row>
    <row r="14" ht="31.5" customHeight="1" s="36">
      <c r="A14" s="76" t="inlineStr">
        <is>
          <t>SPV</t>
        </is>
      </c>
      <c r="B14" s="77" t="inlineStr">
        <is>
          <t>Special Purpose Vehicle : société créée pour porter un seul projet ; la banque prête à cette société.</t>
        </is>
      </c>
      <c r="C14" s="77" t="inlineStr">
        <is>
          <t>« Solaris Drâa SA » ne possède que la centrale.</t>
        </is>
      </c>
    </row>
    <row r="15" ht="31.5" customHeight="1" s="36">
      <c r="A15" s="76" t="inlineStr">
        <is>
          <t>Sponsor</t>
        </is>
      </c>
      <c r="B15" s="77" t="inlineStr">
        <is>
          <t>Actionnaire qui développe le projet et apporte les fonds propres.</t>
        </is>
      </c>
      <c r="C15" s="77" t="inlineStr">
        <is>
          <t>Énergéticien international qui détient 60 % de la SPV.</t>
        </is>
      </c>
    </row>
    <row r="16" ht="31.5" customHeight="1" s="36">
      <c r="A16" s="76" t="inlineStr">
        <is>
          <t>Ballon (refinancement)</t>
        </is>
      </c>
      <c r="B16" s="77" t="inlineStr">
        <is>
          <t>Part de la dette non amortie, à rembourser en une fois à la fin.</t>
        </is>
      </c>
      <c r="C16" s="77" t="inlineStr">
        <is>
          <t>35 % du prêt dû en une fois à 10 ans (cas ETH).</t>
        </is>
      </c>
    </row>
    <row r="17" ht="31.5" customHeight="1" s="36">
      <c r="A17" s="76" t="inlineStr">
        <is>
          <t>Sculpture de l'amortissement</t>
        </is>
      </c>
      <c r="B17" s="77" t="inlineStr">
        <is>
          <t>Adapter chaque échéance aux flux de la période pour garder un DSCR stable.</t>
        </is>
      </c>
      <c r="C17" s="77" t="inlineStr">
        <is>
          <t>25 MMAD en campagne, 3,5 MMAD hors campagne (cas C4B).</t>
        </is>
      </c>
    </row>
    <row r="18" ht="31.5" customHeight="1" s="36">
      <c r="A18" s="76" t="inlineStr">
        <is>
          <t>Cascade (waterfall)</t>
        </is>
      </c>
      <c r="B18" s="77" t="inlineStr">
        <is>
          <t>Ordre de priorité des paiements sur les comptes de la SPV : charges, dette, réserves, puis dividendes.</t>
        </is>
      </c>
      <c r="C18" s="77" t="inlineStr">
        <is>
          <t>Aucun dividende tant que la DSRA n'est pas pleine.</t>
        </is>
      </c>
    </row>
    <row r="19" ht="31.5" customHeight="1" s="36">
      <c r="A19" s="76" t="inlineStr">
        <is>
          <t>Accord direct</t>
        </is>
      </c>
      <c r="B19" s="77" t="inlineStr">
        <is>
          <t>Contrat entre la banque et une contrepartie de la SPV permettant à la banque de se substituer.</t>
        </is>
      </c>
      <c r="C19" s="77" t="inlineStr">
        <is>
          <t>Si la SPV fait défaut, la banque reprend le contrat d'achat.</t>
        </is>
      </c>
    </row>
    <row r="20" ht="31.5" customHeight="1" s="36">
      <c r="A20" s="76" t="inlineStr">
        <is>
          <t>P50 / P90</t>
        </is>
      </c>
      <c r="B20" s="77" t="inlineStr">
        <is>
          <t>Production atteinte avec 50 % / 90 % de probabilité.</t>
        </is>
      </c>
      <c r="C20" s="77" t="inlineStr">
        <is>
          <t>P50 152 GWh ; P90 140 GWh (scénario prudent).</t>
        </is>
      </c>
    </row>
    <row r="21" ht="31.5" customHeight="1" s="36">
      <c r="A21" s="76" t="inlineStr">
        <is>
          <t>Régime de proportionnalité S / M / L</t>
        </is>
      </c>
      <c r="B21" s="77" t="inlineStr">
        <is>
          <t>Profondeur d'analyse exigée, calculée selon taille et complexité.</t>
        </is>
      </c>
      <c r="C21" s="77" t="inlineStr">
        <is>
          <t>Projet de 108 MMAD en MAD, R1 : régime S (cas C5).</t>
        </is>
      </c>
    </row>
    <row r="22" ht="31.5" customHeight="1" s="36">
      <c r="A22" s="76" t="inlineStr">
        <is>
          <t>Plafond</t>
        </is>
      </c>
      <c r="B22" s="77" t="inlineStr">
        <is>
          <t>Note maximale imposée par un fait objectif, quelle que soit la moyenne.</t>
        </is>
      </c>
      <c r="C22" s="77" t="inlineStr">
        <is>
          <t>DSCR stressé 0,75 &lt; 1,00 : note limitée à 4 (C3).</t>
        </is>
      </c>
    </row>
    <row r="23" ht="31.5" customHeight="1" s="36">
      <c r="A23" s="76" t="inlineStr">
        <is>
          <t>Verrou</t>
        </is>
      </c>
      <c r="B23" s="77" t="inlineStr">
        <is>
          <t>Fait qui empêche la note (exclusion X) ou la rend provisoire (blocage B).</t>
        </is>
      </c>
      <c r="C23" s="77" t="inlineStr">
        <is>
          <t>EPC non signé en construction : blocage B2.</t>
        </is>
      </c>
    </row>
    <row r="24" ht="31.5" customHeight="1" s="36">
      <c r="A24" s="76" t="inlineStr">
        <is>
          <t>Information insuffisante</t>
        </is>
      </c>
      <c r="B24" s="77" t="inlineStr">
        <is>
          <t>Pièce manquante : comptée 20 (comme Critique), note provisoire, commentaire exigé.</t>
        </is>
      </c>
      <c r="C24" s="77" t="inlineStr">
        <is>
          <t>Étude d'impact social non remise (cas SAN).</t>
        </is>
      </c>
    </row>
    <row r="25" ht="31.5" customHeight="1" s="36">
      <c r="A25" s="76" t="inlineStr">
        <is>
          <t>Aléa climatique</t>
        </is>
      </c>
      <c r="B25" s="77" t="inlineStr">
        <is>
          <t>Phénomène physique lié au climat qui peut toucher le site : chaleur extrême, sécheresse, inondation, submersion marine, feux, tempêtes.</t>
        </is>
      </c>
      <c r="C25" s="77" t="inlineStr">
        <is>
          <t>Site littoral : submersion marine évaluée « Élevé » par l'étude d'impact (cas EAU).</t>
        </is>
      </c>
    </row>
    <row r="26" ht="31.5" customHeight="1" s="36">
      <c r="A26" s="76" t="inlineStr">
        <is>
          <t>Risque de transition</t>
        </is>
      </c>
      <c r="B26" s="77" t="inlineStr">
        <is>
          <t>Exposition du projet aux politiques climatiques : prix du carbone, normes, demande, actifs fossiles.</t>
        </is>
      </c>
      <c r="C26" s="77" t="inlineStr">
        <is>
          <t>Centrale au gaz sans plan de transition : risque élevé (cas ETH).</t>
        </is>
      </c>
    </row>
    <row r="27" ht="31.5" customHeight="1" s="36">
      <c r="A27" s="76" t="inlineStr">
        <is>
          <t>MACF (CBAM)</t>
        </is>
      </c>
      <c r="B27" s="77" t="inlineStr">
        <is>
          <t>Mécanisme d'ajustement carbone aux frontières de l'UE : coût carbone sur certaines importations (ciment, acier, aluminium, engrais, hydrogène, électricité).</t>
        </is>
      </c>
      <c r="C27" s="77" t="inlineStr">
        <is>
          <t>Usine exportant 30 % de son chiffre d'affaires en acier vers l'UE : transition élevée.</t>
        </is>
      </c>
    </row>
    <row r="28" ht="31.5" customHeight="1" s="36">
      <c r="A28" s="76" t="inlineStr">
        <is>
          <t>Scénario climatique</t>
        </is>
      </c>
      <c r="B28" s="77" t="inlineStr">
        <is>
          <t>Aléa plausible pour le site, chiffré en baisse du CFADS : (recettes perdues + charges en plus) ÷ CFADS central.</t>
        </is>
      </c>
      <c r="C28" s="77" t="inlineStr">
        <is>
          <t>Sécheresse sur deux campagnes : CFADS − 20 %, DSCR 1,37 → 1,10 (cas AGR).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0" customWidth="1" style="35" min="1" max="1"/>
    <col width="10" customWidth="1" style="35" min="2" max="2"/>
    <col width="18" customWidth="1" style="35" min="4" max="8"/>
  </cols>
  <sheetData>
    <row r="1" ht="19.7" customHeight="1" s="36">
      <c r="A1" s="80" t="inlineStr">
        <is>
          <t>Paramètres utilisés par cette grille</t>
        </is>
      </c>
    </row>
    <row r="2" ht="15" customHeight="1" s="36">
      <c r="A2" s="79" t="inlineStr">
        <is>
          <t>Valeurs candidates du modèle (identiques à l'onglet Paramètres de l'outil). Modifiez une cellule bleue : toute la grille suit.</t>
        </is>
      </c>
    </row>
    <row r="4" ht="15" customHeight="1" s="36">
      <c r="A4" s="81" t="inlineStr">
        <is>
          <t>Niveau</t>
        </is>
      </c>
      <c r="B4" s="81" t="inlineStr">
        <is>
          <t>Note</t>
        </is>
      </c>
      <c r="D4" s="88" t="inlineStr">
        <is>
          <t>« Info. insuffisante » est comptée comme Critique (20), rend la note provisoire (blocage B7, plafond C15) et exige un commentaire.</t>
        </is>
      </c>
    </row>
    <row r="5" ht="15" customHeight="1" s="36">
      <c r="A5" s="42" t="inlineStr">
        <is>
          <t>Très favorable</t>
        </is>
      </c>
      <c r="B5" s="78" t="n">
        <v>100</v>
      </c>
    </row>
    <row r="6" ht="15" customHeight="1" s="36">
      <c r="A6" s="44" t="inlineStr">
        <is>
          <t>Favorable</t>
        </is>
      </c>
      <c r="B6" s="78" t="n">
        <v>80</v>
      </c>
    </row>
    <row r="7" ht="15" customHeight="1" s="36">
      <c r="A7" s="45" t="inlineStr">
        <is>
          <t>Vigilance</t>
        </is>
      </c>
      <c r="B7" s="78" t="n">
        <v>50</v>
      </c>
    </row>
    <row r="8" ht="12.65" customHeight="1" s="36">
      <c r="A8" s="46" t="inlineStr">
        <is>
          <t>Critique</t>
        </is>
      </c>
      <c r="B8" s="78" t="n">
        <v>20</v>
      </c>
    </row>
    <row r="9" ht="15" customHeight="1" s="36">
      <c r="A9" s="47" t="inlineStr">
        <is>
          <t>Info. insuffisante</t>
        </is>
      </c>
      <c r="B9" s="78" t="n">
        <v>20</v>
      </c>
    </row>
  </sheetData>
  <mergeCells count="1">
    <mergeCell ref="D4:H8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2026-10-18T16:50:03Z</dcterms:created>
  <dcterms:modified xmlns:dcterms="http://purl.org/dc/terms/" xmlns:xsi="http://www.w3.org/2001/XMLSchema-instance" xsi:type="dcterms:W3CDTF">2026-10-27T11:55:28Z</dcterms:modified>
  <cp:revision>0</cp:revision>
</cp:coreProperties>
</file>