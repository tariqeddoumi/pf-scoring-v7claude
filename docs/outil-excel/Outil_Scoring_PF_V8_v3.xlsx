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ccueil" sheetId="1" r:id="rId1"/>
    <sheet name="Synthèse" sheetId="2" r:id="rId2"/>
    <sheet name="Fiche comité" sheetId="3" r:id="rId3"/>
    <sheet name="Comparaison" sheetId="4" r:id="rId4"/>
    <sheet name="C1" sheetId="5" r:id="rId5"/>
    <sheet name="C2" sheetId="6" r:id="rId6"/>
    <sheet name="C3" sheetId="7" r:id="rId7"/>
    <sheet name="C4A" sheetId="8" r:id="rId8"/>
    <sheet name="C4B" sheetId="9" r:id="rId9"/>
    <sheet name="C5" sheetId="10" r:id="rId10"/>
    <sheet name="ENR" sheetId="11" r:id="rId11"/>
    <sheet name="EAU" sheetId="12" r:id="rId12"/>
    <sheet name="TEL" sheetId="13" r:id="rId13"/>
    <sheet name="TRA" sheetId="14" r:id="rId14"/>
    <sheet name="POR" sheetId="15" r:id="rId15"/>
    <sheet name="SAN" sheetId="16" r:id="rId16"/>
    <sheet name="ETH" sheetId="17" r:id="rId17"/>
    <sheet name="IMMO" sheetId="18" r:id="rId18"/>
    <sheet name="IND" sheetId="19" r:id="rId19"/>
    <sheet name="AGR" sheetId="20" r:id="rId20"/>
    <sheet name="TOU" sheetId="21" r:id="rId21"/>
    <sheet name="MIN" sheetId="22" r:id="rId22"/>
    <sheet name="Modèle" sheetId="23" state="hidden" r:id="rId23"/>
    <sheet name="Référentiel des niveaux" sheetId="24" r:id="rId24"/>
    <sheet name="Paramètres" sheetId="25" r:id="rId25"/>
    <sheet name="Concordance" sheetId="26" r:id="rId26"/>
    <sheet name="Champs IA" sheetId="27" r:id="rId27"/>
    <sheet name="Revue IA" sheetId="28" r:id="rId28"/>
    <sheet name="Diagnostic" sheetId="29" r:id="rId29"/>
    <sheet name="Journal" sheetId="30" r:id="rId30"/>
  </sheets>
  <definedNames>
    <definedName name="_xlnm._FilterDatabase" localSheetId="26" hidden="1">'Champs IA'!$A$11:$E$472</definedName>
    <definedName name="IA_Champs">'Champs IA'!$A$12:$D$472</definedName>
    <definedName name="L_Avis">'Paramètres'!$C$82:$C$85</definedName>
    <definedName name="L_Decision">'Paramètres'!$D$82:$D$85</definedName>
    <definedName name="L_Devise">'Paramètres'!$B$82:$B$85</definedName>
    <definedName name="L_Nature">'Paramètres'!$D$70:$D$77</definedName>
    <definedName name="L_NatureCredit">'Paramètres'!$A$82:$A$87</definedName>
    <definedName name="L_Notes">'Paramètres'!$B$70:$B$74</definedName>
    <definedName name="L_OuiNon">'Paramètres'!$A$70:$A$71</definedName>
    <definedName name="L_Periodicite">'Paramètres'!$C$70:$C$72</definedName>
    <definedName name="L_QualAch">'Paramètres'!$E$70:$E$72</definedName>
    <definedName name="P_Ancre_C">'Paramètres'!$C$63</definedName>
    <definedName name="P_Ancre_F">'Paramètres'!$C$61</definedName>
    <definedName name="P_Ancre_TF">'Paramètres'!$C$60</definedName>
    <definedName name="P_Ancre_V">'Paramètres'!$C$62</definedName>
    <definedName name="P_C10">'Paramètres'!$J$55</definedName>
    <definedName name="P_C13">'Paramètres'!$J$56</definedName>
    <definedName name="P_C1">'Paramètres'!$J$48</definedName>
    <definedName name="P_C3">'Paramètres'!$J$49</definedName>
    <definedName name="P_C4">'Paramètres'!$J$50</definedName>
    <definedName name="P_C6">'Paramètres'!$J$51</definedName>
    <definedName name="P_C7">'Paramètres'!$J$52</definedName>
    <definedName name="P_C8">'Paramètres'!$J$53</definedName>
    <definedName name="P_C9">'Paramètres'!$J$54</definedName>
    <definedName name="P_ConvLib">'Paramètres'!$J$6:$J$15</definedName>
    <definedName name="P_ConvNote">'Paramètres'!$I$6:$I$15</definedName>
    <definedName name="P_ConvOrient">'Paramètres'!$K$6:$K$15</definedName>
    <definedName name="P_ConvSeuil">'Paramètres'!$H$6:$H$15</definedName>
    <definedName name="P_COUV">'Paramètres'!$J$57</definedName>
    <definedName name="P_Crit">'Paramètres'!$C$6:$C$9</definedName>
    <definedName name="P_DomCodes">'Paramètres'!$A$37:$A$45</definedName>
    <definedName name="P_DomLib">'Paramètres'!$B$37:$B$45</definedName>
    <definedName name="P_Fav">'Paramètres'!$E$6:$E$9</definedName>
    <definedName name="P_InfoInsuff">'Paramètres'!$C$64</definedName>
    <definedName name="P_L_CAPEX">'Paramètres'!$J$42</definedName>
    <definedName name="P_L_EXPO">'Paramètres'!$J$43</definedName>
    <definedName name="P_L_NBCP">'Paramètres'!$J$44</definedName>
    <definedName name="P_N3_F">'Paramètres'!$J$46</definedName>
    <definedName name="P_N3_TF">'Paramètres'!$J$45</definedName>
    <definedName name="P_N3_V">'Paramètres'!$J$47</definedName>
    <definedName name="P_PhaseCodes">'Paramètres'!$A$30:$A$32</definedName>
    <definedName name="P_PhaseLib">'Paramètres'!$B$30:$B$32</definedName>
    <definedName name="P_PhaseMaj">'Paramètres'!$C$30:$C$32</definedName>
    <definedName name="P_PlafCode">'Paramètres'!$H$20:$H$34</definedName>
    <definedName name="P_PlafFait">'Paramètres'!$I$20:$I$34</definedName>
    <definedName name="P_PlafNiv">'Paramètres'!$J$20:$J$34</definedName>
    <definedName name="P_PoidsDom">'Paramètres'!$C$37:$E$45</definedName>
    <definedName name="P_PoidsHdr">'Paramètres'!$C$36:$E$36</definedName>
    <definedName name="P_PoidsN">'Paramètres'!$C$50:$C$55</definedName>
    <definedName name="P_Regimes">'Paramètres'!$A$6:$A$9</definedName>
    <definedName name="P_RegLib">'Paramètres'!$B$6:$B$9</definedName>
    <definedName name="P_S_CAPEX">'Paramètres'!$J$39</definedName>
    <definedName name="P_S_DUREE">'Paramètres'!$J$41</definedName>
    <definedName name="P_S_EXPO">'Paramètres'!$J$40</definedName>
    <definedName name="P_SCCle">'Paramètres'!$H$62:$H$86</definedName>
    <definedName name="P_SCPoids">'Paramètres'!$J$62:$J$86</definedName>
    <definedName name="P_SecCodes">'Paramètres'!$A$14:$A$25</definedName>
    <definedName name="P_SecDelta">'Paramètres'!$C$14:$C$25</definedName>
    <definedName name="P_SecLib">'Paramètres'!$B$14:$B$25</definedName>
    <definedName name="P_Vig">'Paramètres'!$D$6:$D$9</definedName>
    <definedName name="_xlnm.Print_Area" localSheetId="19">AGR!$A$1:$H$286</definedName>
    <definedName name="_xlnm.Print_Area" localSheetId="4">'C1'!$A$1:$H$286</definedName>
    <definedName name="_xlnm.Print_Area" localSheetId="5">'C2'!$A$1:$H$286</definedName>
    <definedName name="_xlnm.Print_Area" localSheetId="6">'C3'!$A$1:$H$286</definedName>
    <definedName name="_xlnm.Print_Area" localSheetId="7">'C4A'!$A$1:$H$286</definedName>
    <definedName name="_xlnm.Print_Area" localSheetId="8">'C4B'!$A$1:$H$286</definedName>
    <definedName name="_xlnm.Print_Area" localSheetId="9">'C5'!$A$1:$H$286</definedName>
    <definedName name="_xlnm.Print_Area" localSheetId="3">Comparaison!$A$1:$D$43</definedName>
    <definedName name="_xlnm.Print_Area" localSheetId="11">EAU!$A$1:$H$286</definedName>
    <definedName name="_xlnm.Print_Area" localSheetId="10">ENR!$A$1:$H$286</definedName>
    <definedName name="_xlnm.Print_Area" localSheetId="16">ETH!$A$1:$H$286</definedName>
    <definedName name="_xlnm.Print_Area" localSheetId="2">'Fiche comité'!$A$1:$F$75</definedName>
    <definedName name="_xlnm.Print_Area" localSheetId="17">IMMO!$A$1:$H$286</definedName>
    <definedName name="_xlnm.Print_Area" localSheetId="18">IND!$A$1:$H$286</definedName>
    <definedName name="_xlnm.Print_Area" localSheetId="21">MIN!$A$1:$H$286</definedName>
    <definedName name="_xlnm.Print_Area" localSheetId="22">Modèle!$A$1:$H$286</definedName>
    <definedName name="_xlnm.Print_Area" localSheetId="14">POR!$A$1:$H$286</definedName>
    <definedName name="_xlnm.Print_Area" localSheetId="15">SAN!$A$1:$H$286</definedName>
    <definedName name="_xlnm.Print_Area" localSheetId="1">Synthèse!$A$1:$S$29</definedName>
    <definedName name="_xlnm.Print_Area" localSheetId="12">TEL!$A$1:$H$286</definedName>
    <definedName name="_xlnm.Print_Area" localSheetId="20">TOU!$A$1:$H$286</definedName>
    <definedName name="_xlnm.Print_Area" localSheetId="13">TRA!$A$1:$H$286</definedName>
    <definedName name="_xlnm.Print_Titles" localSheetId="19">AGR!$1:$11</definedName>
    <definedName name="_xlnm.Print_Titles" localSheetId="4">'C1'!$1:$11</definedName>
    <definedName name="_xlnm.Print_Titles" localSheetId="5">'C2'!$1:$11</definedName>
    <definedName name="_xlnm.Print_Titles" localSheetId="6">'C3'!$1:$11</definedName>
    <definedName name="_xlnm.Print_Titles" localSheetId="7">'C4A'!$1:$11</definedName>
    <definedName name="_xlnm.Print_Titles" localSheetId="8">'C4B'!$1:$11</definedName>
    <definedName name="_xlnm.Print_Titles" localSheetId="9">'C5'!$1:$11</definedName>
    <definedName name="_xlnm.Print_Titles" localSheetId="11">EAU!$1:$11</definedName>
    <definedName name="_xlnm.Print_Titles" localSheetId="10">ENR!$1:$11</definedName>
    <definedName name="_xlnm.Print_Titles" localSheetId="16">ETH!$1:$11</definedName>
    <definedName name="_xlnm.Print_Titles" localSheetId="17">IMMO!$1:$11</definedName>
    <definedName name="_xlnm.Print_Titles" localSheetId="18">IND!$1:$11</definedName>
    <definedName name="_xlnm.Print_Titles" localSheetId="21">MIN!$1:$11</definedName>
    <definedName name="_xlnm.Print_Titles" localSheetId="22">Modèle!$1:$11</definedName>
    <definedName name="_xlnm.Print_Titles" localSheetId="14">POR!$1:$11</definedName>
    <definedName name="_xlnm.Print_Titles" localSheetId="23">'Référentiel des niveaux'!$7:$7</definedName>
    <definedName name="_xlnm.Print_Titles" localSheetId="15">SAN!$1:$11</definedName>
    <definedName name="_xlnm.Print_Titles" localSheetId="12">TEL!$1:$11</definedName>
    <definedName name="_xlnm.Print_Titles" localSheetId="20">TOU!$1:$11</definedName>
    <definedName name="_xlnm.Print_Titles" localSheetId="13">TRA!$1:$11</definedName>
    <definedName name="R_Cles">'Référentiel des niveaux'!$J$8:$J$83</definedName>
    <definedName name="R_Opt1">'Référentiel des niveaux'!$D$8</definedName>
    <definedName name="R_Opts">'Référentiel des niveaux'!$D$8:$H$83</definedName>
    <definedName name="R_SecChamps">'Référentiel des niveaux'!$M$88:$R$99</definedName>
    <definedName name="R_SecCodes">'Référentiel des niveaux'!$L$88:$L$99</definedName>
    <definedName name="R_SecUnites">'Référentiel des niveaux'!$S$88:$X$99</definedName>
  </definedNames>
  <calcPr calcId="124519" fullCalcOnLoad="1"/>
</workbook>
</file>

<file path=xl/comments1.xml><?xml version="1.0" encoding="utf-8"?>
<comments xmlns="http://schemas.openxmlformats.org/spreadsheetml/2006/main">
  <authors>
    <author/>
  </authors>
  <commentList>
    <comment ref="C29" authorId="0">
      <text>
        <r>
          <rPr>
            <sz val="8"/>
            <color indexed="81"/>
            <rFont val="Tahoma"/>
            <family val="2"/>
          </rPr>
          <t>Repère du DSCR : seuil critique applicable (régime + secteur + phase).</t>
        </r>
      </text>
    </comment>
  </commentList>
</comments>
</file>

<file path=xl/comments2.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3"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(1,117), saisi en dur dans le classeur d'origine.</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3.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(1,094), saisi en dur dans le classeur d'origine.</t>
        </r>
      </text>
    </comment>
    <comment ref="B175" authorId="0">
      <text>
        <r>
          <rPr>
            <sz val="8"/>
            <color indexed="81"/>
            <rFont val="Tahoma"/>
            <family val="2"/>
          </rPr>
          <t>Valeur reconstituée à partir du récit du cas (champ absent du classeur d'origine) — à confirmer.</t>
        </r>
      </text>
    </comment>
    <comment ref="B178" authorId="0">
      <text>
        <r>
          <rPr>
            <sz val="8"/>
            <color indexed="81"/>
            <rFont val="Tahoma"/>
            <family val="2"/>
          </rPr>
          <t>Valeur reconstituée à partir du récit du cas (champ absent du classeur d'origine) — à confirmer.</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4.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3" authorId="0">
      <text>
        <r>
          <rPr>
            <sz val="8"/>
            <color indexed="81"/>
            <rFont val="Tahoma"/>
            <family val="2"/>
          </rPr>
          <t>Valeur reconstituée à partir du récit du cas (champ absent du classeur d'origine) — à confirmer.</t>
        </r>
      </text>
    </comment>
    <comment ref="B34"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(0,752), saisi en dur dans le classeur d'origine.</t>
        </r>
      </text>
    </comment>
    <comment ref="B177" authorId="0">
      <text>
        <r>
          <rPr>
            <sz val="8"/>
            <color indexed="81"/>
            <rFont val="Tahoma"/>
            <family val="2"/>
          </rPr>
          <t>Valeur reconstituée à partir du récit du cas (champ absent du classeur d'origine) — à confirmer.</t>
        </r>
      </text>
    </comment>
    <comment ref="B178" authorId="0">
      <text>
        <r>
          <rPr>
            <sz val="8"/>
            <color indexed="81"/>
            <rFont val="Tahoma"/>
            <family val="2"/>
          </rPr>
          <t>Valeur reconstituée à partir du récit du cas (champ absent du classeur d'origine) — à confirmer.</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5.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3" authorId="0">
      <text>
        <r>
          <rPr>
            <sz val="8"/>
            <color indexed="81"/>
            <rFont val="Tahoma"/>
            <family val="2"/>
          </rPr>
          <t>Valeur reconstituée à partir du récit du cas (champ absent du classeur d'origine) — à confirmer.</t>
        </r>
      </text>
    </comment>
    <comment ref="B34"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(0,395), saisi en dur dans le classeur d'origine.</t>
        </r>
      </text>
    </comment>
    <comment ref="B177" authorId="0">
      <text>
        <r>
          <rPr>
            <sz val="8"/>
            <color indexed="81"/>
            <rFont val="Tahoma"/>
            <family val="2"/>
          </rPr>
          <t>Valeur reconstituée à partir du récit du cas (champ absent du classeur d'origine) — à confirmer.</t>
        </r>
      </text>
    </comment>
    <comment ref="B178" authorId="0">
      <text>
        <r>
          <rPr>
            <sz val="8"/>
            <color indexed="81"/>
            <rFont val="Tahoma"/>
            <family val="2"/>
          </rPr>
          <t>Valeur reconstituée à partir du récit du cas (champ absent du classeur d'origine) — à confirmer.</t>
        </r>
      </text>
    </comment>
    <comment ref="B179" authorId="0">
      <text>
        <r>
          <rPr>
            <sz val="8"/>
            <color indexed="81"/>
            <rFont val="Tahoma"/>
            <family val="2"/>
          </rPr>
          <t>Valeur reconstituée à partir du récit du cas (champ absent du classeur d'origine) — à confirmer.</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6.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29"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1"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3" authorId="0">
      <text>
        <r>
          <rPr>
            <sz val="8"/>
            <color indexed="81"/>
            <rFont val="Tahoma"/>
            <family val="2"/>
          </rPr>
          <t>Valeur reconstituée à partir du récit du cas (champ absent du classeur d'origine) — à confirmer.</t>
        </r>
      </text>
    </comment>
    <comment ref="B34"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(1,132), saisi en dur dans le classeur d'origine.</t>
        </r>
      </text>
    </comment>
    <comment ref="B177" authorId="0">
      <text>
        <r>
          <rPr>
            <sz val="8"/>
            <color indexed="81"/>
            <rFont val="Tahoma"/>
            <family val="2"/>
          </rPr>
          <t>Valeur reconstituée à partir du récit du cas (champ absent du classeur d'origine) — à confirmer.</t>
        </r>
      </text>
    </comment>
    <comment ref="B178" authorId="0">
      <text>
        <r>
          <rPr>
            <sz val="8"/>
            <color indexed="81"/>
            <rFont val="Tahoma"/>
            <family val="2"/>
          </rPr>
          <t>Valeur reconstituée à partir du récit du cas (champ absent du classeur d'origine) — à confirmer.</t>
        </r>
      </text>
    </comment>
    <comment ref="B179" authorId="0">
      <text>
        <r>
          <rPr>
            <sz val="8"/>
            <color indexed="81"/>
            <rFont val="Tahoma"/>
            <family val="2"/>
          </rPr>
          <t>Valeur reconstituée à partir du récit du cas (champ absent du classeur d'origine) — à confirmer.</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7.xml><?xml version="1.0" encoding="utf-8"?>
<comments xmlns="http://schemas.openxmlformats.org/spreadsheetml/2006/main">
  <authors>
    <author/>
  </authors>
  <commentList>
    <comment ref="B26" authorId="0">
      <text>
        <r>
          <rPr>
            <sz val="8"/>
            <color indexed="81"/>
            <rFont val="Tahoma"/>
            <family val="2"/>
          </rPr>
          <t>Valeur reconstituée à partir du récit du cas (champ absent du classeur d'origine) — à confirmer.</t>
        </r>
      </text>
    </comment>
    <comment ref="B30" authorId="0">
      <text>
        <r>
          <rPr>
            <sz val="8"/>
            <color indexed="81"/>
            <rFont val="Tahoma"/>
            <family val="2"/>
          </rPr>
          <t>Valeur reconstituée à partir du récit du cas (champ absent du classeur d'origine) — à confirmer.</t>
        </r>
      </text>
    </comment>
    <comment ref="B32" authorId="0">
      <text>
        <r>
          <rPr>
            <sz val="8"/>
            <color indexed="81"/>
            <rFont val="Tahoma"/>
            <family val="2"/>
          </rPr>
          <t>Valeur reconstituée à partir du récit du cas (champ absent du classeur d'origine) — à confirmer.</t>
        </r>
      </text>
    </comment>
    <comment ref="B33" authorId="0">
      <text>
        <r>
          <rPr>
            <sz val="8"/>
            <color indexed="81"/>
            <rFont val="Tahoma"/>
            <family val="2"/>
          </rPr>
          <t>Valeur reconstituée à partir du récit du cas (champ absent du classeur d'origine) — à confirmer.</t>
        </r>
      </text>
    </comment>
    <comment ref="B34" authorId="0">
      <text>
        <r>
          <rPr>
            <sz val="8"/>
            <color indexed="81"/>
            <rFont val="Tahoma"/>
            <family val="2"/>
          </rPr>
          <t>Valeur reconstituée à partir du récit du cas (champ absent du classeur d'origine) — à confirmer.</t>
        </r>
      </text>
    </comment>
    <comment ref="B35" authorId="0">
      <text>
        <r>
          <rPr>
            <sz val="8"/>
            <color indexed="81"/>
            <rFont val="Tahoma"/>
            <family val="2"/>
          </rPr>
          <t>Valeur reconstituée à partir du récit du cas (champ absent du classeur d'origine) — à confirmer.</t>
        </r>
      </text>
    </comment>
    <comment ref="B36" authorId="0">
      <text>
        <r>
          <rPr>
            <sz val="8"/>
            <color indexed="81"/>
            <rFont val="Tahoma"/>
            <family val="2"/>
          </rPr>
          <t>Valeur reconstituée à partir du récit du cas (champ absent du classeur d'origine) — à confirmer.</t>
        </r>
      </text>
    </commen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B91" authorId="0">
      <text>
        <r>
          <rPr>
            <sz val="8"/>
            <color indexed="81"/>
            <rFont val="Tahoma"/>
            <family val="2"/>
          </rPr>
          <t>Choc calibré pour reproduire le DSCR stressé du modèle de flux de l'analyste (1,564), saisi en dur dans le classeur d'origine.</t>
        </r>
      </text>
    </comment>
    <comment ref="B179" authorId="0">
      <text>
        <r>
          <rPr>
            <sz val="8"/>
            <color indexed="81"/>
            <rFont val="Tahoma"/>
            <family val="2"/>
          </rPr>
          <t>Valeur reconstituée à partir du récit du cas (champ absent du classeur d'origine) — à confirmer.</t>
        </r>
      </text>
    </comment>
    <comment ref="B183" authorId="0">
      <text>
        <r>
          <rPr>
            <sz val="8"/>
            <color indexed="81"/>
            <rFont val="Tahoma"/>
            <family val="2"/>
          </rPr>
          <t>Valeur reconstituée à partir du récit du cas (champ absent du classeur d'origine) — à confirmer.</t>
        </r>
      </text>
    </comment>
    <comment ref="B184" authorId="0">
      <text>
        <r>
          <rPr>
            <sz val="8"/>
            <color indexed="81"/>
            <rFont val="Tahoma"/>
            <family val="2"/>
          </rPr>
          <t>Valeur reconstituée à partir du récit du cas (champ absent du classeur d'origine) — à confirmer.</t>
        </r>
      </text>
    </comment>
    <comment ref="B186" authorId="0">
      <text>
        <r>
          <rPr>
            <sz val="8"/>
            <color indexed="81"/>
            <rFont val="Tahoma"/>
            <family val="2"/>
          </rPr>
          <t>Valeur reconstituée à partir du récit du cas (champ absent du classeur d'origine) — à confirmer.</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8.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9.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0.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1.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2.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3.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4.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5.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6.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7.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8.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19.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 ref="E252" authorId="0">
      <text>
        <r>
          <rPr>
            <sz val="8"/>
            <color indexed="81"/>
            <rFont val="Tahoma"/>
            <family val="2"/>
          </rPr>
          <t>Les cas d'étude ne présentent qu'un échéancier représentatif (4 à 12 périodes). En production, l'échéancier complet est exigé ; à défaut, saisir « Non » : le blocage B6 s'applique.</t>
        </r>
      </text>
    </comment>
  </commentList>
</comments>
</file>

<file path=xl/comments20.xml><?xml version="1.0" encoding="utf-8"?>
<comments xmlns="http://schemas.openxmlformats.org/spreadsheetml/2006/main">
  <authors>
    <author/>
  </authors>
  <commentList>
    <comment ref="H63" authorId="0">
      <text>
        <r>
          <rPr>
            <sz val="8"/>
            <color indexed="81"/>
            <rFont val="Tahoma"/>
            <family val="2"/>
          </rPr>
          <t>Information : la somme des crédits devrait correspondre à l'exposition de la banque saisie au bloc 2. Un écart est signalé en ambre ; il ne change pas la note.</t>
        </r>
      </text>
    </comment>
    <comment ref="A252" authorId="0">
      <text>
        <r>
          <rPr>
            <sz val="8"/>
            <color indexed="81"/>
            <rFont val="Tahoma"/>
            <family val="2"/>
          </rPr>
          <t>Pour B6, la saisie répond à la question « modèle de flux complet et rapproché ? » : « Non » déclenche le blocage.</t>
        </r>
      </text>
    </comment>
  </commentList>
</comments>
</file>

<file path=xl/sharedStrings.xml><?xml version="1.0" encoding="utf-8"?>
<sst xmlns="http://schemas.openxmlformats.org/spreadsheetml/2006/main" count="13989" uniqueCount="3378">
  <si>
    <t>Paramètres du modèle V8</t>
  </si>
  <si>
    <t>Paramètres CANDIDATS, non approuvés par le Comité de validation. Tous les onglets de dossier lisent ces cellules : une modification s'applique immédiatement à tous les dossiers.</t>
  </si>
  <si>
    <t>Seuils DSCR de base par régime de revenus (phase stabilisée)</t>
  </si>
  <si>
    <t>Régime</t>
  </si>
  <si>
    <t>Libellé</t>
  </si>
  <si>
    <t>Critique &lt;</t>
  </si>
  <si>
    <t>Vigilance &lt;</t>
  </si>
  <si>
    <t>Favorable &lt;</t>
  </si>
  <si>
    <t>R1</t>
  </si>
  <si>
    <t>Contrat ferme à quantité garantie (take-or-pay)</t>
  </si>
  <si>
    <t>R2</t>
  </si>
  <si>
    <t>Paiement à la disponibilité</t>
  </si>
  <si>
    <t>R3</t>
  </si>
  <si>
    <t>Contrat à risque de volume</t>
  </si>
  <si>
    <t>R4</t>
  </si>
  <si>
    <t>Exposition au marché</t>
  </si>
  <si>
    <t>R5 (vente d'actifs) : hors périmètre de cet outil — LTC, LTV et encaissements sécurisés.</t>
  </si>
  <si>
    <t>Écart sectoriel Δ ajouté au seuil du régime</t>
  </si>
  <si>
    <t>Code</t>
  </si>
  <si>
    <t>Secteur</t>
  </si>
  <si>
    <t>Δ</t>
  </si>
  <si>
    <t>ENR</t>
  </si>
  <si>
    <t>Énergies renouvelables</t>
  </si>
  <si>
    <t>EAU</t>
  </si>
  <si>
    <t>Eau et dessalement</t>
  </si>
  <si>
    <t>TEL</t>
  </si>
  <si>
    <t>Télécom et data centers</t>
  </si>
  <si>
    <t>TRA</t>
  </si>
  <si>
    <t>Transport</t>
  </si>
  <si>
    <t>POR</t>
  </si>
  <si>
    <t>Ports et logistique</t>
  </si>
  <si>
    <t>SAN</t>
  </si>
  <si>
    <t>Santé</t>
  </si>
  <si>
    <t>ETH</t>
  </si>
  <si>
    <t>Thermique et gaz</t>
  </si>
  <si>
    <t>IMMO-REND</t>
  </si>
  <si>
    <t>Immobilier de rendement</t>
  </si>
  <si>
    <t>IND</t>
  </si>
  <si>
    <t>Industrie</t>
  </si>
  <si>
    <t>AGR</t>
  </si>
  <si>
    <t>Agro-industrie</t>
  </si>
  <si>
    <t>TOU</t>
  </si>
  <si>
    <t>Tourisme et hôtellerie</t>
  </si>
  <si>
    <t>MIN</t>
  </si>
  <si>
    <t>Mines et extraction</t>
  </si>
  <si>
    <t>Phases et majoration du seuil</t>
  </si>
  <si>
    <t>Phase</t>
  </si>
  <si>
    <t>Majoration</t>
  </si>
  <si>
    <t>P1</t>
  </si>
  <si>
    <t>Construction</t>
  </si>
  <si>
    <t>P2</t>
  </si>
  <si>
    <t>Montée en charge</t>
  </si>
  <si>
    <t>P3</t>
  </si>
  <si>
    <t>Exploitation</t>
  </si>
  <si>
    <t>Poids des domaines par phase</t>
  </si>
  <si>
    <t>Domaine</t>
  </si>
  <si>
    <t>D1</t>
  </si>
  <si>
    <t>Sponsors et actionnariat</t>
  </si>
  <si>
    <t>D2</t>
  </si>
  <si>
    <t>Projet, site, technologie</t>
  </si>
  <si>
    <t>D3</t>
  </si>
  <si>
    <t>Construction et achèvement</t>
  </si>
  <si>
    <t>D4</t>
  </si>
  <si>
    <t>Mécanisme des recettes</t>
  </si>
  <si>
    <t>D5</t>
  </si>
  <si>
    <t>Exploitation et maintenance</t>
  </si>
  <si>
    <t>D6</t>
  </si>
  <si>
    <t>Contreparties et consortium</t>
  </si>
  <si>
    <t>D7</t>
  </si>
  <si>
    <t>Finance et trésorerie (noyau)</t>
  </si>
  <si>
    <t>D8</t>
  </si>
  <si>
    <t>Juridique, sûretés, continuité</t>
  </si>
  <si>
    <t>D9</t>
  </si>
  <si>
    <t>ESG et climat résiduel</t>
  </si>
  <si>
    <t>Total (doit valoir 100 %)</t>
  </si>
  <si>
    <t>Poids des indicateurs du noyau financier (D7)</t>
  </si>
  <si>
    <t>Indicateur</t>
  </si>
  <si>
    <t>Poids</t>
  </si>
  <si>
    <t>N1</t>
  </si>
  <si>
    <t>DSCR minimum, scénario central</t>
  </si>
  <si>
    <t>N2</t>
  </si>
  <si>
    <t>DSCR minimum, scénario défavorable</t>
  </si>
  <si>
    <t>N3</t>
  </si>
  <si>
    <t>LLCR / financement à terminaison (P1)</t>
  </si>
  <si>
    <t>N4</t>
  </si>
  <si>
    <t>Liquidité (DSRA, lignes, cascade)</t>
  </si>
  <si>
    <t>N5</t>
  </si>
  <si>
    <t>Levier et fonds propres à risque</t>
  </si>
  <si>
    <t>N6</t>
  </si>
  <si>
    <t>Exposition résiduelle taux / change / refinancement</t>
  </si>
  <si>
    <t>Total</t>
  </si>
  <si>
    <t>Ancres de notation (échelle 0-100)</t>
  </si>
  <si>
    <t>Nom</t>
  </si>
  <si>
    <t>Appréciation</t>
  </si>
  <si>
    <t>Valeur</t>
  </si>
  <si>
    <t>P_Ancre_TF</t>
  </si>
  <si>
    <t>Très favorable</t>
  </si>
  <si>
    <t>P_Ancre_F</t>
  </si>
  <si>
    <t>Favorable</t>
  </si>
  <si>
    <t>P_Ancre_V</t>
  </si>
  <si>
    <t>Vigilance</t>
  </si>
  <si>
    <t>P_Ancre_C</t>
  </si>
  <si>
    <t>Critique</t>
  </si>
  <si>
    <t>P_InfoInsuff</t>
  </si>
  <si>
    <t>Valeur retenue pour une information insuffisante (conservatrice)</t>
  </si>
  <si>
    <t>La doctrine V8 interdit la renormalisation libre : une information insuffisante est comptée à la valeur ci-dessus et déclenche le plafond C15 (paramètre candidat).</t>
  </si>
  <si>
    <t>Conversion du score en note</t>
  </si>
  <si>
    <t>Score à partir de</t>
  </si>
  <si>
    <t>Note</t>
  </si>
  <si>
    <t>Orientation</t>
  </si>
  <si>
    <t>Très critique</t>
  </si>
  <si>
    <t>Refus ou restructuration complète</t>
  </si>
  <si>
    <t>Refus en l'état</t>
  </si>
  <si>
    <t>Préoccupant</t>
  </si>
  <si>
    <t>Révision de fond</t>
  </si>
  <si>
    <t>Fragile</t>
  </si>
  <si>
    <t>Restructuration à examiner</t>
  </si>
  <si>
    <t>Moyen</t>
  </si>
  <si>
    <t>Sous surveillance</t>
  </si>
  <si>
    <t>Acceptable</t>
  </si>
  <si>
    <t>Conditions et mitigants</t>
  </si>
  <si>
    <t>Satisfaisant</t>
  </si>
  <si>
    <t>Conditions légères</t>
  </si>
  <si>
    <t>Solide</t>
  </si>
  <si>
    <t>Réserves mineures à documenter</t>
  </si>
  <si>
    <t>Très solide</t>
  </si>
  <si>
    <t>Conditions minimales</t>
  </si>
  <si>
    <t>Excellent</t>
  </si>
  <si>
    <t>Profil de référence</t>
  </si>
  <si>
    <t>Plafonds de note C1 à C15</t>
  </si>
  <si>
    <t>Fait générateur</t>
  </si>
  <si>
    <t>Plafond</t>
  </si>
  <si>
    <t>C1</t>
  </si>
  <si>
    <t>DSCR minimum de base inférieur à 1,05x sur une échéance</t>
  </si>
  <si>
    <t>C2</t>
  </si>
  <si>
    <t>DSCR minimum de base sous le seuil critique du couple régime × secteur</t>
  </si>
  <si>
    <t>C3</t>
  </si>
  <si>
    <t>DSCR minimum sous scénario défavorable inférieur à 1,00x</t>
  </si>
  <si>
    <t>C4</t>
  </si>
  <si>
    <t>LLCR inférieur à 1,10x</t>
  </si>
  <si>
    <t>C5</t>
  </si>
  <si>
    <t>Contrat de revenus expirant avant la dernière échéance de dette, sans solution documentée</t>
  </si>
  <si>
    <t>C6</t>
  </si>
  <si>
    <t>Exposition nette en devises non couverte supérieure à 25 % du service de dette annuel</t>
  </si>
  <si>
    <t>C7</t>
  </si>
  <si>
    <t>DSRA absente ou inférieure à 3 mois de service de dette</t>
  </si>
  <si>
    <t>C8</t>
  </si>
  <si>
    <t>Dette à refinancer à maturité supérieure à 30 % du nominal, sans stratégie approuvée</t>
  </si>
  <si>
    <t>C9</t>
  </si>
  <si>
    <t>Quote-part de dette supérieure à 85 % du plan de financement</t>
  </si>
  <si>
    <t>C10</t>
  </si>
  <si>
    <t>Acheteur portant plus de 85 % des recettes et de qualité interne inférieure à BBB−</t>
  </si>
  <si>
    <t>C11</t>
  </si>
  <si>
    <t>Risque climatique physique élevé au site sans plan d'adaptation financé</t>
  </si>
  <si>
    <t>C12</t>
  </si>
  <si>
    <t>Capacité résiduelle du sponsor insuffisante pour l'appel d'equity restant</t>
  </si>
  <si>
    <t>C13</t>
  </si>
  <si>
    <t>Opérateur non remplaçable et contrat O&amp;M expirant plus de 5 ans avant la dette</t>
  </si>
  <si>
    <t>C14</t>
  </si>
  <si>
    <t>Exposition du groupe bancaire sur un facteur commun au-delà de la limite interne</t>
  </si>
  <si>
    <t>C15</t>
  </si>
  <si>
    <t>Note issue d'une évaluation partielle (statut provisoire)</t>
  </si>
  <si>
    <t>Seuils des règles (proportionnalité, N3, plafonds)</t>
  </si>
  <si>
    <t>Paramètre</t>
  </si>
  <si>
    <t>P_S_CAPEX</t>
  </si>
  <si>
    <t>Régime S — CAPEX maximal (MMAD)</t>
  </si>
  <si>
    <t>P_S_EXPO</t>
  </si>
  <si>
    <t>Régime S — exposition maximale de la banque (MMAD)</t>
  </si>
  <si>
    <t>P_S_DUREE</t>
  </si>
  <si>
    <t>Régime S — durée de financement maximale (ans)</t>
  </si>
  <si>
    <t>P_L_CAPEX</t>
  </si>
  <si>
    <t>Régime L — CAPEX au-delà duquel on escalade (MMAD)</t>
  </si>
  <si>
    <t>P_L_EXPO</t>
  </si>
  <si>
    <t>Régime L — exposition au-delà de laquelle on escalade (MMAD)</t>
  </si>
  <si>
    <t>P_L_NBCP</t>
  </si>
  <si>
    <t>Régime L — nombre de contreparties clés au-delà duquel on escalade</t>
  </si>
  <si>
    <t>P_N3_TF</t>
  </si>
  <si>
    <t>N3 (P1) — couverture à terminaison pour Très favorable</t>
  </si>
  <si>
    <t>P_N3_F</t>
  </si>
  <si>
    <t>N3 (P1) — couverture à terminaison pour Favorable</t>
  </si>
  <si>
    <t>P_N3_V</t>
  </si>
  <si>
    <t>N3 (P1) — couverture minimale avec plan approuvé (Vigilance) ; en deçà Critique et B3</t>
  </si>
  <si>
    <t>P_C1</t>
  </si>
  <si>
    <t>C1 — DSCR minimum de base</t>
  </si>
  <si>
    <t>P_C3</t>
  </si>
  <si>
    <t>C3 — DSCR minimum sous stress</t>
  </si>
  <si>
    <t>P_C4</t>
  </si>
  <si>
    <t>C4 — LLCR minimum</t>
  </si>
  <si>
    <t>P_C6</t>
  </si>
  <si>
    <t>C6 — exposition nette en devises maximale (part du service annuel)</t>
  </si>
  <si>
    <t>P_C7</t>
  </si>
  <si>
    <t>C7 — DSRA minimale (mois de service)</t>
  </si>
  <si>
    <t>P_C8</t>
  </si>
  <si>
    <t>C8 — dette à refinancer maximale (part du nominal)</t>
  </si>
  <si>
    <t>P_C9</t>
  </si>
  <si>
    <t>C9 — quote-part de dette maximale</t>
  </si>
  <si>
    <t>P_C10</t>
  </si>
  <si>
    <t>C10 — part des recettes de l'acheteur principal au-delà de laquelle on teste sa qualité</t>
  </si>
  <si>
    <t>P_C13</t>
  </si>
  <si>
    <t>C13 — écart maximal entre fin du contrat O&amp;M et fin de la dette (ans)</t>
  </si>
  <si>
    <t>P_COUV</t>
  </si>
  <si>
    <t>Couverture pondérée minimale d'une note validée (sinon C15)</t>
  </si>
  <si>
    <t>Poids des sous-critères (indépendants de la phase)</t>
  </si>
  <si>
    <t>Clé</t>
  </si>
  <si>
    <t>Sous-critère</t>
  </si>
  <si>
    <t>D1.1</t>
  </si>
  <si>
    <t>Capacité financière du sponsor</t>
  </si>
  <si>
    <t>D1.2</t>
  </si>
  <si>
    <t>Obligation juridique de soutien</t>
  </si>
  <si>
    <t>D1.3</t>
  </si>
  <si>
    <t>Structure actionnariale et gouvernance</t>
  </si>
  <si>
    <t>D2.1</t>
  </si>
  <si>
    <t>Technologie et performance</t>
  </si>
  <si>
    <t>D2.2</t>
  </si>
  <si>
    <t>Site, foncier physique et accès</t>
  </si>
  <si>
    <t>D2.3</t>
  </si>
  <si>
    <t>Planning et complexité d'exécution</t>
  </si>
  <si>
    <t>D3.1</t>
  </si>
  <si>
    <t>Contrat EPC et constructeur</t>
  </si>
  <si>
    <t>D3.2</t>
  </si>
  <si>
    <t>Interfaces et gouvernance de chantier</t>
  </si>
  <si>
    <t>D3.3</t>
  </si>
  <si>
    <t>Assurances et garanties mobilisables</t>
  </si>
  <si>
    <t>D4.1</t>
  </si>
  <si>
    <t>Structure contractuelle des recettes</t>
  </si>
  <si>
    <t>D4.2</t>
  </si>
  <si>
    <t>Mécanisme de prix et indexation</t>
  </si>
  <si>
    <t>D4.3</t>
  </si>
  <si>
    <t>Marché et concurrence</t>
  </si>
  <si>
    <t>D5.1</t>
  </si>
  <si>
    <t>Opérateur et contrat O&amp;M</t>
  </si>
  <si>
    <t>D5.2</t>
  </si>
  <si>
    <t>Performance technique et disponibilité</t>
  </si>
  <si>
    <t>D5.3</t>
  </si>
  <si>
    <t>Coûts, gros entretien et dépendances</t>
  </si>
  <si>
    <t>D6.1</t>
  </si>
  <si>
    <t>Acheteur ou payeur principal</t>
  </si>
  <si>
    <t>D6.2</t>
  </si>
  <si>
    <t>Fournisseurs critiques</t>
  </si>
  <si>
    <t>D6.3</t>
  </si>
  <si>
    <t>Prêteurs et consortium</t>
  </si>
  <si>
    <t>D8.1</t>
  </si>
  <si>
    <t>Documentation contractuelle et droits directs</t>
  </si>
  <si>
    <t>D8.2</t>
  </si>
  <si>
    <t>Sûretés et opposabilité</t>
  </si>
  <si>
    <t>D8.3</t>
  </si>
  <si>
    <t>Autorisations, cadre réglementaire, litiges</t>
  </si>
  <si>
    <t>D9.1</t>
  </si>
  <si>
    <t>Environnement et ressources</t>
  </si>
  <si>
    <t>D9.2</t>
  </si>
  <si>
    <t>Social et acceptabilité</t>
  </si>
  <si>
    <t>D9.3</t>
  </si>
  <si>
    <t>Gouvernance ESG et exécution</t>
  </si>
  <si>
    <t>D9.4</t>
  </si>
  <si>
    <t>Climat résiduel</t>
  </si>
  <si>
    <t>Listes de choix</t>
  </si>
  <si>
    <t>L_OuiNon</t>
  </si>
  <si>
    <t>Oui</t>
  </si>
  <si>
    <t>Non</t>
  </si>
  <si>
    <t>L_Notes</t>
  </si>
  <si>
    <t>Info. insuffisante</t>
  </si>
  <si>
    <t>L_Periodicite</t>
  </si>
  <si>
    <t>Semestrielle</t>
  </si>
  <si>
    <t>Trimestrielle</t>
  </si>
  <si>
    <t>Mensuelle</t>
  </si>
  <si>
    <t>L_Nature</t>
  </si>
  <si>
    <t>Dette senior</t>
  </si>
  <si>
    <t>Dette subordonnée</t>
  </si>
  <si>
    <t>Fonds propres</t>
  </si>
  <si>
    <t>Quasi-fonds propres</t>
  </si>
  <si>
    <t>Engagement sponsor</t>
  </si>
  <si>
    <t>Ligne dédiée engagée</t>
  </si>
  <si>
    <t>Subvention encaissée</t>
  </si>
  <si>
    <t>Autre ressource</t>
  </si>
  <si>
    <t>L_QualAch</t>
  </si>
  <si>
    <t>≥ BBB−</t>
  </si>
  <si>
    <t>&lt; BBB−</t>
  </si>
  <si>
    <t>Non noté</t>
  </si>
  <si>
    <t>L_NatureCredit</t>
  </si>
  <si>
    <t>Crédit d'investissement (moyen et long terme)</t>
  </si>
  <si>
    <t>Crédit relais (TVA, subventions)</t>
  </si>
  <si>
    <t>Ligne de fonctionnement (BFR)</t>
  </si>
  <si>
    <t>Garantie ou caution</t>
  </si>
  <si>
    <t>Couverture (taux ou change)</t>
  </si>
  <si>
    <t>Autre</t>
  </si>
  <si>
    <t>L_Devise</t>
  </si>
  <si>
    <t>MAD</t>
  </si>
  <si>
    <t>EUR</t>
  </si>
  <si>
    <t>USD</t>
  </si>
  <si>
    <t>L_Avis</t>
  </si>
  <si>
    <t>Favorable sous conditions</t>
  </si>
  <si>
    <t>Réservé</t>
  </si>
  <si>
    <t>Défavorable</t>
  </si>
  <si>
    <t>L_Decision</t>
  </si>
  <si>
    <t>Accord</t>
  </si>
  <si>
    <t>Accord sous conditions</t>
  </si>
  <si>
    <t>Ajournement</t>
  </si>
  <si>
    <t>Refus</t>
  </si>
  <si>
    <t>Référentiel des niveaux</t>
  </si>
  <si>
    <t>Situations proposées dans les listes du dossier (grille D1 à D9 et indicateurs N4 à N6). La note découle de la situation choisie : Très favorable 100, Favorable 80, Vigilance 50, Critique 20 (valeurs de l'onglet Paramètres).</t>
  </si>
  <si>
    <t>Pour D2.1, D4.1, D4.3 et D5.2, la liste du dossier propose la description du secteur choisi au bloc 1 ; les autres sous-critères gardent la description commune. « Info. insuffisante » est comptée à 20, rend la note provisoire (B7, C15) et exige un commentaire, comme une situation Critique.</t>
  </si>
  <si>
    <t>Le bloc 4 des dossiers affiche les données propres au secteur : tableau en bas de cette page.</t>
  </si>
  <si>
    <t>Sous-critère ou indicateur</t>
  </si>
  <si>
    <t>Très favorable (100)</t>
  </si>
  <si>
    <t>Favorable (80)</t>
  </si>
  <si>
    <t>Vigilance (50)</t>
  </si>
  <si>
    <t>Critique (20)</t>
  </si>
  <si>
    <t>Clé de recherche</t>
  </si>
  <si>
    <t>Tous secteurs</t>
  </si>
  <si>
    <t>Très favorable — Sponsor noté ≥ BBB, fonds propres disponibles &gt; 3 × l'appel restant</t>
  </si>
  <si>
    <t>Favorable — Sponsor solide, capacité couvrant l'appel restant avec marge</t>
  </si>
  <si>
    <t>Vigilance — Capacité juste suffisante ou dépendante d'autres projets</t>
  </si>
  <si>
    <t>Critique — Capacité insuffisante ou sponsor en difficulté financière</t>
  </si>
  <si>
    <t>Très favorable — Engagements signés : fonds propres, dépassement, garanties de complétion</t>
  </si>
  <si>
    <t>Favorable — Engagement de fonds propres signé, dépassement partiellement couvert</t>
  </si>
  <si>
    <t>Vigilance — Lettre de confort ou engagement non encore signé</t>
  </si>
  <si>
    <t>Critique — Aucun engagement juridique du sponsor</t>
  </si>
  <si>
    <t>Très favorable — Actionnariat stable, pacte signé, gouvernance de la SPV documentée</t>
  </si>
  <si>
    <t>Favorable — Actionnariat stable, pacte en cours de finalisation</t>
  </si>
  <si>
    <t>Vigilance — Actionnariat dispersé ou clauses de sortie précoces</t>
  </si>
  <si>
    <t>Critique — Actionnariat instable, conflit ou bénéficiaire effectif non établi</t>
  </si>
  <si>
    <t>Très favorable — Technologie éprouvée, références nombreuses et comparables</t>
  </si>
  <si>
    <t>Favorable — Technologie éprouvée, références moins nombreuses ou plus petites</t>
  </si>
  <si>
    <t>Vigilance — Technologie récente ou extrapolée à une taille supérieure</t>
  </si>
  <si>
    <t>Critique — Technologie non éprouvée à cette échelle</t>
  </si>
  <si>
    <t>Très favorable — Équipements de premier rang, productible P90 établi par un expert</t>
  </si>
  <si>
    <t>Favorable — Équipements reconnus, productible P90 établi sur des données courtes</t>
  </si>
  <si>
    <t>Vigilance — Équipement récent ou productible établi par le développeur seul</t>
  </si>
  <si>
    <t>Critique — Productible non établi de façon indépendante</t>
  </si>
  <si>
    <t>D2.1|ENR</t>
  </si>
  <si>
    <t>Très favorable — Procédé avec ≥ 3 références comparables, consommation garantie</t>
  </si>
  <si>
    <t>Favorable — Procédé éprouvé, références de taille inférieure</t>
  </si>
  <si>
    <t>Vigilance — Procédé extrapolé ou consommation énergétique non garantie</t>
  </si>
  <si>
    <t>Critique — Procédé sans référence de taille comparable</t>
  </si>
  <si>
    <t>D2.1|EAU</t>
  </si>
  <si>
    <t>Très favorable — Conception Tier III certifiée, équipements standard du marché</t>
  </si>
  <si>
    <t>Favorable — Conception Tier III, certification en cours</t>
  </si>
  <si>
    <t>Vigilance — Redondances partielles ou équipements spécifiques</t>
  </si>
  <si>
    <t>Critique — Conception non redondante ou technologie dépassée</t>
  </si>
  <si>
    <t>D2.1|TEL</t>
  </si>
  <si>
    <t>Très favorable — Ouvrages courants, techniques de construction maîtrisées</t>
  </si>
  <si>
    <t>Favorable — Ouvrages d'art standards, quelques sections complexes</t>
  </si>
  <si>
    <t>Vigilance — Ouvrages d'art majeurs ou terrain difficile</t>
  </si>
  <si>
    <t>Critique — Technique de construction non éprouvée localement</t>
  </si>
  <si>
    <t>D2.1|TRA</t>
  </si>
  <si>
    <t>Très favorable — Équipements de manutention standard, références multiples</t>
  </si>
  <si>
    <t>Favorable — Équipements éprouvés, automatisation partielle</t>
  </si>
  <si>
    <t>Vigilance — Terminal fortement automatisé, références limitées</t>
  </si>
  <si>
    <t>Critique — Système de manutention prototype</t>
  </si>
  <si>
    <t>D2.1|POR</t>
  </si>
  <si>
    <t>Très favorable — Bâtiment et plateau technique standard, normes hospitalières</t>
  </si>
  <si>
    <t>Favorable — Plateau technique éprouvé, quelques équipements de pointe</t>
  </si>
  <si>
    <t>Vigilance — Équipements de pointe dépendant d'un fournisseur unique</t>
  </si>
  <si>
    <t>Critique — Conception non conforme aux normes hospitalières</t>
  </si>
  <si>
    <t>D2.1|SAN</t>
  </si>
  <si>
    <t>Très favorable — Turbines de série, rendement garanti, références nombreuses</t>
  </si>
  <si>
    <t>Favorable — Équipements éprouvés, rendement garanti partiellement</t>
  </si>
  <si>
    <t>Vigilance — Modèle récent ou conversion de combustible</t>
  </si>
  <si>
    <t>Critique — Technologie sans historique d'exploitation</t>
  </si>
  <si>
    <t>D2.1|ETH</t>
  </si>
  <si>
    <t>Très favorable — Construction standard, certification énergétique obtenue</t>
  </si>
  <si>
    <t>Favorable — Construction standard, certification en cours</t>
  </si>
  <si>
    <t>Vigilance — Bâtiment spécifique difficile à reconvertir</t>
  </si>
  <si>
    <t>Critique — Bâtiment obsolète ou non conforme</t>
  </si>
  <si>
    <t>D2.1|IMMO-REND</t>
  </si>
  <si>
    <t>Très favorable — Procédé industriel éprouvé, garanties de performance du fournisseur</t>
  </si>
  <si>
    <t>Favorable — Procédé éprouvé, garanties partielles</t>
  </si>
  <si>
    <t>Vigilance — Procédé adapté ou montée en cadence incertaine</t>
  </si>
  <si>
    <t>Critique — Procédé pilote ou non éprouvé à l'échelle</t>
  </si>
  <si>
    <t>D2.1|IND</t>
  </si>
  <si>
    <t>Très favorable — Itinéraire technique maîtrisé, rendements de référence documentés</t>
  </si>
  <si>
    <t>Favorable — Itinéraire maîtrisé, rendements sur historique court</t>
  </si>
  <si>
    <t>Vigilance — Nouvelle culture ou nouvelle transformation sur ce site</t>
  </si>
  <si>
    <t>Critique — Rendements non documentés</t>
  </si>
  <si>
    <t>D2.1|AGR</t>
  </si>
  <si>
    <t>Très favorable — Concept éprouvé, marque internationale, conception validée</t>
  </si>
  <si>
    <t>Favorable — Concept éprouvé, adaptation au site en cours</t>
  </si>
  <si>
    <t>Vigilance — Concept nouveau sur ce marché</t>
  </si>
  <si>
    <t>Critique — Concept non validé</t>
  </si>
  <si>
    <t>D2.1|TOU</t>
  </si>
  <si>
    <t>Très favorable — Réserves certifiées selon une norme reconnue, procédé éprouvé</t>
  </si>
  <si>
    <t>Favorable — Réserves certifiées, procédé à adapter au minerai</t>
  </si>
  <si>
    <t>Vigilance — Ressources indiquées seulement ou essais pilotes partiels</t>
  </si>
  <si>
    <t>Critique — Réserves non certifiées</t>
  </si>
  <si>
    <t>D2.1|MIN</t>
  </si>
  <si>
    <t>Très favorable — Foncier sécurisé, études de sol faites, accès et réseaux disponibles</t>
  </si>
  <si>
    <t>Favorable — Foncier sécurisé, études ou raccordements encore à finaliser</t>
  </si>
  <si>
    <t>Vigilance — Foncier ou accès en cours d'obtention, contraintes de site identifiées</t>
  </si>
  <si>
    <t>Critique — Foncier non sécurisé ou contrainte de site non résolue</t>
  </si>
  <si>
    <t>Très favorable — Planning réaliste avec marge, chantier simple et répétitif</t>
  </si>
  <si>
    <t>Favorable — Planning tenable, quelques interfaces critiques identifiées</t>
  </si>
  <si>
    <t>Vigilance — Planning tendu ou chemin critique dépendant de tiers</t>
  </si>
  <si>
    <t>Critique — Planning irréaliste ou complexité non maîtrisée</t>
  </si>
  <si>
    <t>Très favorable — EPC clé-en-main forfaitaire, constructeur de premier rang, pénalités ≥ 15 %</t>
  </si>
  <si>
    <t>Favorable — EPC forfaitaire, pénalités ou garanties légèrement en retrait</t>
  </si>
  <si>
    <t>Vigilance — Lots séparés ou constructeur à l'expérience limitée</t>
  </si>
  <si>
    <t>Critique — Pas d'EPC signé ou constructeur fragile</t>
  </si>
  <si>
    <t>Très favorable — Interface unique, ingénieur indépendant des prêteurs mandaté</t>
  </si>
  <si>
    <t>Favorable — Interfaces peu nombreuses et contractualisées</t>
  </si>
  <si>
    <t>Vigilance — Interfaces multiples, coordination portée par la SPV</t>
  </si>
  <si>
    <t>Critique — Interfaces non contractualisées ou litige de chantier</t>
  </si>
  <si>
    <t>Très favorable — Polices tous risques et pertes d'exploitation, prêteurs bénéficiaires</t>
  </si>
  <si>
    <t>Favorable — Polices en place, quelques franchises ou plafonds élevés</t>
  </si>
  <si>
    <t>Vigilance — Couverture partielle ou délégation aux prêteurs non finalisée</t>
  </si>
  <si>
    <t>Critique — Assurances absentes ou insuffisantes</t>
  </si>
  <si>
    <t>Très favorable — Contrat ferme couvrant toute la durée de la dette</t>
  </si>
  <si>
    <t>Favorable — Contrat couvrant l'essentiel des recettes et de la durée</t>
  </si>
  <si>
    <t>Vigilance — Recettes en partie contractuelles, en partie exposées</t>
  </si>
  <si>
    <t>Critique — Recettes sans contrat ou contrat expirant tôt</t>
  </si>
  <si>
    <t>Très favorable — Contrat d'achat ferme couvrant toute la dette</t>
  </si>
  <si>
    <t>Favorable — Contrat d'achat couvrant l'essentiel de la durée</t>
  </si>
  <si>
    <t>Vigilance — Vente partielle au marché ou contrat plus court que la dette</t>
  </si>
  <si>
    <t>Critique — Production vendue sans contrat d'achat</t>
  </si>
  <si>
    <t>D4.1|ENR</t>
  </si>
  <si>
    <t>Très favorable — Redevance de capacité couvrant le service de la dette</t>
  </si>
  <si>
    <t>Favorable — Redevance de capacité majoritaire, part variable limitée</t>
  </si>
  <si>
    <t>Vigilance — Part variable importante ou indexation incomplète</t>
  </si>
  <si>
    <t>Critique — Recettes fondées sur le volume consommé</t>
  </si>
  <si>
    <t>D4.1|EAU</t>
  </si>
  <si>
    <t>Très favorable — Contrats long terme couvrant ≥ 85 % de la capacité</t>
  </si>
  <si>
    <t>Favorable — Contrats couvrant 70 à 85 % de la capacité</t>
  </si>
  <si>
    <t>Vigilance — Contrats couvrant 50 à 70 % de la capacité</t>
  </si>
  <si>
    <t>Critique — Contrats couvrant moins de 50 % de la capacité</t>
  </si>
  <si>
    <t>D4.1|TEL</t>
  </si>
  <si>
    <t>Très favorable — Paiement à la disponibilité par une autorité publique</t>
  </si>
  <si>
    <t>Favorable — Péage avec garantie de recettes minimales</t>
  </si>
  <si>
    <t>Vigilance — Péage sans garantie, trafic historique établi</t>
  </si>
  <si>
    <t>Critique — Péage sans garantie et sans historique de trafic</t>
  </si>
  <si>
    <t>D4.1|TRA</t>
  </si>
  <si>
    <t>Très favorable — Volumes minimaux garantis par l'armateur ou le chargeur</t>
  </si>
  <si>
    <t>Favorable — Client d'ancrage contractualisé, volumes partiellement garantis</t>
  </si>
  <si>
    <t>Vigilance — Volumes non garantis, clientèle diversifiée</t>
  </si>
  <si>
    <t>Critique — Volumes non garantis, client unique</t>
  </si>
  <si>
    <t>D4.1|POR</t>
  </si>
  <si>
    <t>Très favorable — Paiement à la disponibilité par l'autorité de santé</t>
  </si>
  <si>
    <t>Favorable — Paiement mixte, part fixe majoritaire</t>
  </si>
  <si>
    <t>Vigilance — Paiement à l'activité avec conventions d'assurance maladie</t>
  </si>
  <si>
    <t>Critique — Recettes à l'activité sans convention</t>
  </si>
  <si>
    <t>D4.1|SAN</t>
  </si>
  <si>
    <t>Très favorable — Contrat d'achat de capacité et d'énergie couvrant la dette</t>
  </si>
  <si>
    <t>Favorable — Contrat de capacité, énergie vendue au marché</t>
  </si>
  <si>
    <t>Vigilance — Contrat plus court que la dette</t>
  </si>
  <si>
    <t>Critique — Vente au marché sans contrat</t>
  </si>
  <si>
    <t>D4.1|ETH</t>
  </si>
  <si>
    <t>Très favorable — Baux fermes longs, durée résiduelle moyenne &gt; dette</t>
  </si>
  <si>
    <t>Favorable — Baux fermes, durée résiduelle moyenne ≥ 5 ans</t>
  </si>
  <si>
    <t>Vigilance — Baux courts ou locataire principal &gt; 40 % des loyers</t>
  </si>
  <si>
    <t>Critique — Vacance élevée ou baux résiliables à court terme</t>
  </si>
  <si>
    <t>D4.1|IMMO-REND</t>
  </si>
  <si>
    <t>Très favorable — Contrat d'enlèvement ferme couvrant la dette</t>
  </si>
  <si>
    <t>Favorable — Contrat d'enlèvement couvrant l'essentiel des volumes</t>
  </si>
  <si>
    <t>Vigilance — Ventes au marché avec contrats annuels</t>
  </si>
  <si>
    <t>Critique — Ventes au marché sans contrat</t>
  </si>
  <si>
    <t>D4.1|IND</t>
  </si>
  <si>
    <t>Très favorable — Contrats de vente pluriannuels avec prix plancher</t>
  </si>
  <si>
    <t>Favorable — Contrats de vente annuels avec clients récurrents</t>
  </si>
  <si>
    <t>Vigilance — Ventes au marché, débouchés diversifiés</t>
  </si>
  <si>
    <t>Critique — Débouché unique non contractualisé</t>
  </si>
  <si>
    <t>D4.1|AGR</t>
  </si>
  <si>
    <t>Très favorable — Bail ou contrat de gestion avec loyer minimum garanti</t>
  </si>
  <si>
    <t>Favorable — Contrat de gestion avec engagement de résultat partiel</t>
  </si>
  <si>
    <t>Vigilance — Contrat de gestion sans garantie, marque reconnue</t>
  </si>
  <si>
    <t>Critique — Exploitation indépendante sans marque ni garantie</t>
  </si>
  <si>
    <t>D4.1|TOU</t>
  </si>
  <si>
    <t>Très favorable — Contrats d'enlèvement couvrant la dette, prix indexé</t>
  </si>
  <si>
    <t>Favorable — Contrats d'enlèvement sur la majorité des volumes</t>
  </si>
  <si>
    <t>Vigilance — Ventes au prix spot avec contrats courts</t>
  </si>
  <si>
    <t>Critique — Ventes au prix spot sans contrat</t>
  </si>
  <si>
    <t>D4.1|MIN</t>
  </si>
  <si>
    <t>Très favorable — Prix fixé, indexé sur les coûts réels du projet</t>
  </si>
  <si>
    <t>Favorable — Indexation partielle (≥ 70 %) ou décalée</t>
  </si>
  <si>
    <t>Vigilance — Indexation faible ou plafonnée, coûts en partie non répercutés</t>
  </si>
  <si>
    <t>Critique — Prix libre ou baisse de prix probable</t>
  </si>
  <si>
    <t>Très favorable — Demande structurelle, aucune concurrence crédible</t>
  </si>
  <si>
    <t>Favorable — Demande solide, concurrence limitée</t>
  </si>
  <si>
    <t>Vigilance — Concurrence active ou demande sensible à la conjoncture</t>
  </si>
  <si>
    <t>Critique — Surcapacité ou demande en déclin</t>
  </si>
  <si>
    <t>Très favorable — Production prioritaire, aucun risque d'écrêtement</t>
  </si>
  <si>
    <t>Favorable — Écrêtement faible et compensé</t>
  </si>
  <si>
    <t>Vigilance — Écrêtement possible non compensé</t>
  </si>
  <si>
    <t>Critique — Saturation du réseau ou baisse de prix probable</t>
  </si>
  <si>
    <t>D4.3|ENR</t>
  </si>
  <si>
    <t>Très favorable — Déficit hydrique structurel, aucune alternative</t>
  </si>
  <si>
    <t>Favorable — Demande solide, alternatives coûteuses</t>
  </si>
  <si>
    <t>Vigilance — Concurrence d'autres ressources en eau</t>
  </si>
  <si>
    <t>Critique — Demande incertaine ou surcapacité</t>
  </si>
  <si>
    <t>D4.3|EAU</t>
  </si>
  <si>
    <t>Très favorable — Marché en pénurie de capacité, clients de premier rang</t>
  </si>
  <si>
    <t>Favorable — Demande soutenue, concurrence limitée</t>
  </si>
  <si>
    <t>Vigilance — Nouvelles capacités concurrentes annoncées</t>
  </si>
  <si>
    <t>Critique — Surcapacité ou baisse des prix de colocation</t>
  </si>
  <si>
    <t>D4.3|TEL</t>
  </si>
  <si>
    <t>Très favorable — Itinéraire sans alternative, trafic en croissance</t>
  </si>
  <si>
    <t>Favorable — Alternative gratuite peu attractive</t>
  </si>
  <si>
    <t>Vigilance — Itinéraire concurrent ou report modal possible</t>
  </si>
  <si>
    <t>Critique — Trafic en baisse ou alternative concurrente forte</t>
  </si>
  <si>
    <t>D4.3|TRA</t>
  </si>
  <si>
    <t>Très favorable — Hinterland captif, aucun port concurrent proche</t>
  </si>
  <si>
    <t>Favorable — Hinterland solide, concurrence régionale limitée</t>
  </si>
  <si>
    <t>Vigilance — Concurrence portuaire active sur le transbordement</t>
  </si>
  <si>
    <t>Critique — Surcapacité portuaire régionale</t>
  </si>
  <si>
    <t>D4.3|POR</t>
  </si>
  <si>
    <t>Très favorable — Besoin de lits avéré, aucune offre concurrente</t>
  </si>
  <si>
    <t>Favorable — Besoin avéré, offre concurrente limitée</t>
  </si>
  <si>
    <t>Vigilance — Concurrence de cliniques privées ou de l'hôpital public</t>
  </si>
  <si>
    <t>Critique — Offre excédentaire dans la zone</t>
  </si>
  <si>
    <t>D4.3|SAN</t>
  </si>
  <si>
    <t>Très favorable — Appel prioritaire, besoin de pointe structurel</t>
  </si>
  <si>
    <t>Favorable — Besoin de capacité établi</t>
  </si>
  <si>
    <t>Vigilance — Appel incertain face aux renouvelables</t>
  </si>
  <si>
    <t>Critique — Surcapacité de production</t>
  </si>
  <si>
    <t>D4.3|ETH</t>
  </si>
  <si>
    <t>Très favorable — Zone prime, vacance de marché &lt; 5 %</t>
  </si>
  <si>
    <t>Favorable — Bonne localisation, vacance de marché &lt; 10 %</t>
  </si>
  <si>
    <t>Vigilance — Vacance de marché de 10 à 20 % ou offre nouvelle importante</t>
  </si>
  <si>
    <t>Critique — Vacance de marché &gt; 20 % ou loyers en baisse</t>
  </si>
  <si>
    <t>D4.3|IMMO-REND</t>
  </si>
  <si>
    <t>Très favorable — Produit indispensable, coûts parmi les plus bas du marché</t>
  </si>
  <si>
    <t>Favorable — Position concurrentielle solide</t>
  </si>
  <si>
    <t>Vigilance — Concurrence par les importations ou prix volatils</t>
  </si>
  <si>
    <t>Critique — Surcapacité ou position de coût défavorable</t>
  </si>
  <si>
    <t>D4.3|IND</t>
  </si>
  <si>
    <t>Très favorable — Demande soutenue, prix stables</t>
  </si>
  <si>
    <t>Favorable — Demande solide, volatilité de prix modérée</t>
  </si>
  <si>
    <t>Vigilance — Prix volatils ou dépendance à l'export</t>
  </si>
  <si>
    <t>Critique — Prix en baisse ou débouchés incertains</t>
  </si>
  <si>
    <t>D4.3|AGR</t>
  </si>
  <si>
    <t>Très favorable — Destination établie, RevPAR stable sur 5 ans</t>
  </si>
  <si>
    <t>Favorable — Destination établie, saisonnalité marquée</t>
  </si>
  <si>
    <t>Vigilance — Offre nouvelle importante ou destination émergente</t>
  </si>
  <si>
    <t>Critique — Destination en déclin ou suroffre</t>
  </si>
  <si>
    <t>D4.3|TOU</t>
  </si>
  <si>
    <t>Très favorable — Coût de production dans le premier quartile mondial</t>
  </si>
  <si>
    <t>Favorable — Coût de production dans la première moitié</t>
  </si>
  <si>
    <t>Vigilance — Coût de production dans le troisième quartile</t>
  </si>
  <si>
    <t>Critique — Coût de production dans le dernier quartile</t>
  </si>
  <si>
    <t>D4.3|MIN</t>
  </si>
  <si>
    <t>Très favorable — Opérateur de premier rang, contrat O&amp;M long, pénalités adossées</t>
  </si>
  <si>
    <t>Favorable — Opérateur expérimenté, contrat O&amp;M plus court que la dette</t>
  </si>
  <si>
    <t>Vigilance — Opérateur peu expérimenté ou exploitation en régie par la SPV</t>
  </si>
  <si>
    <t>Critique — Aucun opérateur qualifié identifié</t>
  </si>
  <si>
    <t>Très favorable — Performance garantie et constatée au-dessus du contrat</t>
  </si>
  <si>
    <t>Favorable — Performance conforme au contrat</t>
  </si>
  <si>
    <t>Vigilance — Performance légèrement inférieure, pénalités ponctuelles</t>
  </si>
  <si>
    <t>Critique — Performance durablement inférieure au contrat</t>
  </si>
  <si>
    <t>Très favorable — Disponibilité ≥ 98 %, productible réel ≥ P50</t>
  </si>
  <si>
    <t>Favorable — Disponibilité ≥ 97 %, productible entre P90 et P50</t>
  </si>
  <si>
    <t>Vigilance — Disponibilité &lt; 97 % ou productible proche du P90</t>
  </si>
  <si>
    <t>Critique — Productible durablement sous le P90</t>
  </si>
  <si>
    <t>D5.2|ENR</t>
  </si>
  <si>
    <t>Très favorable — Disponibilité ≥ 98 %, consommation sous la garantie</t>
  </si>
  <si>
    <t>Favorable — Disponibilité conforme au contrat</t>
  </si>
  <si>
    <t>Vigilance — Disponibilité sous le contrat, déductions appliquées</t>
  </si>
  <si>
    <t>Critique — Disponibilité durablement inférieure, déductions lourdes</t>
  </si>
  <si>
    <t>D5.2|EAU</t>
  </si>
  <si>
    <t>Très favorable — Disponibilité 99,98 %, PUE sous la cible</t>
  </si>
  <si>
    <t>Favorable — Disponibilité conforme aux engagements clients</t>
  </si>
  <si>
    <t>Vigilance — Incidents ponctuels, pénalités clients appliquées</t>
  </si>
  <si>
    <t>Critique — Incidents répétés, clients en résiliation</t>
  </si>
  <si>
    <t>D5.2|TEL</t>
  </si>
  <si>
    <t>Très favorable — Disponibilité de la voie ≥ 99 %, aucune pénalité</t>
  </si>
  <si>
    <t>Favorable — Disponibilité conforme, pénalités marginales</t>
  </si>
  <si>
    <t>Vigilance — Pénalités de disponibilité récurrentes</t>
  </si>
  <si>
    <t>Critique — Indisponibilités graves ou mise en demeure</t>
  </si>
  <si>
    <t>D5.2|TRA</t>
  </si>
  <si>
    <t>Très favorable — Productivité des quais au-dessus des engagements</t>
  </si>
  <si>
    <t>Favorable — Productivité conforme aux engagements</t>
  </si>
  <si>
    <t>Vigilance — Productivité inférieure, congestion ponctuelle</t>
  </si>
  <si>
    <t>Critique — Productivité durablement insuffisante</t>
  </si>
  <si>
    <t>D5.2|POR</t>
  </si>
  <si>
    <t>Très favorable — Indicateurs de performance au-dessus du contrat</t>
  </si>
  <si>
    <t>Favorable — Indicateurs conformes, pénalités marginales</t>
  </si>
  <si>
    <t>Vigilance — Pénalités de performance récurrentes</t>
  </si>
  <si>
    <t>Critique — Performance insuffisante, risque de résiliation</t>
  </si>
  <si>
    <t>D5.2|SAN</t>
  </si>
  <si>
    <t>Très favorable — Disponibilité ≥ 95 %, rendement garanti atteint</t>
  </si>
  <si>
    <t>Favorable — Disponibilité ≥ 92 %, rendement proche de la garantie</t>
  </si>
  <si>
    <t>Vigilance — Disponibilité &lt; 92 % ou rendement dégradé</t>
  </si>
  <si>
    <t>Critique — Pannes répétées, pénalités de capacité lourdes</t>
  </si>
  <si>
    <t>D5.2|ETH</t>
  </si>
  <si>
    <t>Très favorable — Taux d'occupation ≥ 95 %, entretien à jour</t>
  </si>
  <si>
    <t>Favorable — Taux d'occupation ≥ 90 %</t>
  </si>
  <si>
    <t>Vigilance — Taux d'occupation de 80 à 90 %</t>
  </si>
  <si>
    <t>Critique — Taux d'occupation &lt; 80 %</t>
  </si>
  <si>
    <t>D5.2|IMMO-REND</t>
  </si>
  <si>
    <t>Très favorable — Taux d'utilisation ≥ 90 %, rendement matière garanti atteint</t>
  </si>
  <si>
    <t>Favorable — Taux d'utilisation de 80 à 90 %</t>
  </si>
  <si>
    <t>Vigilance — Taux d'utilisation de 65 à 80 % ou montée en cadence lente</t>
  </si>
  <si>
    <t>Critique — Taux d'utilisation &lt; 65 %</t>
  </si>
  <si>
    <t>D5.2|IND</t>
  </si>
  <si>
    <t>Très favorable — Rendements ≥ référence sur 3 campagnes</t>
  </si>
  <si>
    <t>Favorable — Rendements proches de la référence</t>
  </si>
  <si>
    <t>Vigilance — Rendements irréguliers selon les campagnes</t>
  </si>
  <si>
    <t>Critique — Rendements durablement sous la référence</t>
  </si>
  <si>
    <t>D5.2|AGR</t>
  </si>
  <si>
    <t>Très favorable — Occupation et prix au-dessus du plan d'affaires</t>
  </si>
  <si>
    <t>Favorable — Occupation et prix conformes au plan</t>
  </si>
  <si>
    <t>Vigilance — Occupation ou prix sous le plan de 10 à 20 %</t>
  </si>
  <si>
    <t>Critique — Occupation ou prix sous le plan de plus de 20 %</t>
  </si>
  <si>
    <t>D5.2|TOU</t>
  </si>
  <si>
    <t>Très favorable — Teneurs et récupération conformes au plan minier</t>
  </si>
  <si>
    <t>Favorable — Écarts mineurs de teneur ou de récupération</t>
  </si>
  <si>
    <t>Vigilance — Teneur ou récupération inférieure au plan</t>
  </si>
  <si>
    <t>Critique — Écarts majeurs remettant en cause le plan minier</t>
  </si>
  <si>
    <t>D5.2|MIN</t>
  </si>
  <si>
    <t>Très favorable — Coûts contractualisés, réserve de gros entretien dotée</t>
  </si>
  <si>
    <t>Favorable — Coûts maîtrisés, réserve de gros entretien prévue</t>
  </si>
  <si>
    <t>Vigilance — Coûts exposés à l'inflation ou intrants critiques non couverts</t>
  </si>
  <si>
    <t>Critique — Coûts non maîtrisés ou dépendance non couverte</t>
  </si>
  <si>
    <t>Très favorable — Acheteur noté ≥ BBB, paiements réguliers</t>
  </si>
  <si>
    <t>Favorable — Acheteur noté BBB−, retards de paiement limités</t>
  </si>
  <si>
    <t>Vigilance — Acheteur non noté ou retards de paiement répétés</t>
  </si>
  <si>
    <t>Critique — Acheteur fragile ou en défaut de paiement</t>
  </si>
  <si>
    <t>Très favorable — Fournisseurs multiples ou contrats long terme garantis</t>
  </si>
  <si>
    <t>Favorable — Fournisseur principal solide, alternative possible</t>
  </si>
  <si>
    <t>Vigilance — Fournisseur unique, substitution longue ou coûteuse</t>
  </si>
  <si>
    <t>Critique — Fournisseur critique fragile, aucune alternative</t>
  </si>
  <si>
    <t>Très favorable — Prêteurs de premier rang, convention intercréanciers signée</t>
  </si>
  <si>
    <t>Favorable — Consortium solide, convention en cours de finalisation</t>
  </si>
  <si>
    <t>Vigilance — Prêteurs hétérogènes ou règles de vote à préciser</t>
  </si>
  <si>
    <t>Critique — Conflit entre prêteurs ou absence de convention</t>
  </si>
  <si>
    <t>Très favorable — Contrats signés, accords directs avec toutes les contreparties clés</t>
  </si>
  <si>
    <t>Favorable — Contrats signés, accords directs avec les principales contreparties</t>
  </si>
  <si>
    <t>Vigilance — Contrats ou accords directs en cours de négociation</t>
  </si>
  <si>
    <t>Critique — Documentation lacunaire, pas de droits directs</t>
  </si>
  <si>
    <t>Très favorable — Sûretés complètes, enregistrées, avis juridique sans réserve</t>
  </si>
  <si>
    <t>Favorable — Sûretés complètes, formalités en cours</t>
  </si>
  <si>
    <t>Vigilance — Sûretés partielles ou réserve dans l'avis juridique</t>
  </si>
  <si>
    <t>Critique — Sûretés non opposables ou absentes</t>
  </si>
  <si>
    <t>Très favorable — Toutes autorisations définitives, cadre stable, aucun litige</t>
  </si>
  <si>
    <t>Favorable — Autorisations obtenues, renouvellements de routine</t>
  </si>
  <si>
    <t>Vigilance — Autorisations en cours ou cadre réglementaire en évolution</t>
  </si>
  <si>
    <t>Critique — Autorisation clé manquante ou litige significatif</t>
  </si>
  <si>
    <t>Très favorable — Étude d'impact approuvée, plan de gestion conforme aux normes IFC</t>
  </si>
  <si>
    <t>Favorable — Étude d'impact approuvée, plan de gestion à compléter</t>
  </si>
  <si>
    <t>Vigilance — Impacts notables, mesures d'atténuation en cours de définition</t>
  </si>
  <si>
    <t>Critique — Impact majeur non traité ou étude d'impact absente</t>
  </si>
  <si>
    <t>Très favorable — Consultation menée, aucun déplacement, emploi local documenté</t>
  </si>
  <si>
    <t>Favorable — Consultation menée, impacts sociaux limités et traités</t>
  </si>
  <si>
    <t>Vigilance — Réinstallation ou contestation locale à gérer</t>
  </si>
  <si>
    <t>Critique — Opposition forte ou réinstallation non conforme</t>
  </si>
  <si>
    <t>Très favorable — Système de gestion E&amp;S certifié, suivi par un consultant des prêteurs</t>
  </si>
  <si>
    <t>Favorable — Système de gestion E&amp;S en place, reporting régulier</t>
  </si>
  <si>
    <t>Vigilance — Système de gestion E&amp;S embryonnaire</t>
  </si>
  <si>
    <t>Critique — Aucun système de gestion E&amp;S</t>
  </si>
  <si>
    <t>Très favorable — Risques physiques et de transition faibles ou entièrement couverts</t>
  </si>
  <si>
    <t>Favorable — Risques identifiés et couverts pour l'essentiel</t>
  </si>
  <si>
    <t>Vigilance — Risque résiduel significatif, plan d'adaptation partiel</t>
  </si>
  <si>
    <t>Critique — Risque élevé sans plan d'adaptation</t>
  </si>
  <si>
    <t>Très favorable — DSRA ≥ 6 mois dotée, réserve de maintenance, cascade signée</t>
  </si>
  <si>
    <t>Favorable — DSRA ≥ 6 mois, autres réserves partielles</t>
  </si>
  <si>
    <t>Vigilance — DSRA de 3 à 6 mois ou dotation progressive</t>
  </si>
  <si>
    <t>Critique — DSRA &lt; 3 mois ou absente, pas de cascade</t>
  </si>
  <si>
    <t>Très favorable — Quote-part de dette ≤ 65 %, fonds propres versés en premier</t>
  </si>
  <si>
    <t>Favorable — Quote-part de dette de 65 à 75 %</t>
  </si>
  <si>
    <t>Vigilance — Quote-part de dette de 75 à 85 % ou fonds propres versés au prorata</t>
  </si>
  <si>
    <t>Critique — Quote-part de dette &gt; 85 % ou fonds propres non engagés</t>
  </si>
  <si>
    <t>Très favorable — Tout en MAD, taux fixe ou couvert, amortissement complet</t>
  </si>
  <si>
    <t>Favorable — Exposition résiduelle faible (&lt; 10 % du service), couverte pour l'essentiel</t>
  </si>
  <si>
    <t>Vigilance — Exposition de 10 à 25 % du service ou ballon refinancé avec stratégie</t>
  </si>
  <si>
    <t>Critique — Exposition &gt; 25 % du service ou refinancement sans stratégie</t>
  </si>
  <si>
    <t>Bloc 4 · Données sectorielles affichées dans le dossier selon le secteur (information, non calculées)</t>
  </si>
  <si>
    <t>Donnée 1</t>
  </si>
  <si>
    <t>Donnée 2</t>
  </si>
  <si>
    <t>Donnée 3</t>
  </si>
  <si>
    <t>Donnée 4</t>
  </si>
  <si>
    <t>Donnée 5</t>
  </si>
  <si>
    <t>Donnée 6</t>
  </si>
  <si>
    <t>Puissance installée (MW)</t>
  </si>
  <si>
    <t>Productible P50 (GWh/an)</t>
  </si>
  <si>
    <t>Productible P90 (1 an) (GWh/an)</t>
  </si>
  <si>
    <t>Durée du contrat d'achat (ans)</t>
  </si>
  <si>
    <t>Prix du contrat d'achat (MAD/kWh)</t>
  </si>
  <si>
    <t>Dégradation annuelle (%/an)</t>
  </si>
  <si>
    <t>Capacité (m³/jour)</t>
  </si>
  <si>
    <t>Consommation électrique garantie (kWh/m³)</t>
  </si>
  <si>
    <t>Part de la redevance de capacité (% des recettes)</t>
  </si>
  <si>
    <t>Part du coût de l'énergie répercutée (%)</t>
  </si>
  <si>
    <t>Durée du contrat (ans)</t>
  </si>
  <si>
    <t>Capacité (MW IT)</t>
  </si>
  <si>
    <t>Taux de commercialisation (%)</t>
  </si>
  <si>
    <t>Durée moyenne des contrats (ans)</t>
  </si>
  <si>
    <t>Efficacité énergétique (PUE) (ratio)</t>
  </si>
  <si>
    <t>Part du premier client (% des recettes)</t>
  </si>
  <si>
    <t>Trafic de référence (véh./jour)</t>
  </si>
  <si>
    <t>Durée de montée en charge (ans)</t>
  </si>
  <si>
    <t>Mécanisme de recettes (péage / disponibilité)</t>
  </si>
  <si>
    <t>Garantie de trafic ou de recettes minimum (Oui / Non)</t>
  </si>
  <si>
    <t>Durée résiduelle de la concession (ans)</t>
  </si>
  <si>
    <t>Capacité (EVP/an ou t/an)</t>
  </si>
  <si>
    <t>Taux d'utilisation (%)</t>
  </si>
  <si>
    <t>Part du premier client (% des volumes)</t>
  </si>
  <si>
    <t>Volumes minimaux garantis (% de la capacité)</t>
  </si>
  <si>
    <t>Durée de la concession (ans)</t>
  </si>
  <si>
    <t>Nombre de lits (lits)</t>
  </si>
  <si>
    <t>Mode de paiement (disponibilité / activité)</t>
  </si>
  <si>
    <t>Pénalités de performance maximales (% du loyer)</t>
  </si>
  <si>
    <t>Puissance (MW)</t>
  </si>
  <si>
    <t>Rendement net (%)</t>
  </si>
  <si>
    <t>Durée du contrat de combustible (ans)</t>
  </si>
  <si>
    <t>Volume de combustible garanti (% du besoin)</t>
  </si>
  <si>
    <t>Répercussion du prix du combustible (%)</t>
  </si>
  <si>
    <t>Surface locative (m²)</t>
  </si>
  <si>
    <t>Taux d'occupation (%)</t>
  </si>
  <si>
    <t>Durée résiduelle moyenne des baux (ans)</t>
  </si>
  <si>
    <t>Rendement locatif (loyers / valeur) (%)</t>
  </si>
  <si>
    <t>Part du premier locataire (% des loyers)</t>
  </si>
  <si>
    <t>Capacité de production (t/an)</t>
  </si>
  <si>
    <t>Part couverte par un contrat d'enlèvement (%)</t>
  </si>
  <si>
    <t>Dépendance à une matière première importée (% des coûts)</t>
  </si>
  <si>
    <t>Sécurisation de l'eau (% du besoin)</t>
  </si>
  <si>
    <t>Rendement de référence (t/ha)</t>
  </si>
  <si>
    <t>Approvisionnement amont contractualisé (% du besoin)</t>
  </si>
  <si>
    <t>Débouchés aval contractualisés (% des volumes)</t>
  </si>
  <si>
    <t>Nombre de chambres (clés)</t>
  </si>
  <si>
    <t>Prix moyen (MAD/nuit)</t>
  </si>
  <si>
    <t>Revenu par chambre disponible (RevPAR) (MAD)</t>
  </si>
  <si>
    <t>Part des recettes en haute saison (%)</t>
  </si>
  <si>
    <t>Contrat de gestion (type et durée)</t>
  </si>
  <si>
    <t>Réserves prouvées et probables (Mt)</t>
  </si>
  <si>
    <t>Norme de certification des réserves (texte)</t>
  </si>
  <si>
    <t>Durée de vie de la mine (ans)</t>
  </si>
  <si>
    <t>Coût de production / prix (%)</t>
  </si>
  <si>
    <t>Part des ventes sous contrat (%)</t>
  </si>
  <si>
    <t>Puissance installée</t>
  </si>
  <si>
    <t>MW</t>
  </si>
  <si>
    <t>Productible P50</t>
  </si>
  <si>
    <t>GWh/an</t>
  </si>
  <si>
    <t>Productible P90 (1 an)</t>
  </si>
  <si>
    <t>Durée du contrat d'achat</t>
  </si>
  <si>
    <t>ans</t>
  </si>
  <si>
    <t>Prix du contrat d'achat</t>
  </si>
  <si>
    <t>MAD/kWh</t>
  </si>
  <si>
    <t>Dégradation annuelle</t>
  </si>
  <si>
    <t>%/an</t>
  </si>
  <si>
    <t>Capacité</t>
  </si>
  <si>
    <t>m³/jour</t>
  </si>
  <si>
    <t>Consommation électrique garantie</t>
  </si>
  <si>
    <t>kWh/m³</t>
  </si>
  <si>
    <t>Part de la redevance de capacité</t>
  </si>
  <si>
    <t>% des recettes</t>
  </si>
  <si>
    <t>Part du coût de l'énergie répercutée</t>
  </si>
  <si>
    <t>%</t>
  </si>
  <si>
    <t>Durée du contrat</t>
  </si>
  <si>
    <t/>
  </si>
  <si>
    <t>MW IT</t>
  </si>
  <si>
    <t>Taux de commercialisation</t>
  </si>
  <si>
    <t>Durée moyenne des contrats</t>
  </si>
  <si>
    <t>Efficacité énergétique (PUE)</t>
  </si>
  <si>
    <t>ratio</t>
  </si>
  <si>
    <t>Part du premier client</t>
  </si>
  <si>
    <t>Trafic de référence</t>
  </si>
  <si>
    <t>véh./jour</t>
  </si>
  <si>
    <t>Durée de montée en charge</t>
  </si>
  <si>
    <t>Mécanisme de recettes</t>
  </si>
  <si>
    <t>péage / disponibilité</t>
  </si>
  <si>
    <t>Garantie de trafic ou de recettes minimum</t>
  </si>
  <si>
    <t>Oui / Non</t>
  </si>
  <si>
    <t>Durée résiduelle de la concession</t>
  </si>
  <si>
    <t>EVP/an ou t/an</t>
  </si>
  <si>
    <t>Taux d'utilisation</t>
  </si>
  <si>
    <t>% des volumes</t>
  </si>
  <si>
    <t>Volumes minimaux garantis</t>
  </si>
  <si>
    <t>% de la capacité</t>
  </si>
  <si>
    <t>Durée de la concession</t>
  </si>
  <si>
    <t>Nombre de lits</t>
  </si>
  <si>
    <t>lits</t>
  </si>
  <si>
    <t>Mode de paiement</t>
  </si>
  <si>
    <t>disponibilité / activité</t>
  </si>
  <si>
    <t>Pénalités de performance maximales</t>
  </si>
  <si>
    <t>% du loyer</t>
  </si>
  <si>
    <t>Puissance</t>
  </si>
  <si>
    <t>Rendement net</t>
  </si>
  <si>
    <t>Durée du contrat de combustible</t>
  </si>
  <si>
    <t>Volume de combustible garanti</t>
  </si>
  <si>
    <t>% du besoin</t>
  </si>
  <si>
    <t>Répercussion du prix du combustible</t>
  </si>
  <si>
    <t>Surface locative</t>
  </si>
  <si>
    <t>m²</t>
  </si>
  <si>
    <t>Taux d'occupation</t>
  </si>
  <si>
    <t>Durée résiduelle moyenne des baux</t>
  </si>
  <si>
    <t>Rendement locatif (loyers / valeur)</t>
  </si>
  <si>
    <t>Part du premier locataire</t>
  </si>
  <si>
    <t>% des loyers</t>
  </si>
  <si>
    <t>Capacité de production</t>
  </si>
  <si>
    <t>t/an</t>
  </si>
  <si>
    <t>Part couverte par un contrat d'enlèvement</t>
  </si>
  <si>
    <t>Dépendance à une matière première importée</t>
  </si>
  <si>
    <t>% des coûts</t>
  </si>
  <si>
    <t>Sécurisation de l'eau</t>
  </si>
  <si>
    <t>Rendement de référence</t>
  </si>
  <si>
    <t>t/ha</t>
  </si>
  <si>
    <t>Approvisionnement amont contractualisé</t>
  </si>
  <si>
    <t>Débouchés aval contractualisés</t>
  </si>
  <si>
    <t>Nombre de chambres</t>
  </si>
  <si>
    <t>clés</t>
  </si>
  <si>
    <t>Prix moyen</t>
  </si>
  <si>
    <t>MAD/nuit</t>
  </si>
  <si>
    <t>Revenu par chambre disponible (RevPAR)</t>
  </si>
  <si>
    <t>Part des recettes en haute saison</t>
  </si>
  <si>
    <t>Contrat de gestion</t>
  </si>
  <si>
    <t>type et durée</t>
  </si>
  <si>
    <t>Réserves prouvées et probables</t>
  </si>
  <si>
    <t>Mt</t>
  </si>
  <si>
    <t>Norme de certification des réserves</t>
  </si>
  <si>
    <t>texte</t>
  </si>
  <si>
    <t>Durée de vie de la mine</t>
  </si>
  <si>
    <t>Coût de production / prix</t>
  </si>
  <si>
    <t>Part des ventes sous contrat</t>
  </si>
  <si>
    <t>DOSSIER_V8</t>
  </si>
  <si>
    <t>V3</t>
  </si>
  <si>
    <t>CAS 1 · Centrale solaire photovoltaïque 80 MWc</t>
  </si>
  <si>
    <t>SPV « Solaris Drâa » SA (fictive) — Région de Drâa-Tafilalet</t>
  </si>
  <si>
    <t>Centrale PV vendant sa production à l'acheteur public national sous contrat d'achat de 25 ans à quantité garantie et tarif indexé. Financement en dirhams, EPC clé-en-main forfaitaire.</t>
  </si>
  <si>
    <t>À SAISIR (cellules orange)</t>
  </si>
  <si>
    <t>Aller à la section :</t>
  </si>
  <si>
    <t>NOTE APPROUVÉE (1 à 10)</t>
  </si>
  <si>
    <t>Statut</t>
  </si>
  <si>
    <t>Score global (sur 100)</t>
  </si>
  <si>
    <t>Note calculée</t>
  </si>
  <si>
    <t>Plafond applicable</t>
  </si>
  <si>
    <t>Plafonds actifs</t>
  </si>
  <si>
    <t>Verrous actifs (exclusions X, blocages B)</t>
  </si>
  <si>
    <t>Régime de proportionnalité retenu</t>
  </si>
  <si>
    <t>DSCR minimum</t>
  </si>
  <si>
    <t>DSCR stressé min.</t>
  </si>
  <si>
    <t>Complétude (noyau N1-N6 et grille)</t>
  </si>
  <si>
    <t>Noyau financier D7</t>
  </si>
  <si>
    <t>1 · IDENTIFICATION ET ROUTAGE — codes du client et du projet ; le routage pilote seuils et poids</t>
  </si>
  <si>
    <t>Axe</t>
  </si>
  <si>
    <t>Libellé, contrôle</t>
  </si>
  <si>
    <t>Code client T24 (société de projet)</t>
  </si>
  <si>
    <t>20041027</t>
  </si>
  <si>
    <t>Radical du client (7 chiffres)</t>
  </si>
  <si>
    <t>0041027</t>
  </si>
  <si>
    <t>Code projet</t>
  </si>
  <si>
    <t>PF-2026-0001</t>
  </si>
  <si>
    <t>C — Régime de revenus</t>
  </si>
  <si>
    <t>D — Secteur du projet</t>
  </si>
  <si>
    <t>B — Phase</t>
  </si>
  <si>
    <t>Périodicité du service de la dette</t>
  </si>
  <si>
    <t>Jamais annuelle : le DSCR se mesure échéance par échéance.</t>
  </si>
  <si>
    <t>A — Famille de financement</t>
  </si>
  <si>
    <t>PF-FLUX</t>
  </si>
  <si>
    <t>SPV dédiée, remboursement par les flux du projet (R5 vente d'actifs : hors outil).</t>
  </si>
  <si>
    <t>2 · RÉGIME DE PROPORTIONNALITÉ — calculé, jamais choisi</t>
  </si>
  <si>
    <t>CAPEX du projet économique complet (MMAD)</t>
  </si>
  <si>
    <t>Repris du total des emplois (section 3).</t>
  </si>
  <si>
    <t>Exposition de la banque (MMAD)</t>
  </si>
  <si>
    <t>Recettes, coûts et dette intégralement en dirhams</t>
  </si>
  <si>
    <t>Durée du financement (ans)</t>
  </si>
  <si>
    <t>Technologie : ≥ 3 références industrielles de plus de 3 ans</t>
  </si>
  <si>
    <t>En P1 : EPC clé-en-main forfaitaire, prix et délai garantis, &lt; 18 mois</t>
  </si>
  <si>
    <t>Acheteur principal unique et identifié</t>
  </si>
  <si>
    <t>Technologie constituant une première référence dans la juridiction</t>
  </si>
  <si>
    <t>Opération consortiale relevant de la directive 3/W/2025</t>
  </si>
  <si>
    <t>Concession ou contrat de revenus de plus de 20 ans</t>
  </si>
  <si>
    <t>Site classé à risque climatique physique élevé</t>
  </si>
  <si>
    <t>Nombre de contreparties clés</t>
  </si>
  <si>
    <t>Régime calculé (avant escalade)</t>
  </si>
  <si>
    <t>RÉGIME RETENU (après escalade automatique)</t>
  </si>
  <si>
    <t>3 · SOURCES ET EMPLOIS (MMAD) — test de financement à terminaison ; crédits de la banque</t>
  </si>
  <si>
    <t>Emplois</t>
  </si>
  <si>
    <t>Montant</t>
  </si>
  <si>
    <t>Ressources</t>
  </si>
  <si>
    <t>Nature</t>
  </si>
  <si>
    <t>Contrat EPC (modules, structures, postes)</t>
  </si>
  <si>
    <t>Dette senior (20 ans, 5,5 %)</t>
  </si>
  <si>
    <t>Raccordement au réseau</t>
  </si>
  <si>
    <t>Fonds propres et quasi-fonds propres</t>
  </si>
  <si>
    <t>Développement, frais et assurances</t>
  </si>
  <si>
    <t>Engagement sponsor de dépassement (engagé, non tiré)</t>
  </si>
  <si>
    <t>Contingence</t>
  </si>
  <si>
    <t>Intérêts intercalaires</t>
  </si>
  <si>
    <t>Dotation initiale DSRA</t>
  </si>
  <si>
    <t>BFR de démarrage</t>
  </si>
  <si>
    <t>Total emplois (besoin à terminaison)</t>
  </si>
  <si>
    <t>Total ressources engagées</t>
  </si>
  <si>
    <t>Couverture du besoin à terminaison (ressources / emplois)</t>
  </si>
  <si>
    <t>Quote-part de dette (dette / besoin à terminaison)</t>
  </si>
  <si>
    <t>Plan de remédiation approuvé (couverture entre 95 % et 100 %)</t>
  </si>
  <si>
    <t>Crédits de la banque sur le projet — un projet peut porter plusieurs dossiers de crédit</t>
  </si>
  <si>
    <t>Numéro du dossier de crédit</t>
  </si>
  <si>
    <t>Montant (MMAD)</t>
  </si>
  <si>
    <t>Devise</t>
  </si>
  <si>
    <t>Durée (ans)</t>
  </si>
  <si>
    <t>Observation</t>
  </si>
  <si>
    <t>CR-26-0101</t>
  </si>
  <si>
    <t>CR-26-0102</t>
  </si>
  <si>
    <t>Total des crédits de la banque (MMAD, contre-valeur)</t>
  </si>
  <si>
    <t>Écart avec l'exposition (bloc 2)</t>
  </si>
  <si>
    <t>4 · DONNÉES SECTORIELLES ET HYPOTHÈSES D'EXPLOITATION (information, non calculées)</t>
  </si>
  <si>
    <t>Unité</t>
  </si>
  <si>
    <t>Observation ou source</t>
  </si>
  <si>
    <t>Autres hypothèses d'exploitation</t>
  </si>
  <si>
    <t>Chiffre d'affaires</t>
  </si>
  <si>
    <t>73 MMAD/an</t>
  </si>
  <si>
    <t>Charges d'exploitation</t>
  </si>
  <si>
    <t>11 MMAD/an</t>
  </si>
  <si>
    <t>EBITDA</t>
  </si>
  <si>
    <t>62 MMAD/an</t>
  </si>
  <si>
    <t>CFADS de référence</t>
  </si>
  <si>
    <t>54 MMAD/an</t>
  </si>
  <si>
    <t>Service de la dette</t>
  </si>
  <si>
    <t>38,9 MMAD/an, semestriel</t>
  </si>
  <si>
    <t>5 · SEUILS DSCR APPLICABLES = base du régime + Δ secteur + majoration de phase</t>
  </si>
  <si>
    <t>Seuil critique de base du régime</t>
  </si>
  <si>
    <t>Écart sectoriel Δ</t>
  </si>
  <si>
    <t>Majoration de phase</t>
  </si>
  <si>
    <t>Seuils applicables</t>
  </si>
  <si>
    <t>Très favorable ≥</t>
  </si>
  <si>
    <t>Seuil = base + Δ + majoration</t>
  </si>
  <si>
    <t>6 · ÉCHÉANCIER DATÉ ET DSCR PAR ÉCHÉANCE (jusqu'à 60 périodes)</t>
  </si>
  <si>
    <t>Scénario défavorable : baisse du CFADS appliquée à chaque période</t>
  </si>
  <si>
    <t>Production P90 (− 8 %) et charges d’exploitation + 10 %</t>
  </si>
  <si>
    <t>Période</t>
  </si>
  <si>
    <t>CFADS central</t>
  </si>
  <si>
    <t>DSCR</t>
  </si>
  <si>
    <t>Classement</t>
  </si>
  <si>
    <t>CFADS stressé (saisie facultative)</t>
  </si>
  <si>
    <t>DSCR stressé</t>
  </si>
  <si>
    <t>DSCR annuel (paire de semestres)</t>
  </si>
  <si>
    <t>An 1 · S1</t>
  </si>
  <si>
    <t>An 1 · S2</t>
  </si>
  <si>
    <t>An 10 · S1</t>
  </si>
  <si>
    <t>An 10 · S2</t>
  </si>
  <si>
    <t>An 20 · S1</t>
  </si>
  <si>
    <t>An 20 · S2</t>
  </si>
  <si>
    <t>DSCR MINIMUM sur toutes les échéances (mesure retenue)</t>
  </si>
  <si>
    <t>DSCR minimum sous scénario défavorable</t>
  </si>
  <si>
    <t>DSCR moyen sur l'horizon (indicatif — jamais retenu)</t>
  </si>
  <si>
    <t>DSCR annuel minimum, semestres agrégés (indicatif)</t>
  </si>
  <si>
    <t>Nombre de périodes renseignées</t>
  </si>
  <si>
    <t>7 · NOYAU FINANCIER (D7) — N1 à N3 calculés, N4 à N6 choisis dans une liste de situations</t>
  </si>
  <si>
    <t>Contribution</t>
  </si>
  <si>
    <t>Situation (N4 à N6) ou mesure calculée (N1 à N3)</t>
  </si>
  <si>
    <t>Justification (exigée si Critique ou Info.)</t>
  </si>
  <si>
    <t>N1 — DSCR minimum, scénario central</t>
  </si>
  <si>
    <t>N2 — DSCR minimum, scénario défavorable</t>
  </si>
  <si>
    <t>N3 — LLCR / financement à terminaison (P1)</t>
  </si>
  <si>
    <t>N4 — Liquidité (DSRA, lignes, cascade)</t>
  </si>
  <si>
    <t>DSRA 6 mois de service, MRA doté, cascade de paiement signée</t>
  </si>
  <si>
    <t>N5 — Levier et fonds propres à risque</t>
  </si>
  <si>
    <t>Quote-part de dette 65,8 %, gearing 1,92, fonds propres à risque 34,2 %</t>
  </si>
  <si>
    <t>N6 — Exposition résiduelle taux / change / refinancement</t>
  </si>
  <si>
    <t>Intégralement en dirhams, taux fixe, amortissement complet sans ballon</t>
  </si>
  <si>
    <t>D7 — SCORE DU NOYAU FINANCIER</t>
  </si>
  <si>
    <t>Données du noyau et des plafonds (alimentent N3 hors P1 et les plafonds C4 à C14)</t>
  </si>
  <si>
    <t>N3 hors phase P1 : note fondée sur le LLCR (100, 80, 50, 20)</t>
  </si>
  <si>
    <t>LLCR (x) — plafond C4</t>
  </si>
  <si>
    <t>DSRA en mois de service de dette — plafond C7</t>
  </si>
  <si>
    <t>Exposition nette en devises non couverte, en % du service annuel — C6</t>
  </si>
  <si>
    <t>Dette à refinancer à maturité, en % du nominal — C8</t>
  </si>
  <si>
    <t>Stratégie de refinancement approuvée</t>
  </si>
  <si>
    <t>Part des recettes portée par l'acheteur principal — C10</t>
  </si>
  <si>
    <t>Qualité de crédit interne de l'acheteur principal</t>
  </si>
  <si>
    <t>Durée résiduelle du contrat de revenus (ans) — C5</t>
  </si>
  <si>
    <t>Durée résiduelle de la dette (ans)</t>
  </si>
  <si>
    <t>Solution documentée si le contrat expire avant la dette</t>
  </si>
  <si>
    <t>Plan d'adaptation climatique financé — C11</t>
  </si>
  <si>
    <t>Capacité résiduelle du sponsor suffisante pour l'appel d'equity restant — C12</t>
  </si>
  <si>
    <t>Opérateur remplaçable — C13</t>
  </si>
  <si>
    <t>Écart entre la fin du contrat O&amp;M et la fin de la dette (ans)</t>
  </si>
  <si>
    <t>Exposition du groupe sur un facteur commun au-delà de la limite interne — C14</t>
  </si>
  <si>
    <t>8 · GRILLE QUALITATIVE — choisissez la situation ; la note (100, 80, 50, 20) s'en déduit</t>
  </si>
  <si>
    <t>Domaine et sous-critère</t>
  </si>
  <si>
    <t>Score domaine</t>
  </si>
  <si>
    <t>Situation retenue (liste du référentiel des niveaux)</t>
  </si>
  <si>
    <t>Commentaire (exigé si Critique ou Info.)</t>
  </si>
  <si>
    <t>D1 — Sponsors et actionnariat</t>
  </si>
  <si>
    <t>Développeur international associé à un institutionnel marocain. Lettre d'engagement de fonds propres et engagement de dépassement signés : l'obligation juridique de soutien est établie, pas seulement la capacité.</t>
  </si>
  <si>
    <t>DOM</t>
  </si>
  <si>
    <t xml:space="preserve">      Capacité financière du sponsor</t>
  </si>
  <si>
    <t>SC</t>
  </si>
  <si>
    <t xml:space="preserve">      Obligation juridique de soutien</t>
  </si>
  <si>
    <t xml:space="preserve">      Structure actionnariale et gouvernance</t>
  </si>
  <si>
    <t>D2 — Projet, site, technologie</t>
  </si>
  <si>
    <t xml:space="preserve">      Technologie et performance</t>
  </si>
  <si>
    <t xml:space="preserve">      Site, foncier physique et accès</t>
  </si>
  <si>
    <t xml:space="preserve">      Planning et complexité d'exécution</t>
  </si>
  <si>
    <t>D3 — Construction et achèvement</t>
  </si>
  <si>
    <t>EPC clé-en-main forfaitaire à prix et délai garantis, pénalités de retard plafonnées à 15 % du contrat. Interface unique restante : le raccordement, porté par un tiers.</t>
  </si>
  <si>
    <t xml:space="preserve">      Contrat EPC et constructeur</t>
  </si>
  <si>
    <t xml:space="preserve">      Interfaces et gouvernance de chantier</t>
  </si>
  <si>
    <t xml:space="preserve">      Assurances et garanties mobilisables</t>
  </si>
  <si>
    <t>D4 — Mécanisme des recettes</t>
  </si>
  <si>
    <t>Contrat de 25 ans couvrant intégralement la durée de la dette (20 ans). Indexation portant sur 70 % du tarif seulement : le mécanisme de prix est noté Favorable et non Très favorable.</t>
  </si>
  <si>
    <t xml:space="preserve">      Structure contractuelle des recettes</t>
  </si>
  <si>
    <t xml:space="preserve">      Mécanisme de prix et indexation</t>
  </si>
  <si>
    <t xml:space="preserve">      Marché et concurrence</t>
  </si>
  <si>
    <t>D5 — Exploitation et maintenance</t>
  </si>
  <si>
    <t xml:space="preserve">      Opérateur et contrat O&amp;M</t>
  </si>
  <si>
    <t xml:space="preserve">      Performance technique et disponibilité</t>
  </si>
  <si>
    <t xml:space="preserve">      Coûts, gros entretien et dépendances</t>
  </si>
  <si>
    <t>D6 — Contreparties et consortium</t>
  </si>
  <si>
    <t>Acheteur public national, qualité de crédit interne équivalente BBB−, historique de paiement satisfaisant mais délais constatés de 60 à 90 jours. Concentration des fournisseurs de modules notée Vigilance.</t>
  </si>
  <si>
    <t xml:space="preserve">      Acheteur ou payeur principal</t>
  </si>
  <si>
    <t xml:space="preserve">      Fournisseurs critiques</t>
  </si>
  <si>
    <t xml:space="preserve">      Prêteurs et consortium</t>
  </si>
  <si>
    <t>D8 — Juridique, sûretés, continuité</t>
  </si>
  <si>
    <t xml:space="preserve">      Documentation contractuelle et droits directs</t>
  </si>
  <si>
    <t xml:space="preserve">      Sûretés et opposabilité</t>
  </si>
  <si>
    <t xml:space="preserve">      Autorisations, cadre réglementaire, litiges</t>
  </si>
  <si>
    <t>D9 — ESG et climat résiduel</t>
  </si>
  <si>
    <t xml:space="preserve">      Environnement et ressources</t>
  </si>
  <si>
    <t xml:space="preserve">      Social et acceptabilité</t>
  </si>
  <si>
    <t xml:space="preserve">      Gouvernance ESG et exécution</t>
  </si>
  <si>
    <t xml:space="preserve">      Climat résiduel</t>
  </si>
  <si>
    <t>Couverture pondérée de la grille (minimum 95 % pour une note validée)</t>
  </si>
  <si>
    <t>Complétude des critères requis : N1 à N6 et sous-critères de la phase (100 % exigé)</t>
  </si>
  <si>
    <t>9 · AGRÉGATION ET NOTE CALCULÉE</t>
  </si>
  <si>
    <t>Score</t>
  </si>
  <si>
    <t>Poids de la phase</t>
  </si>
  <si>
    <t>D7 — Finance et trésorerie (noyau)</t>
  </si>
  <si>
    <t>SCORE GLOBAL (sur 100)</t>
  </si>
  <si>
    <t>Note calculée (table de conversion)</t>
  </si>
  <si>
    <t>10 · VERROUS — exclusions X (aucune note) et blocages B (note provisoire)</t>
  </si>
  <si>
    <t>Code et fait générateur</t>
  </si>
  <si>
    <t>Saisie</t>
  </si>
  <si>
    <t>Actif</t>
  </si>
  <si>
    <t>Stade bloqué</t>
  </si>
  <si>
    <t>Détection automatique</t>
  </si>
  <si>
    <t>X1 · Activité interdite par la loi marocaine ou par la politique d'exclusion de la banque</t>
  </si>
  <si>
    <t>Aucune note</t>
  </si>
  <si>
    <t>X2 · Autorisation légalement indispensable juridiquement impossible à obtenir</t>
  </si>
  <si>
    <t>X3 · Contrepartie clé sous sanctions ou signalée au titre du dispositif LBC-FT</t>
  </si>
  <si>
    <t>X4 · Contrepartie clé en défaut avéré non régularisé</t>
  </si>
  <si>
    <t>B1 · Contrat de revenus principal non signé (régimes R1 à R3)</t>
  </si>
  <si>
    <t>Octroi</t>
  </si>
  <si>
    <t>B2 · Contrat EPC non signé en phase P1</t>
  </si>
  <si>
    <t>B3 · Besoin à terminaison supérieur aux ressources engagées (couverture &lt; 95 % en P1)</t>
  </si>
  <si>
    <t>Décaissement</t>
  </si>
  <si>
    <t>B4 · Droit d'occupation du site non établi, ou durée &lt; dette + 24 mois</t>
  </si>
  <si>
    <t>B5 · Avis juridique d'opposabilité des sûretés absent ou avec réserve substantielle</t>
  </si>
  <si>
    <t>B6 · Modèle de flux datés absent ou non rapproché des états financiers</t>
  </si>
  <si>
    <t>Notation validée</t>
  </si>
  <si>
    <t>B7 · Complétude des critères critiques inférieure à 100 %</t>
  </si>
  <si>
    <t>B8 · Acceptabilité environnementale non obtenue au stade requis</t>
  </si>
  <si>
    <t>11 · PLAFONDS DE NOTE C1 À C15 — déclenchés par les données, jamais saisis</t>
  </si>
  <si>
    <t>Donnée observée</t>
  </si>
  <si>
    <t>Seuil</t>
  </si>
  <si>
    <t>Plafond effectif</t>
  </si>
  <si>
    <t>C1 · DSCR minimum de base inférieur à 1,05x sur une échéance</t>
  </si>
  <si>
    <t>C2 · DSCR minimum de base sous le seuil critique du couple régime × secteur</t>
  </si>
  <si>
    <t>C3 · DSCR minimum sous scénario défavorable inférieur à 1,00x</t>
  </si>
  <si>
    <t>C4 · LLCR inférieur à 1,10x</t>
  </si>
  <si>
    <t>C5 · Contrat de revenus expirant avant la dernière échéance de dette, sans solution documentée</t>
  </si>
  <si>
    <t>C6 · Exposition nette en devises non couverte supérieure à 25 % du service de dette annuel</t>
  </si>
  <si>
    <t>C7 · DSRA absente ou inférieure à 3 mois de service de dette</t>
  </si>
  <si>
    <t>C8 · Dette à refinancer à maturité supérieure à 30 % du nominal, sans stratégie approuvée</t>
  </si>
  <si>
    <t>C9 · Quote-part de dette supérieure à 85 % du plan de financement</t>
  </si>
  <si>
    <t>C10 · Acheteur portant plus de 85 % des recettes et de qualité interne inférieure à BBB−</t>
  </si>
  <si>
    <t>C11 · Risque climatique physique élevé au site sans plan d'adaptation financé</t>
  </si>
  <si>
    <t>C12 · Capacité résiduelle du sponsor insuffisante pour l'appel d'equity restant</t>
  </si>
  <si>
    <t>C13 · Opérateur non remplaçable et contrat O&amp;M expirant plus de 5 ans avant la dette</t>
  </si>
  <si>
    <t>C14 · Exposition du groupe bancaire sur un facteur commun au-delà de la limite interne</t>
  </si>
  <si>
    <t>C15 · Note issue d'une évaluation partielle (statut provisoire)</t>
  </si>
  <si>
    <t>PLAFOND LE PLUS CONTRAIGNANT (10 = aucun)</t>
  </si>
  <si>
    <t>12 · NOTE APPROUVÉE = min(note calculée ; plafonds actifs) — ordre X, B, score, C</t>
  </si>
  <si>
    <t>NOTE APPROUVÉE</t>
  </si>
  <si>
    <t>13 · COMMENTAIRES ET CONDITIONS — alimente la fiche comité</t>
  </si>
  <si>
    <t>Synthèse de l'analyste (obligatoire)</t>
  </si>
  <si>
    <t>Centrale PV sous contrat d'achat ferme de 25 ans couvrant la dette de 20 ans, financée en dirhams, EPC clé-en-main forfaitaire. Note 9, aucun plafond ni verrou. Régime L par la seule durée du contrat (&gt; 20 ans).</t>
  </si>
  <si>
    <t>Forces</t>
  </si>
  <si>
    <t>Contrat ferme couvrant la dette ; sponsor engagé juridiquement (fonds propres et dépassement) ; EPC forfaitaire avec pénalités ; tout en MAD, taux fixe, sans ballon.</t>
  </si>
  <si>
    <t>Faiblesses et mitigants</t>
  </si>
  <si>
    <t>Marge de financement à terminaison de 5,7 % seulement (N3 = 80) ; DSCR P90 à 1,12 (Vigilance) ; délais de paiement de l'acheteur de 60 à 90 jours. Mitigants : engagement de dépassement de 40 MMAD, DSRA 6 mois.</t>
  </si>
  <si>
    <t>Conditions proposées</t>
  </si>
  <si>
    <t>Engagement de dépassement maintenu jusqu'à la réception ; DSRA dotée avant le premier tirage ; rapport de l'ingénieur indépendant à chaque tirage.</t>
  </si>
  <si>
    <t>Avis risques</t>
  </si>
  <si>
    <t>Profil très solide ; conditions standard de construction.</t>
  </si>
  <si>
    <t>Décision du comité</t>
  </si>
  <si>
    <t>1 · Code client T24</t>
  </si>
  <si>
    <t>B15</t>
  </si>
  <si>
    <t>1 · Radical du client (7 chiffres)</t>
  </si>
  <si>
    <t>B16</t>
  </si>
  <si>
    <t>1 · Code projet (PF-AAAA-NNNN)</t>
  </si>
  <si>
    <t>B17</t>
  </si>
  <si>
    <t>1 · Régime de revenus</t>
  </si>
  <si>
    <t>B18</t>
  </si>
  <si>
    <t>1 · Secteur du projet</t>
  </si>
  <si>
    <t>B19</t>
  </si>
  <si>
    <t>1 · Phase du projet</t>
  </si>
  <si>
    <t>B20</t>
  </si>
  <si>
    <t>1 · Périodicité des échéances</t>
  </si>
  <si>
    <t>B21</t>
  </si>
  <si>
    <t>2 · Exposition de la banque (MMAD)</t>
  </si>
  <si>
    <t>B26</t>
  </si>
  <si>
    <t>2 · Recettes, coûts et dette en dirhams ?</t>
  </si>
  <si>
    <t>B27</t>
  </si>
  <si>
    <t>2 · Durée du financement (ans)</t>
  </si>
  <si>
    <t>B28</t>
  </si>
  <si>
    <t>2 · Technologie éprouvée ?</t>
  </si>
  <si>
    <t>B29</t>
  </si>
  <si>
    <t>2 · EPC clé-en-main de moins de 18 mois ? (phase P1)</t>
  </si>
  <si>
    <t>B30</t>
  </si>
  <si>
    <t>2 · Acheteur principal unique ?</t>
  </si>
  <si>
    <t>B31</t>
  </si>
  <si>
    <t>2 · Première référence technologique ?</t>
  </si>
  <si>
    <t>B32</t>
  </si>
  <si>
    <t>2 · Opération consortiale ?</t>
  </si>
  <si>
    <t>B33</t>
  </si>
  <si>
    <t>2 · Contrat de revenus de plus de 20 ans ?</t>
  </si>
  <si>
    <t>B34</t>
  </si>
  <si>
    <t>2 · Site à risque climatique élevé ?</t>
  </si>
  <si>
    <t>B35</t>
  </si>
  <si>
    <t>2 · Nombre de contreparties clés</t>
  </si>
  <si>
    <t>B36</t>
  </si>
  <si>
    <t>3 · Emplois : montants du besoin à terminaison</t>
  </si>
  <si>
    <t>B42</t>
  </si>
  <si>
    <t>3 · Ressources engagées : montants</t>
  </si>
  <si>
    <t>E42</t>
  </si>
  <si>
    <t>3 · Nature de chaque ressource</t>
  </si>
  <si>
    <t>F42</t>
  </si>
  <si>
    <t>3 · Plan de remédiation (couverture entre 95 et 100 %)</t>
  </si>
  <si>
    <t>B53</t>
  </si>
  <si>
    <t>6 · Choc du scénario défavorable (%)</t>
  </si>
  <si>
    <t>B91</t>
  </si>
  <si>
    <t>6 · Échéancier : CFADS d'au moins deux périodes</t>
  </si>
  <si>
    <t>B93</t>
  </si>
  <si>
    <t>6 · Service de la dette de chaque période</t>
  </si>
  <si>
    <t>C93</t>
  </si>
  <si>
    <t>7 · N4 — Liquidité : situation à choisir</t>
  </si>
  <si>
    <t>E166</t>
  </si>
  <si>
    <t>7 · N5 — Levier : situation à choisir</t>
  </si>
  <si>
    <t>E167</t>
  </si>
  <si>
    <t>7 · N6 — Exposition résiduelle : situation à choisir</t>
  </si>
  <si>
    <t>E168</t>
  </si>
  <si>
    <t>7 · Justification exigée (N4 à N6 Critique ou Info. insuffisante)</t>
  </si>
  <si>
    <t>7 · N3 hors phase P1 : note LLCR</t>
  </si>
  <si>
    <t>B171</t>
  </si>
  <si>
    <t>7 · LLCR (plafond C4)</t>
  </si>
  <si>
    <t>B172</t>
  </si>
  <si>
    <t>7 · DSRA en mois (plafond C7)</t>
  </si>
  <si>
    <t>B173</t>
  </si>
  <si>
    <t>7 · Exposition nette en devises (plafond C6)</t>
  </si>
  <si>
    <t>B174</t>
  </si>
  <si>
    <t>7 · Dette à refinancer à maturité (plafond C8)</t>
  </si>
  <si>
    <t>B175</t>
  </si>
  <si>
    <t>7 · Stratégie de refinancement approuvée ?</t>
  </si>
  <si>
    <t>B176</t>
  </si>
  <si>
    <t>7 · Part des recettes de l'acheteur principal (C10)</t>
  </si>
  <si>
    <t>B177</t>
  </si>
  <si>
    <t>7 · Qualité de crédit de l'acheteur principal</t>
  </si>
  <si>
    <t>B178</t>
  </si>
  <si>
    <t>7 · Durée résiduelle du contrat de revenus (C5)</t>
  </si>
  <si>
    <t>B179</t>
  </si>
  <si>
    <t>7 · Durée résiduelle de la dette</t>
  </si>
  <si>
    <t>B180</t>
  </si>
  <si>
    <t>7 · Solution documentée (contrat plus court que la dette) ?</t>
  </si>
  <si>
    <t>B181</t>
  </si>
  <si>
    <t>7 · Plan d'adaptation climatique financé ? (C11)</t>
  </si>
  <si>
    <t>B182</t>
  </si>
  <si>
    <t>7 · Capacité résiduelle du sponsor (C12)</t>
  </si>
  <si>
    <t>B183</t>
  </si>
  <si>
    <t>7 · Opérateur remplaçable ? (C13)</t>
  </si>
  <si>
    <t>B184</t>
  </si>
  <si>
    <t>7 · Écart fin O&amp;M / fin de dette (opérateur non remplaçable)</t>
  </si>
  <si>
    <t>B185</t>
  </si>
  <si>
    <t>7 · Facteur commun au-delà de la limite interne (C14)</t>
  </si>
  <si>
    <t>B186</t>
  </si>
  <si>
    <t>8 · Grille : sous-critère requis sans situation choisie</t>
  </si>
  <si>
    <t>8 · Commentaire exigé (situation Critique ou Info. insuffisante)</t>
  </si>
  <si>
    <t>10 · Verrous X1 à B8 : répondre Oui ou Non</t>
  </si>
  <si>
    <t>E243</t>
  </si>
  <si>
    <t>13 · Synthèse de l'analyste</t>
  </si>
  <si>
    <t>B280</t>
  </si>
  <si>
    <t>13 · Justification des écarts (plafond, verrou ou info. insuffisante)</t>
  </si>
  <si>
    <t>B284</t>
  </si>
  <si>
    <t>CAS 2 · Usine de dessalement 100 000 m³/jour</t>
  </si>
  <si>
    <t>SPV « Aqua Souss » SA (fictive) — Littoral de Souss-Massa</t>
  </si>
  <si>
    <t>Usine d'osmose inverse rémunérée par une redevance de capacité versée par l'acheteur public, assortie d'une redevance variable répercutant le coût de l'énergie dans une limite plafonnée.</t>
  </si>
  <si>
    <t>20058316</t>
  </si>
  <si>
    <t>0058316</t>
  </si>
  <si>
    <t>PF-2026-0002</t>
  </si>
  <si>
    <t>Contrat EPC (prise d’eau, osmose inverse, rejet)</t>
  </si>
  <si>
    <t>Dette senior (20 ans, 6,0 %), dont 35 % en euros</t>
  </si>
  <si>
    <t>Canalisations et raccordement électrique</t>
  </si>
  <si>
    <t>CR-26-0201</t>
  </si>
  <si>
    <t>CR-26-0202</t>
  </si>
  <si>
    <t>Redevance de capacité</t>
  </si>
  <si>
    <t>290 MMAD/an</t>
  </si>
  <si>
    <t>Charges hors énergie</t>
  </si>
  <si>
    <t>60 MMAD/an</t>
  </si>
  <si>
    <t>230 MMAD/an</t>
  </si>
  <si>
    <t>CFADS à régime établi</t>
  </si>
  <si>
    <t>196 MMAD/an</t>
  </si>
  <si>
    <t>146,5 MMAD/an, semestriel</t>
  </si>
  <si>
    <t>Coût de l’énergie + 15 % répercuté à 60 % seulement, disponibilité ramenée à 92 %</t>
  </si>
  <si>
    <t>An 1 · S1 (disponibilité 94 %)</t>
  </si>
  <si>
    <t>An 1 · S2 (disponibilité 95 %)</t>
  </si>
  <si>
    <t>An 3 · S1 (régime établi)</t>
  </si>
  <si>
    <t>An 3 · S2 (régime établi)</t>
  </si>
  <si>
    <t>DSRA 4 mois de service ; pas de ligne de secours dédiée</t>
  </si>
  <si>
    <t>Quote-part de dette 70 %, gearing 2,33</t>
  </si>
  <si>
    <t>35 % de la dette en euros, couverte à 60 % : exposition nette 14 % du service</t>
  </si>
  <si>
    <t>Technologie d'osmose inverse largement éprouvée, notée Très favorable. Le site concentre le risque : prise d'eau en mer, exutoire de saumure, autorisation d'occupation du domaine public maritime — noté Vigilance.</t>
  </si>
  <si>
    <t>La redevance de capacité couvre 25 ans. Le mécanisme de prix est noté Vigilance : le plafond de répercussion du coût de l'énergie laisse au projet une exposition résiduelle sur son principal poste de charges.</t>
  </si>
  <si>
    <t>Disponibilité constatée de 94 % contre 97 % contractuels : des déductions s'appliquent. En régime R2, la performance technique est portée par le projet, non par l'acheteur.</t>
  </si>
  <si>
    <t>Sûretés constituées, mais la substitution du prêteur dans l'autorisation d'occupation du domaine public maritime reste à confirmer auprès de l'autorité concédante.</t>
  </si>
  <si>
    <t>Dessalement rémunéré à la disponibilité, en montée en charge. Le stress énergie fait tomber N2 à 20 et le noyau à 57,5 : note 6 sans plafond. Régime L (CAPEX, consortium, devises, contrat &gt; 20 ans).</t>
  </si>
  <si>
    <t>Redevance de capacité sur 25 ans ; technologie d'osmose inverse éprouvée ; acheteur public de qualité.</t>
  </si>
  <si>
    <t>Disponibilité constatée 94 % contre 97 % ; répercussion plafonnée du coût de l'énergie ; 35 % de la dette en euros couverte à 60 %. Mitigants : DSRA 4 mois, plan d'amélioration de la disponibilité.</t>
  </si>
  <si>
    <t>Porter la DSRA à 6 mois ; couvrir le change à 80 % au moins ; plan d'action de disponibilité suivi par l'ingénieur des prêteurs.</t>
  </si>
  <si>
    <t>Note 6 : conditions et mitigants à formaliser.</t>
  </si>
  <si>
    <t>CAS 3 · Hôtel 4 étoiles, 220 clés</t>
  </si>
  <si>
    <t>SPV « Atlas Hospitality » SA (fictive) — Marrakech</t>
  </si>
  <si>
    <t>Hôtel exploité sous contrat de gestion par un groupe international. Aucun contrat de revenus : prix et volume sont intégralement portés par le projet.</t>
  </si>
  <si>
    <t>20063902</t>
  </si>
  <si>
    <t>0063902</t>
  </si>
  <si>
    <t>PF-2026-0003</t>
  </si>
  <si>
    <t>Construction et second œuvre</t>
  </si>
  <si>
    <t>Dette senior (15 ans, 6,5 %)</t>
  </si>
  <si>
    <t>Terrain</t>
  </si>
  <si>
    <t>Mobilier et équipements</t>
  </si>
  <si>
    <t>Frais, intérêts intercalaires et pré-ouverture</t>
  </si>
  <si>
    <t>CR-26-0301</t>
  </si>
  <si>
    <t>Contrat de gestion, 15 ans</t>
  </si>
  <si>
    <t>Chiffre d’affaires</t>
  </si>
  <si>
    <t>98 MMAD/an</t>
  </si>
  <si>
    <t>Charges d’exploitation</t>
  </si>
  <si>
    <t>EBITDA (GOP après loyer de gestion)</t>
  </si>
  <si>
    <t>36 MMAD/an</t>
  </si>
  <si>
    <t>CFADS</t>
  </si>
  <si>
    <t>30 MMAD/an</t>
  </si>
  <si>
    <t>25,5 MMAD/an, semestriel</t>
  </si>
  <si>
    <t>Occupation ramenée de 65 % à 55 %, soit un chiffre d’affaires en recul de 15 %</t>
  </si>
  <si>
    <t>An 2 · S1 (haute saison)</t>
  </si>
  <si>
    <t>An 2 · S2 (creux estival)</t>
  </si>
  <si>
    <t>An 5 · S1</t>
  </si>
  <si>
    <t>An 5 · S2</t>
  </si>
  <si>
    <t>DSRA 6 mois de service, pas de ligne saisonnière dédiée</t>
  </si>
  <si>
    <t>Quote-part de dette 50 %, gearing 1,00 — structure très capitalisée</t>
  </si>
  <si>
    <t>Dirhams, taux fixe ; amortissement complet sur 15 ans</t>
  </si>
  <si>
    <t>Sponsor de premier rang, fonds propres intégralement libérés, gouvernance exemplaire : le domaine est noté 100.</t>
  </si>
  <si>
    <t>Aucun contrat de revenus. Prix et volume sont exposés au marché, la concurrence marrakchie est intense : le domaine est noté 50 sur ses trois sous-critères.</t>
  </si>
  <si>
    <t>Documentation, sûretés et autorisations sans réserve : le domaine est noté 100.</t>
  </si>
  <si>
    <t>Consommation d'eau en zone de stress hydrique : le climat résiduel est noté Vigilance malgré un dossier social et environnemental de bonne facture.</t>
  </si>
  <si>
    <t>Hôtel de qualité, sponsor et documentation à 100, score 73,7 (note 7). Le DSCR du semestre creux (1,06) est sous le seuil critique R4 × TOU (1,60) et le stress le fait tomber à 0,75 : note ramenée à 4 par C2 et C3.</t>
  </si>
  <si>
    <t>Sponsor solide, documentation et sûretés complètes ; quote-part de dette de 50 %.</t>
  </si>
  <si>
    <t>Saisonnalité forte : semestre creux à 1,06 ; aucune ligne saisonnière ; recettes exposées au marché (R4).</t>
  </si>
  <si>
    <t>Sculpter l'amortissement sur la saisonnalité ; ligne de trésorerie saisonnière engagée ; DSRA portée à 9 mois tant que le DSCR défavorable reste sous 1,00.</t>
  </si>
  <si>
    <t>Plafonds C2 (DSCR minimum 1,059 &lt; seuil critique 1,60) et C3 (DSCR défavorable 0,752 &lt; 1,00) : la note calculée 7 est ramenée à 4. Aucun mitigant ne lève un plafond sans changement de structure.</t>
  </si>
  <si>
    <t>Restructuration du service de la dette à examiner avant tout accord.</t>
  </si>
  <si>
    <t>CAS 4 — variante A · Unité agro-industrielle de trituration et conditionnement</t>
  </si>
  <si>
    <t>SPV « Doukkala Agro » SA (fictive) — Région de Doukkala-Abda</t>
  </si>
  <si>
    <t>Unité transformant une production agricole locale sous contrats d'enlèvement à prix convenu mais volume exposé. Structure initiale : amortissement semestriel linéaire, change non couvert.</t>
  </si>
  <si>
    <t>20077415</t>
  </si>
  <si>
    <t>0077415</t>
  </si>
  <si>
    <t>PF-2026-0004</t>
  </si>
  <si>
    <t>Ligne de production et bâtiments</t>
  </si>
  <si>
    <t>Dette senior (10 ans, 6,0 %), amortissement linéaire</t>
  </si>
  <si>
    <t>Stockage et froid</t>
  </si>
  <si>
    <t>Terrain et aménagements</t>
  </si>
  <si>
    <t>Frais et intérêts intercalaires</t>
  </si>
  <si>
    <t>Dotation DSRA</t>
  </si>
  <si>
    <t>CR-26-0401</t>
  </si>
  <si>
    <t>380 MMAD/an</t>
  </si>
  <si>
    <t>320 MMAD/an</t>
  </si>
  <si>
    <t>52 MMAD/an</t>
  </si>
  <si>
    <t>Saisonnalité</t>
  </si>
  <si>
    <t>Campagne concentrée sur le premier semestre : 42 MMAD contre 10 MMAD</t>
  </si>
  <si>
    <t>34 MMAD/an, soit 17 MMAD par semestre</t>
  </si>
  <si>
    <t>Achats importés non couverts</t>
  </si>
  <si>
    <t>45 MMAD/an nets des recettes à l’export</t>
  </si>
  <si>
    <t>Récolte en recul de 20 % sous stress hydrique, soit un chiffre d’affaires en baisse de 15 %</t>
  </si>
  <si>
    <t>An 3 · S1 (campagne)</t>
  </si>
  <si>
    <t>An 3 · S2 (intercampagne)</t>
  </si>
  <si>
    <t>An 6 · S1 (campagne)</t>
  </si>
  <si>
    <t>An 6 · S2 (intercampagne)</t>
  </si>
  <si>
    <t>DSRA 3 mois ; aucune ligne de campagne dédiée au creux d’intercampagne</t>
  </si>
  <si>
    <t>Quote-part de dette 59,5 %, gearing 1,47</t>
  </si>
  <si>
    <t>Exposition nette en devises de 45 MMAD non couverte, soit 132 % du service annuel</t>
  </si>
  <si>
    <t>Contrats d'enlèvement à prix convenu mais sans quantité garantie : la structure des recettes, le mécanisme de prix et le marché sont tous notés Vigilance.</t>
  </si>
  <si>
    <t>Le climat résiduel est noté Critique : la ressource en eau du bassin conditionne directement le volume d'intrants, sans plan d'adaptation financé.</t>
  </si>
  <si>
    <t>Exposition aux sécheresses non couverte : aucun plan d'adaptation de l'approvisionnement en olives.</t>
  </si>
  <si>
    <t>Le DSCR annuel (1,53) masque un semestre d'intercampagne à 0,59. Quatre plafonds (C1, C2, C3, C6) ramènent la note calculée 5 à 3.</t>
  </si>
  <si>
    <t>Sponsor et site solides ; fonds propres à 40 %.</t>
  </si>
  <si>
    <t>Amortissement linéaire inadapté à la campagne ; achats importés non couverts (132 % du service) ; DSRA de 3 mois seulement.</t>
  </si>
  <si>
    <t>Sculpter l'amortissement ; ligne de campagne engagée ; couverture de change de 90 % des achats importés.</t>
  </si>
  <si>
    <t>C1 et C2 : DSCR minimum 0,588 ; C3 : DSCR défavorable 0,395 ; C6 : exposition nette en devises 132 % du service. D9.4 noté Critique : risque de sécheresse sans plan d'adaptation.</t>
  </si>
  <si>
    <t>Refus en l'état ; voir la structure restructurée (onglet C4B).</t>
  </si>
  <si>
    <t>CAS 4 — variante B · Unité agro-industrielle — structure restructurée</t>
  </si>
  <si>
    <t>Même actif, même marché, même grille qualitative. Trois corrections de montage : amortissement sculpté sur la campagne, apport complémentaire de 40 MMAD, couverture de change portée à 90 %.</t>
  </si>
  <si>
    <t>Dette senior (10 ans, 6,0 %), amortissement sculpté</t>
  </si>
  <si>
    <t>Ligne de campagne dédiée (engagée)</t>
  </si>
  <si>
    <t>CR-26-0402</t>
  </si>
  <si>
    <t>CR-26-0403</t>
  </si>
  <si>
    <t>380 MMAD/an — inchangé</t>
  </si>
  <si>
    <t>52 MMAD/an — inchangé</t>
  </si>
  <si>
    <t>Service sculpté</t>
  </si>
  <si>
    <t>25 MMAD en campagne, 3,5 MMAD en intercampagne</t>
  </si>
  <si>
    <t>Couverture de change</t>
  </si>
  <si>
    <t>90 % des achats importés</t>
  </si>
  <si>
    <t>Exposition nette résiduelle</t>
  </si>
  <si>
    <t>4,5 MMAD, soit 16 % du service annuel</t>
  </si>
  <si>
    <t>Même choc : récolte en recul de 20 % sous stress hydrique</t>
  </si>
  <si>
    <t>DSRA 6 mois et ligne de campagne engagée de 25 MMAD</t>
  </si>
  <si>
    <t>Quote-part de dette 50 %, gearing 1,00</t>
  </si>
  <si>
    <t>Couverture de change portée à 90 % : exposition nette ramenée à 16 % du service</t>
  </si>
  <si>
    <t>Risque de sécheresse inchangé par la restructuration : plan d'adaptation toujours absent.</t>
  </si>
  <si>
    <t>Restructuration de C4A : amortissement sculpté, apport complémentaire, ligne de campagne et couverture de change. Plus aucun plafond : note 6.</t>
  </si>
  <si>
    <t>Service sculpté sur la campagne (DSCR minimum 1,68) ; ligne de campagne engagée ; couverture de change à 90 %.</t>
  </si>
  <si>
    <t>Exposition de change résiduelle de 16 % du service ; climat (D9.4) toujours Critique.</t>
  </si>
  <si>
    <t>Maintien de la couverture de change ; plan d'adaptation à la sécheresse dans les 12 mois.</t>
  </si>
  <si>
    <t>Aucun plafond actif. D9.4 noté Critique (sécheresse sans plan d'adaptation) : à traiter par la condition ci-dessus.</t>
  </si>
  <si>
    <t>Accord possible sur la structure restructurée.</t>
  </si>
  <si>
    <t>CAS 5 · Centrale PV d’autoproduction 12 MWc</t>
  </si>
  <si>
    <t>SPV « Gharb Énergie » SARL (fictive) — Zone industrielle de Kénitra</t>
  </si>
  <si>
    <t>Centrale vendant sa production à un industriel privé voisin sous contrat ferme de 15 ans. Petit ticket éligible au régime d'instruction simplifié.</t>
  </si>
  <si>
    <t>20089133</t>
  </si>
  <si>
    <t>0089133</t>
  </si>
  <si>
    <t>PF-2026-0005</t>
  </si>
  <si>
    <t>Contrat EPC clé-en-main</t>
  </si>
  <si>
    <t>Dette senior (12 ans, 6,0 %)</t>
  </si>
  <si>
    <t>Raccordement et poste de livraison</t>
  </si>
  <si>
    <t>Frais et contingence</t>
  </si>
  <si>
    <t>CR-26-0501</t>
  </si>
  <si>
    <t>Tarif contractuel</t>
  </si>
  <si>
    <t>0,80 MAD/kWh</t>
  </si>
  <si>
    <t>17,3 MMAD/an</t>
  </si>
  <si>
    <t>2,3 MMAD/an</t>
  </si>
  <si>
    <t>13,2 MMAD/an</t>
  </si>
  <si>
    <t>7,16 MMAD/an, semestriel</t>
  </si>
  <si>
    <t>Production P90 (− 8 %) et retard de paiement de l’acheteur de 90 jours</t>
  </si>
  <si>
    <t>An 12 · S1</t>
  </si>
  <si>
    <t>An 12 · S2</t>
  </si>
  <si>
    <t>DSRA 6 mois de service</t>
  </si>
  <si>
    <t>Quote-part de dette 56,8 %, gearing 1,25</t>
  </si>
  <si>
    <t>Dirhams, taux fixe, amortissement complet</t>
  </si>
  <si>
    <t>L'acheteur est un industriel privé non noté, qui porte 100 % des recettes du projet. L'analyse interne le situe en catégorie spéculative. Aucun preneur de substitution n'est identifié à ce tarif.</t>
  </si>
  <si>
    <t>Centrale d'autoproduction de 12 MWc vendant à un industriel unique non noté. Régime S. Noyau à 97, score 83,8 (note 8) plafonné à 6 par C10.</t>
  </si>
  <si>
    <t>Noyau financier excellent (DSCR minimum 1,68) ; EPC court et forfaitaire ; tout en MAD.</t>
  </si>
  <si>
    <t>Acheteur unique portant 100 % des recettes, non noté.</t>
  </si>
  <si>
    <t>Notation interne de l'acheteur ; garantie de paiement de la maison mère de l'acheteur ou lettre de crédit stand-by de 6 mois de facturation.</t>
  </si>
  <si>
    <t>C10 : acheteur portant 100 % des recettes, non noté (seuil BBB−) : la note 8 est ramenée à 6.</t>
  </si>
  <si>
    <t>La garantie de paiement lèverait le plafond C10.</t>
  </si>
  <si>
    <t>CAS ENR · Parc éolien terrestre 140 MW</t>
  </si>
  <si>
    <t>« Rih Atlas » SA (fictive) — Province côtière du Nord</t>
  </si>
  <si>
    <t>Parc de 40 éoliennes vendant toute sa production à l'acheteur public national sous contrat d'achat ferme de 20 ans (quantité garantie, tarif indexé). Financement intégralement en dirhams, EPC clé-en-main.</t>
  </si>
  <si>
    <t>20102256</t>
  </si>
  <si>
    <t>0102256</t>
  </si>
  <si>
    <t>PF-2026-0006</t>
  </si>
  <si>
    <t>Contrat EPC (turbines, fondations, génie civil)</t>
  </si>
  <si>
    <t>Dette senior (18 ans, 5,2 %)</t>
  </si>
  <si>
    <t>Poste de livraison et raccordement</t>
  </si>
  <si>
    <t>Développement, études de vent, assurances</t>
  </si>
  <si>
    <t>Prêt d’actionnaire subordonné</t>
  </si>
  <si>
    <t>Ligne de dépassement engagée par le sponsor</t>
  </si>
  <si>
    <t>CR-26-0601</t>
  </si>
  <si>
    <t>CR-26-0602</t>
  </si>
  <si>
    <t>234 MMAD/an</t>
  </si>
  <si>
    <t>46 MMAD/an</t>
  </si>
  <si>
    <t>172 MMAD/an</t>
  </si>
  <si>
    <t>96 MMAD/an</t>
  </si>
  <si>
    <t>Production P90 sur un an (− 9,6 %) et charges + 5 %</t>
  </si>
  <si>
    <t>An 2 · S1</t>
  </si>
  <si>
    <t>An 2 · S2</t>
  </si>
  <si>
    <t>An 3 · S1</t>
  </si>
  <si>
    <t>An 3 · S2</t>
  </si>
  <si>
    <t>An 4 · S1</t>
  </si>
  <si>
    <t>An 4 · S2</t>
  </si>
  <si>
    <t>DSRA 6 mois, compte de réserve de maintenance doté, cascade signée</t>
  </si>
  <si>
    <t>Quote-part de dette 69 % : fonds propres à risque solides mais sous le niveau « très favorable »</t>
  </si>
  <si>
    <t>Intégralement en dirhams, taux fixé par swap sur 100 % de la dette, amortissement complet</t>
  </si>
  <si>
    <t>Énergéticien international noté BBB+ associé à un fonds d'infrastructure marocain ; engagement de dépassement de 160 MMAD garanti.</t>
  </si>
  <si>
    <t>Turbines d'un fabricant de premier rang, plus de 3 000 machines identiques en exploitation ; mât de mesure de 3 ans sur site.</t>
  </si>
  <si>
    <t>Contrat d'achat de 20 ans couvrant la dette (18 ans) ; indexation limitée à 80 % du tarif : mécanisme de prix noté Favorable.</t>
  </si>
  <si>
    <t>Acheteur public de qualité interne BBB−, historique de paiement régulier ; banques prêteuses de premier rang.</t>
  </si>
  <si>
    <t>Un dossier de très bonne facture : sponsor solide et engagé juridiquement, technologie éprouvée, contrat d'achat ferme qui couvre toute la durée de la dette, construction confiée à un constructeur unique à prix et délai garantis, financement intégralement en dirhams. Les seules réserves portent sur l'indexation partielle du tarif, la gouvernance actionnariale (pacte récent) et le levier, qui reste dans la norme sans être exceptionnel.</t>
  </si>
  <si>
    <t>Contrat d'achat ferme de 20 ans couvrant la dette ; sponsor noté BBB+ ; EPC de premier rang ; tout en MAD, taux fixé par swap.</t>
  </si>
  <si>
    <t>Indexation limitée à 80 % du tarif ; levier de 69 % (N5 = 80).</t>
  </si>
  <si>
    <t>• Vérifier l'ajustement de l'indexation tarifaire lors de la revue annuelle.
• Suivre la mise en place du mécanisme de réclamation des riverains avant la mise en service.</t>
  </si>
  <si>
    <t>Profil de référence.</t>
  </si>
  <si>
    <t>CAS EAU · Usine de dessalement couplée à l'irrigation, 120 000 m³/jour</t>
  </si>
  <si>
    <t>« Bahr Sud » SA (fictive) — Littoral du Sud</t>
  </si>
  <si>
    <t>Usine d'osmose inverse rémunérée par une redevance de capacité versée par l'acheteur public (25 ans), complétée par une redevance variable. Dette pour partie en euros, couverte à 85 %.</t>
  </si>
  <si>
    <t>20117740</t>
  </si>
  <si>
    <t>0117740</t>
  </si>
  <si>
    <t>PF-2026-0007</t>
  </si>
  <si>
    <t>Dette senior consortiale (20 ans), dont 30 % en euros</t>
  </si>
  <si>
    <t>Réseau de transport et stockage</t>
  </si>
  <si>
    <t>Développement, frais, assurances</t>
  </si>
  <si>
    <t>Subvention d’investissement encaissée</t>
  </si>
  <si>
    <t>BFR</t>
  </si>
  <si>
    <t>CR-26-0701</t>
  </si>
  <si>
    <t>CR-26-0702</t>
  </si>
  <si>
    <t>205 MMAD/an</t>
  </si>
  <si>
    <t>128 MMAD/an</t>
  </si>
  <si>
    <t>Disponibilité 93 % au lieu de 98 % et hausse non répercutée du coût de l'énergie</t>
  </si>
  <si>
    <t>DSRA 6 mois mais pas de réserve de gros entretien dotée à la réception</t>
  </si>
  <si>
    <t>Quote-part de dette 70 %</t>
  </si>
  <si>
    <t>Dette à 30 % en euros couverte à 85 % : exposition nette résiduelle de 12 % du service</t>
  </si>
  <si>
    <t>Disponibilité moyenne de 96 % sur 12 mois, sous la garantie de 98 % : pénalités appliquées deux fois.</t>
  </si>
  <si>
    <t>Fournisseur unique de membranes ; acheteur public adossé à l'État.</t>
  </si>
  <si>
    <t>Site exposé à l'élévation du niveau marin et aux tempêtes : plan d'adaptation de 25 MMAD financé (C11 non actif).</t>
  </si>
  <si>
    <t>Projet utile et structurellement sain (paiement à la disponibilité par un acheteur adossé à l'État), mais en phase de montée en charge : la disponibilité constatée est inférieure à la garantie, la dette en euros n'est couverte qu'à 85 % et le site est exposé aux risques côtiers. Aucun plafond ne s'applique : le risque climatique est traité par un plan financé.</t>
  </si>
  <si>
    <t>Redevance de capacité de 25 ans ; acheteur public adossé à l'État ; plan d'adaptation climatique financé.</t>
  </si>
  <si>
    <t>Disponibilité 96 % sous la garantie de 98 % ; fournisseur unique de membranes ; 12 % du service exposé au change.</t>
  </si>
  <si>
    <t>• Exiger le retour de la disponibilité à 98 % avant la fin de la montée en charge.
• Porter la couverture de change de 85 % à 100 % (N6 et escalade en régime L).
• Qualifier un second fournisseur de membranes.</t>
  </si>
  <si>
    <t>Suivi de la disponibilité et de la couverture de change.</t>
  </si>
  <si>
    <t>CAS TEL · Centre de données Tier III, 24 MW informatiques</t>
  </si>
  <si>
    <t>« Data Atlas » SA (fictive) — Zone industrielle périurbaine</t>
  </si>
  <si>
    <t>Centre de données en colocation commercialisé à 62 % après 15 mois ; contrats clients de 5 à 10 ans rémunérant la capacité réservée, le reste étant exposé au rythme de commercialisation.</t>
  </si>
  <si>
    <t>20123581</t>
  </si>
  <si>
    <t>0123581</t>
  </si>
  <si>
    <t>PF-2026-0008</t>
  </si>
  <si>
    <t>Bâtiment et équipements techniques</t>
  </si>
  <si>
    <t>Dette senior (12 ans, 6,1 %)</t>
  </si>
  <si>
    <t>Raccordement électrique double alimentation</t>
  </si>
  <si>
    <t>Développement et frais</t>
  </si>
  <si>
    <t>CR-26-0801</t>
  </si>
  <si>
    <t>CR-26-0802</t>
  </si>
  <si>
    <t>Chiffre d'affaires année 3</t>
  </si>
  <si>
    <t>210 MMAD</t>
  </si>
  <si>
    <t>118 MMAD/an</t>
  </si>
  <si>
    <t>Commercialisation bloquée à 62 % et départ d'un client de 4 MW</t>
  </si>
  <si>
    <t>DSRA 6 mois</t>
  </si>
  <si>
    <t>Quote-part de dette 64 %</t>
  </si>
  <si>
    <t>Taux variable couvert à 70 %</t>
  </si>
  <si>
    <t>Recettes contractuelles sur 62 % de la capacité ; renouvellements et commercialisation du solde exposés au marché.</t>
  </si>
  <si>
    <t>Clients de premier rang (opérateurs, banques) ; aucun client au-delà de 35 % des recettes.</t>
  </si>
  <si>
    <t>Un actif de qualité, mais un modèle de recettes encore en construction : 62 % de la capacité est contractualisée, le reste dépend du rythme de commercialisation. Le score (74,6) donnerait la note 7, mais le scénario défavorable fait tomber le DSCR sous 1,00 : la note est plafonnée à 4. C'est l'illustration type d'un risque que la moyenne masquerait.</t>
  </si>
  <si>
    <t>Conception Tier III certifiée ; clients de premier rang, aucun au-delà de 35 % ; LLCR 1,41.</t>
  </si>
  <si>
    <t>38 % de la capacité non commercialisée ; DSCR défavorable 0,987.</t>
  </si>
  <si>
    <t>• Conditionner les tirages de la tranche d'extension à un taux de commercialisation de 75 %.
• Demander un compte de réserve complémentaire tant que le DSCR défavorable reste sous 1,00 (levée du plafond C3).</t>
  </si>
  <si>
    <t>C3 : DSCR défavorable 0,987 &lt; 1,00 ; la note calculée 7 est ramenée à 4. Le plafond fait aussi passer le régime M en régime L.</t>
  </si>
  <si>
    <t>Accord envisageable avec réserve complémentaire et tirages conditionnés.</t>
  </si>
  <si>
    <t>CAS TRA · Autoroute à péage de 95 km</t>
  </si>
  <si>
    <t>« Trik Express » SA (fictive) — Corridor interurbain</t>
  </si>
  <si>
    <t>Concession de 30 ans en exploitation depuis 6 ans ; recettes de péage exposées au trafic, sans garantie de recettes minimales. Refinancement de la dette de construction réalisé en 2025.</t>
  </si>
  <si>
    <t>20131094</t>
  </si>
  <si>
    <t>0131094</t>
  </si>
  <si>
    <t>PF-2026-0009</t>
  </si>
  <si>
    <t>Refinancement de la dette de construction</t>
  </si>
  <si>
    <t>Dette senior de refinancement (16 ans)</t>
  </si>
  <si>
    <t>Travaux d’élargissement (2×3 voies, 18 km)</t>
  </si>
  <si>
    <t>Fonds propres existants et réinvestis</t>
  </si>
  <si>
    <t>Frais et DSRA</t>
  </si>
  <si>
    <t>CR-26-0901</t>
  </si>
  <si>
    <t>CR-26-0902</t>
  </si>
  <si>
    <t>Péage</t>
  </si>
  <si>
    <t>Tarif moyen</t>
  </si>
  <si>
    <t>0,62 MAD/km, indexé</t>
  </si>
  <si>
    <t>445 MMAD/an</t>
  </si>
  <si>
    <t>305 MMAD/an</t>
  </si>
  <si>
    <t>218 MMAD/an</t>
  </si>
  <si>
    <t>Trafic − 15 % (récession et report modal)</t>
  </si>
  <si>
    <t>An 7 · S1</t>
  </si>
  <si>
    <t>An 7 · S2</t>
  </si>
  <si>
    <t>An 8 · S1</t>
  </si>
  <si>
    <t>An 8 · S2</t>
  </si>
  <si>
    <t>An 9 · S1</t>
  </si>
  <si>
    <t>An 9 · S2</t>
  </si>
  <si>
    <t>An 11 · S1</t>
  </si>
  <si>
    <t>An 11 · S2</t>
  </si>
  <si>
    <t>DSRA 6 mois et réserve de gros entretien dotée</t>
  </si>
  <si>
    <t>Quote-part de dette 80 %</t>
  </si>
  <si>
    <t>Taux fixe à 75 %</t>
  </si>
  <si>
    <t>Concessionnaire expérimenté ; aucune obligation juridique de soutien au-delà des fonds propres apportés.</t>
  </si>
  <si>
    <t>Pas de garantie de trafic ni de recettes minimales : structure des recettes notée Vigilance. Indexation contractuelle des tarifs.</t>
  </si>
  <si>
    <t>Autoroute en exploitation depuis six ans, avec un trafic en croissance régulière. Le dossier est bien géré mais pleinement exposé au trafic : en régime R4, les seuils DSCR sont les plus exigeants (1,40 critique avec l'écart transport). Le DSCR minimum de 1,37 est donc critique et plafonne la note à 5, alors que le score donnerait 6.</t>
  </si>
  <si>
    <t>Six ans d'historique de trafic en croissance ; refinancement réalisé ; DSRA 6 mois.</t>
  </si>
  <si>
    <t>Recettes de péage sans garantie (R4) ; DSCR minimum 1,367 sous le seuil critique 1,40.</t>
  </si>
  <si>
    <t>• Le plafond C2 ne se lève qu'en améliorant le DSCR minimum au-dessus de 1,40 : allonger la maturité ou constituer une réserve de lissage.
• Suivre le trafic trimestriel face au cas de base.</t>
  </si>
  <si>
    <t>C2 : DSCR minimum 1,367 &lt; seuil critique R4 × TRA (1,40) ; la note calculée 6 est ramenée à 5.</t>
  </si>
  <si>
    <t>Note 5 : sous surveillance, clauses de trafic à suivre.</t>
  </si>
  <si>
    <t>CAS POR · Terminal à conteneurs de 1,2 million d'EVP</t>
  </si>
  <si>
    <t>« Marsa Terminal » SA (fictive) — Port en eau profonde</t>
  </si>
  <si>
    <t>Concession de 30 ans ; un armateur international s'engage sur un volume minimum couvrant 60 % de la capacité et apporte 90 % du trafic attendu. Contrat de construction encore en négociation finale.</t>
  </si>
  <si>
    <t>20146628</t>
  </si>
  <si>
    <t>0146628</t>
  </si>
  <si>
    <t>PF-2026-0010</t>
  </si>
  <si>
    <t>Quais, terre-pleins, génie civil</t>
  </si>
  <si>
    <t>Dette senior consortiale (18 ans)</t>
  </si>
  <si>
    <t>Portiques et équipements</t>
  </si>
  <si>
    <t>Systèmes et frais</t>
  </si>
  <si>
    <t>CR-26-1001</t>
  </si>
  <si>
    <t>CR-26-1002</t>
  </si>
  <si>
    <t>Chiffre d'affaires cible</t>
  </si>
  <si>
    <t>520 MMAD/an</t>
  </si>
  <si>
    <t>300 MMAD/an</t>
  </si>
  <si>
    <t>Trafic ramené au volume minimum garanti</t>
  </si>
  <si>
    <t>An 6 · S1</t>
  </si>
  <si>
    <t>An 6 · S2</t>
  </si>
  <si>
    <t>Quote-part de dette 68 %</t>
  </si>
  <si>
    <t>Recettes en dirhams indexées au dollar, dette en dirhams</t>
  </si>
  <si>
    <t>Contrat de construction non signé (prix et délai encore ouverts) ; interfaces quais / équipements portées par la SPV.</t>
  </si>
  <si>
    <t>Armateur apportant 90 % du trafic, non noté par la banque : acheteur principal noté Vigilance, plafond C10.</t>
  </si>
  <si>
    <t>Un terminal stratégique adossé à un armateur international, mais trois fragilités se cumulent en phase de construction : le contrat de construction n'est pas signé (blocage B2), le financement à terminaison n'est couvert qu'à 97 % (rattrapé par un plan de remédiation approuvé) et 90 % du trafic dépend d'un seul armateur non noté (C10), dans un secteur où la banque est déjà fortement exposée (C14).</t>
  </si>
  <si>
    <t>Volume minimum garanti de 60 % ; concession de 30 ans ; plan de remédiation approuvé (couverture 97 %).</t>
  </si>
  <si>
    <t>EPC non signé (B2) ; armateur unique non noté (90 % du trafic) ; facteur commun au-delà de la limite.</t>
  </si>
  <si>
    <t>• Signature du contrat de construction à prix et délai garantis : condition de l'octroi (levée de B2).
• Obtenir une garantie de la maison mère de l'armateur pour lever le plafond C10.
• Arbitrer le plafond C14 avec la direction des risques (concentration sur le transport maritime).</t>
  </si>
  <si>
    <t>B2 : EPC non signé en phase P1, la note reste provisoire (stade Octroi). C10 : acheteur à 90 % non noté ; C14 : exposition du groupe sur un facteur commun : note plafonnée à 6.</t>
  </si>
  <si>
    <t>Pas d'octroi avant la signature de l'EPC.</t>
  </si>
  <si>
    <t>CAS SAN · Centre hospitalier de 600 lits en partenariat public-privé</t>
  </si>
  <si>
    <t>« Shifa PPP » SA (fictive) — Capitale régionale</t>
  </si>
  <si>
    <t>Conception, construction, financement et maintenance d'un hôpital ; l'autorité publique verse un loyer de disponibilité pendant 20 ans, minoré de pénalités de performance. L'exploitation médicale reste publique.</t>
  </si>
  <si>
    <t>20150372</t>
  </si>
  <si>
    <t>0150372</t>
  </si>
  <si>
    <t>PF-2026-0011</t>
  </si>
  <si>
    <t>Contrat de conception-construction</t>
  </si>
  <si>
    <t>Dette senior (20 ans)</t>
  </si>
  <si>
    <t>Équipements biomédicaux lourds</t>
  </si>
  <si>
    <t>Frais et assurances</t>
  </si>
  <si>
    <t>Garantie de bonne fin du constructeur</t>
  </si>
  <si>
    <t>CR-26-1101</t>
  </si>
  <si>
    <t>Disponibilité</t>
  </si>
  <si>
    <t>Loyer de disponibilité</t>
  </si>
  <si>
    <t>148 MMAD/an, indexé</t>
  </si>
  <si>
    <t>94 MMAD/an</t>
  </si>
  <si>
    <t>Pénalités de performance au maximum contractuel</t>
  </si>
  <si>
    <t>Quote-part de dette 74 %</t>
  </si>
  <si>
    <t>Intégralement en dirhams, taux fixe</t>
  </si>
  <si>
    <t>Coûts de gros entretien : aucun plan pluriannuel chiffré fourni (« Info. insuffisante »).</t>
  </si>
  <si>
    <t>Étude des coûts de gros entretien des équipements médicaux non remise.</t>
  </si>
  <si>
    <t>Étude d'impact social et plan de réinstallation des occupants du site non reçus (« Info. insuffisante »).</t>
  </si>
  <si>
    <t>Plan de consultation des riverains et du personnel transféré non communiqué.</t>
  </si>
  <si>
    <t>Un partenariat public-privé classique et solide : loyer de disponibilité versé par l'autorité publique, constructeur de premier plan, financement en dirhams. Mais le dossier est incomplet : le plan de gros entretien et l'étude d'impact social manquent. Ces deux « informations insuffisantes » coûtent des points (comptées 20), rendent la note provisoire (B7) et la plafonnent à 6 (C15).</t>
  </si>
  <si>
    <t>Loyer de disponibilité indexé versé par l'autorité de santé ; contrat de 20 ans égal à la dette.</t>
  </si>
  <si>
    <t>Deux sous-critères sans information (D5.3, D9.2) ; opérateur de maintenance spécialisée non remplaçable et contrat O&amp;M expirant 7 ans avant la dette.</t>
  </si>
  <si>
    <t>• Obtenir le plan de gros entretien et l'étude d'impact social : leur réception lève B7 et C15.
• Prolonger le contrat de maintenance biomédicale jusqu'à l'échéance de la dette ou qualifier un second prestataire (levée de C13).</t>
  </si>
  <si>
    <t>B7 et C15 : D5.3 et D9.2 en « Info. insuffisante » (complétude &lt; 100 %), note provisoire. C13 : opérateur non remplaçable, écart O&amp;M / dette de 7 ans &gt; 5 ans.</t>
  </si>
  <si>
    <t>Compléter le dossier avant présentation pour une note validée.</t>
  </si>
  <si>
    <t>CAS ETH · Centrale à cycle combiné au gaz de 450 MW</t>
  </si>
  <si>
    <t>« Nour Gaz » SA (fictive) — Zone portuaire</t>
  </si>
  <si>
    <t>Centrale en exploitation depuis 8 ans, rémunérée par un contrat d'achat de capacité (tolling) ; le combustible est fourni par l'acheteur. La dette restante comporte un remboursement final de 35 % du nominal à refinancer.</t>
  </si>
  <si>
    <t>20168815</t>
  </si>
  <si>
    <t>0168815</t>
  </si>
  <si>
    <t>PF-2026-0012</t>
  </si>
  <si>
    <t>Refinancement partiel et rénovation des turbines</t>
  </si>
  <si>
    <t>Dette senior (10 ans, ballon 35 %)</t>
  </si>
  <si>
    <t>CR-26-1201</t>
  </si>
  <si>
    <t>CR-26-1202</t>
  </si>
  <si>
    <t>Disponibilité garantie</t>
  </si>
  <si>
    <t>92 %</t>
  </si>
  <si>
    <t>Paiement de capacité</t>
  </si>
  <si>
    <t>310 MMAD/an</t>
  </si>
  <si>
    <t>238 MMAD/an</t>
  </si>
  <si>
    <t>Service de la dette (hors ballon)</t>
  </si>
  <si>
    <t>186 MMAD/an</t>
  </si>
  <si>
    <t>Indisponibilité prolongée d'une turbine à gaz (6 mois)</t>
  </si>
  <si>
    <t>Quote-part de dette 79 %</t>
  </si>
  <si>
    <t>Remboursement final de 35 % à refinancer, sans stratégie approuvée</t>
  </si>
  <si>
    <t>Révisions majeures des turbines à financer en années 10 et 14 ; dépendance au constructeur d'origine pour les pièces.</t>
  </si>
  <si>
    <t>Émissions de CO₂ : exposition aux futures obligations de réduction (climat de transition noté Vigilance).</t>
  </si>
  <si>
    <t>Une centrale qui fonctionne bien et un acheteur solide, mais une structure de dette fragile : le LLCR de 1,08 montre que les flux futurs couvrent à peine la dette restante, et 35 % du nominal reste à refinancer à l'échéance sans stratégie approuvée. Deux plafonds s'appliquent (C4 à 4, C8 à 5) : la note approuvée est 4 alors que le score donnerait 6.</t>
  </si>
  <si>
    <t>Contrat de capacité de 12 ans ; disponibilité garantie de 92 % atteinte ; acheteur public de qualité.</t>
  </si>
  <si>
    <t>Ballon de 35 % du nominal sans stratégie de refinancement ; LLCR 1,08.</t>
  </si>
  <si>
    <t>• Approuver une stratégie de refinancement du ballon de 35 % (levée de C8).
• Le plafond C4 (LLCR) ne se lève qu'avec une réduction de la dette ou une prolongation du contrat de capacité.</t>
  </si>
  <si>
    <t>C4 : LLCR 1,08 &lt; 1,10 ; C8 : 35 % de dette à refinancer sans stratégie approuvée. La note calculée 6 est ramenée à 4.</t>
  </si>
  <si>
    <t>Une stratégie de refinancement approuvée lèverait C8 ; C4 demande de réduire le ballon.</t>
  </si>
  <si>
    <t>CAS IMMO-REND · Ensemble de bureaux et commerces loués, 48 000 m²</t>
  </si>
  <si>
    <t>« Arkane Business Park » SA (fictive) — Quartier d'affaires</t>
  </si>
  <si>
    <t>Actif livré et loué à 91 % à 26 locataires ; durée résiduelle moyenne des baux de 5,2 ans. Financement de rachat à fort levier, avec une réserve de service de la dette de 2 mois seulement.</t>
  </si>
  <si>
    <t>20172204</t>
  </si>
  <si>
    <t>0172204</t>
  </si>
  <si>
    <t>PF-2026-0013</t>
  </si>
  <si>
    <t>Acquisition de l'actif</t>
  </si>
  <si>
    <t>Dette senior (15 ans)</t>
  </si>
  <si>
    <t>Frais et droits</t>
  </si>
  <si>
    <t>CR-26-1301</t>
  </si>
  <si>
    <t>Loyers nets</t>
  </si>
  <si>
    <t>56 MMAD/an</t>
  </si>
  <si>
    <t>40 MMAD/an</t>
  </si>
  <si>
    <t>Vacance portée à 20 % et baisse des loyers de relocation de 5 %</t>
  </si>
  <si>
    <t>DSRA limitée à 2 mois de service</t>
  </si>
  <si>
    <t>Quote-part de dette 88 % : fonds propres très minces</t>
  </si>
  <si>
    <t>Taux variable couvert à 80 %</t>
  </si>
  <si>
    <t>Sponsor de taille moyenne ; aucune garantie au-delà des fonds propres apportés.</t>
  </si>
  <si>
    <t>Emplacement de premier ordre, accès et stationnements ; immeuble certifié pour sa performance énergétique.</t>
  </si>
  <si>
    <t>Un très bel actif, bien situé et bien loué, mais financé avec trop de levier : 88 % de dette et une réserve de service de 2 mois seulement. Les deux faiblesses déclenchent chacune un plafond (C9 à 5, C7 à 6) ; le plus contraignant s'applique et la note approuvée est 5.</t>
  </si>
  <si>
    <t>Occupation de 91 %, locataires diversifiés (premier à 18 %) ; LLCR 1,36.</t>
  </si>
  <si>
    <t>Quote-part de dette de 88 % ; DSRA de 2 mois ; baux de 5,2 ans face à une dette de 15 ans.</t>
  </si>
  <si>
    <t>• Porter la DSRA à 3 mois au moins (levée de C7).
• Réduire la dette sous 85 % du plan de financement par un apport complémentaire (levée de C9).</t>
  </si>
  <si>
    <t>C9 : quote-part de dette 87,9 % &gt; 85 % ; C7 : DSRA 2 mois &lt; 3 mois. N4 et N5 notés Critique pour les mêmes raisons. Note calculée 6 ramenée à 5.</t>
  </si>
  <si>
    <t>Apport de fonds propres et DSRA de 6 mois exigés.</t>
  </si>
  <si>
    <t>CAS IND · Usine de verre plat de 600 tonnes/jour</t>
  </si>
  <si>
    <t>« Zujaj Industries » SA (fictive) — Plateforme industrielle</t>
  </si>
  <si>
    <t>Usine mise en service il y a 14 mois ; un contrat d'enlèvement de 8 ans couvre 70 % de la production. La dette, à 40 % en euros, n'est pas couverte ; différé d'amortissement de 12 mois.</t>
  </si>
  <si>
    <t>20185547</t>
  </si>
  <si>
    <t>0185547</t>
  </si>
  <si>
    <t>PF-2026-0014</t>
  </si>
  <si>
    <t>Four, ligne float et bâtiments</t>
  </si>
  <si>
    <t>Dette senior (12 ans), dont 40 % en euros</t>
  </si>
  <si>
    <t>Utilités et raccordements</t>
  </si>
  <si>
    <t>CR-26-1401</t>
  </si>
  <si>
    <t>CR-26-1402</t>
  </si>
  <si>
    <t>690 MMAD/an</t>
  </si>
  <si>
    <t>150 MMAD/an</t>
  </si>
  <si>
    <t>Prix du gaz + 25 % non répercuté et baisse des volumes export de 15 %</t>
  </si>
  <si>
    <t>Quote-part de dette 65 %</t>
  </si>
  <si>
    <t>40 % de la dette en euros, non couverte ; recettes export partielles</t>
  </si>
  <si>
    <t>Prix du contrat d'enlèvement indexé à 50 % sur l'énergie ; 30 % des volumes vendus au prix de marché.</t>
  </si>
  <si>
    <t>Avis juridique sur l'opposabilité des sûretés non encore reçu (blocage B5).</t>
  </si>
  <si>
    <t>Une usine récente, un contrat d'enlèvement avec un client de qualité, mais trois faiblesses structurelles : 40 % de la dette est en euros sans couverture (C6), le contrat d'enlèvement (8 ans) s'arrête avant la dette (12 ans) sans solution (C5), et l'avis juridique sur les sûretés n'est pas reçu (blocage B5 au décaissement). Le différé d'amortissement est correctement traité : les deux périodes sans service de la dette ne faussent pas le DSCR minimum.</t>
  </si>
  <si>
    <t>Procédé éprouvé ; contrat d'enlèvement de 70 % de la production ; fonds propres à 35 %.</t>
  </si>
  <si>
    <t>Contrat d'enlèvement de 8 ans pour une dette de 12 ans ; exposition de change de 30 % du service ; réserve de l'avis juridique sur le nantissement.</t>
  </si>
  <si>
    <t>• Mettre en place une couverture de change sur la dette en euros (levée de C6 et amélioration de N6).
• Documenter la prolongation du contrat d'enlèvement jusqu'à l'échéance de la dette (levée de C5).
• Avis juridique sans réserve : condition du décaissement (levée de B5).</t>
  </si>
  <si>
    <t>B5 : avis d'opposabilité avec réserve (stade Décaissement). C5 : contrat de 8 ans &lt; dette de 12 ans sans solution ; C6 : 30 % &gt; 25 %. N6 Critique. Note calculée 6 ramenée à 5.</t>
  </si>
  <si>
    <t>Levée de la réserve juridique et couverture de change avant décaissement.</t>
  </si>
  <si>
    <t>CAS AGR · Unité de trituration d'olives et de conditionnement d'huile</t>
  </si>
  <si>
    <t>« Zitouna Valley » SARL (fictive) — Région oléicole de l'intérieur</t>
  </si>
  <si>
    <t>Petite unité industrielle (150 MMAD) dont toute la production est achetée par un groupe agroalimentaire national noté BBB, sous contrat ferme de 10 ans. Constructeur clé-en-main, financement en dirhams sur 10 ans.</t>
  </si>
  <si>
    <t>20193360</t>
  </si>
  <si>
    <t>0193360</t>
  </si>
  <si>
    <t>PF-2026-0015</t>
  </si>
  <si>
    <t>Contrat clé-en-main (trituration, conditionnement)</t>
  </si>
  <si>
    <t>Dette senior (10 ans)</t>
  </si>
  <si>
    <t>Bâtiments et stockage</t>
  </si>
  <si>
    <t>Frais</t>
  </si>
  <si>
    <t>Subvention du fonds de développement agricole encaissée</t>
  </si>
  <si>
    <t>CR-26-1501</t>
  </si>
  <si>
    <t>CR-26-1502</t>
  </si>
  <si>
    <t>1 200 t d’olives/jour en campagne</t>
  </si>
  <si>
    <t>88 MMAD/an</t>
  </si>
  <si>
    <t>19,5 MMAD/an</t>
  </si>
  <si>
    <t>14 MMAD/an</t>
  </si>
  <si>
    <t>Campagne oléicole déficitaire (− 25 % d'olives) partiellement compensée par le prix</t>
  </si>
  <si>
    <t>Acheteur noté BBB ; dépendance à l'approvisionnement des producteurs (fournisseurs critiques notés Vigilance).</t>
  </si>
  <si>
    <t>Stress hydrique de la région et rejets de margines : traitement prévu, risque climatique résiduel noté Vigilance.</t>
  </si>
  <si>
    <t>Un petit projet bien structuré : contrat d'achat ferme avec un groupe agroalimentaire noté BBB, constructeur clé-en-main, financement en dirhams sur 10 ans. Il réunit toutes les conditions du régime simplifié S. Il est noté 8 et non plus, parce que l'écart sectoriel de + 0,15 rend les seuils DSCR exigeants et que les risques agricoles (eau, récoltes) pèsent sur les critères environnementaux et fournisseurs.</t>
  </si>
  <si>
    <t>Contrat d'achat de 100 % de la production sur 10 ans ; 1 400 producteurs sous contrat ; tout en MAD.</t>
  </si>
  <si>
    <t>Récolte d'olives sensible aux campagnes déficitaires.</t>
  </si>
  <si>
    <t>• Suivre le traitement des margines (condition environnementale).
• Contrat d'approvisionnement pluriannuel avec les principales coopératives.</t>
  </si>
  <si>
    <t>Régime simplifié ; conditions standard.</t>
  </si>
  <si>
    <t>CAS TOU · Complexe hôtelier balnéaire de 420 chambres</t>
  </si>
  <si>
    <t>« Riviera Atlantique » SA (fictive) — Littoral atlantique</t>
  </si>
  <si>
    <t>Hôtel ouvert il y a 10 mois, exposé à la fréquentation et aux prix ; une saison basse marquée par des travaux de reprise a produit un flux de trésorerie négatif. Le titre d'occupation du domaine public maritime expire avant la dette.</t>
  </si>
  <si>
    <t>20207719</t>
  </si>
  <si>
    <t>0207719</t>
  </si>
  <si>
    <t>PF-2026-0016</t>
  </si>
  <si>
    <t>Construction et aménagements</t>
  </si>
  <si>
    <t>Dette senior (14 ans)</t>
  </si>
  <si>
    <t>Équipements et décoration</t>
  </si>
  <si>
    <t>Frais, intérêts intercalaires</t>
  </si>
  <si>
    <t>CR-26-1601</t>
  </si>
  <si>
    <t>Contrat de gestion, 20 ans</t>
  </si>
  <si>
    <t>215 MMAD/an</t>
  </si>
  <si>
    <t>Occupation − 15 points et prix − 10 %</t>
  </si>
  <si>
    <t>DSRA 4,5 mois ; pas de ligne de liquidité saisonnière</t>
  </si>
  <si>
    <t>Quote-part de dette 61 %</t>
  </si>
  <si>
    <t>Recettes en partie en devises, dette en dirhams</t>
  </si>
  <si>
    <t>Aucune recette contractuelle (pas de contrat de location ni de garantie d'un opérateur) : structure des recettes Critique.</t>
  </si>
  <si>
    <t>Aucune garantie de loyer ni de résultat de l'opérateur : recettes entièrement exposées.</t>
  </si>
  <si>
    <t>Autorisation d'occupation temporaire du domaine public maritime de 12 ans pour une dette de 14 ans (blocage B4).</t>
  </si>
  <si>
    <t>Recul du trait de côte documenté au droit du site ; aucun plan d'adaptation financé (C11).</t>
  </si>
  <si>
    <t>Site littoral exposé à l'érosion côtière, aucun plan d'adaptation financé.</t>
  </si>
  <si>
    <t>Le dossier le plus fragile : hôtel ouvert depuis 10 mois, sans aucune recette contractuelle, occupation très en dessous du plan d'affaires et forte saisonnalité. Une saison basse a produit un CFADS négatif. Les seuils sont les plus élevés du modèle (R4, écart tourisme + 0,20, majoration P2). S'y ajoutent l'érosion côtière sans plan d'adaptation et un titre d'occupation du domaine maritime plus court que la dette.</t>
  </si>
  <si>
    <t>Destination établie ; marque internationale sous contrat de gestion de 20 ans.</t>
  </si>
  <si>
    <t>Occupation de 54 % contre 68 % au plan ; CFADS négatif en basse saison ; droit d'occupation du domaine non établi ; érosion côtière sans plan.</t>
  </si>
  <si>
    <t>• Restructuration à examiner : allonger la maturité, prévoir une ligne de liquidité saisonnière et un soutien du sponsor sur les pertes.
• Obtenir une autorisation d'occupation couvrant la dette plus 24 mois (levée de B4).
• Financer un plan de protection du littoral (levée de C11).</t>
  </si>
  <si>
    <t>C1, C2, C3 : CFADS négatif sur un semestre (DSCR −0,19) ; C11 : risque climatique élevé sans plan financé. B4 : droit d'occupation non établi (stade Octroi). D4.1 et D9.4 notés Critique.</t>
  </si>
  <si>
    <t>Révision de fond du plan d'affaires et de la structure.</t>
  </si>
  <si>
    <t>CAS MIN · Mine de cuivre à ciel ouvert et usine de concentration</t>
  </si>
  <si>
    <t>« Nhass Mining » SA (fictive) — Massif montagneux</t>
  </si>
  <si>
    <t>Projet minier en construction ; le concentré est vendu au prix du marché à un négociant international. Le contrôle de conformité révèle que ce négociant figure sur une liste de sanctions.</t>
  </si>
  <si>
    <t>20214486</t>
  </si>
  <si>
    <t>0214486</t>
  </si>
  <si>
    <t>PF-2026-0017</t>
  </si>
  <si>
    <t>Pré-découverture, usine, infrastructures</t>
  </si>
  <si>
    <t>Dette senior consortiale (9 ans, en dollars)</t>
  </si>
  <si>
    <t>Fonds de réhabilitation du site</t>
  </si>
  <si>
    <t>CR-26-1701</t>
  </si>
  <si>
    <t>CR-26-1702</t>
  </si>
  <si>
    <t>Norme internationale de certification</t>
  </si>
  <si>
    <t>1 450 MMAD/an</t>
  </si>
  <si>
    <t>330 MMAD/an</t>
  </si>
  <si>
    <t>Prix du cuivre − 25 % et coûts + 8 %</t>
  </si>
  <si>
    <t>DSRA 3 mois</t>
  </si>
  <si>
    <t>Quote-part de dette 58 %</t>
  </si>
  <si>
    <t>Dette en dollars ; recettes en dollars mais coûts en dirhams non couverts</t>
  </si>
  <si>
    <t>Prix du cuivre libre, sans plancher ni couverture.</t>
  </si>
  <si>
    <t>Coût de production dans le dernier quartile en scénario défavorable.</t>
  </si>
  <si>
    <t>Négociant unique acheteur du concentré, inscrit sur une liste de sanctions : exclusion X3.</t>
  </si>
  <si>
    <t>Acheteur unique de la production noté sous BBB− et signalé au titre du dispositif LBC-FT.</t>
  </si>
  <si>
    <t>Étude d'impact environnemental et social non approuvée ; consultation publique en cours (B8).</t>
  </si>
  <si>
    <t>Gestion des résidus miniers non approuvée ; étude d'impact à reprendre.</t>
  </si>
  <si>
    <t>Le cas de l'exclusion : le négociant qui achète tout le concentré figure sur une liste de sanctions. Aucune note n'est produite, quel que soit le score. Le calcul complet est présenté pour l'apprentissage : même sans l'exclusion, le dossier serait plafonné à 4 (DSCR sous le seuil, scénario défavorable sous 1,00, acheteur de qualité inférieure à BBB−, sponsor sans capacité résiduelle) et provisoire (financement à terminaison couvert à 92 %, acceptabilité environnementale non obtenue).</t>
  </si>
  <si>
    <t>Réserves certifiées de 48 Mt ; coût de production compétitif au prix de référence.</t>
  </si>
  <si>
    <t>Contrepartie clé sous sanctions (X3) ; couverture à terminaison de 92 % (B3) ; acceptabilité environnementale non obtenue (B8) ; capacité du sponsor insuffisante (C12).</t>
  </si>
  <si>
    <t>• Aucune décision possible tant que la contrepartie sous sanctions n'est pas remplacée.
• Un nouvel acheteur qualifié, un financement à terminaison complété et l'étude d'impact approuvée sont des préalables à toute nouvelle notation.</t>
  </si>
  <si>
    <t>X3 : exclusion, aucune note n'est produite. B3, B8 et les plafonds C2, C3, C10, C12 sont listés pour information. D4.2, D4.3, D6.1, D9.1 notés Critique.</t>
  </si>
  <si>
    <t>Hors périmètre tant que la contrepartie sous sanctions demeure.</t>
  </si>
  <si>
    <t>MODELE</t>
  </si>
  <si>
    <t>Nouveau dossier — intitulé du projet</t>
  </si>
  <si>
    <t>SPV — localisation</t>
  </si>
  <si>
    <t>Résumé du projet : objet, contrat de recettes, financement.</t>
  </si>
  <si>
    <t>Description du scénario défavorable</t>
  </si>
  <si>
    <t>Synthèse des dossiers</t>
  </si>
  <si>
    <t>Une colonne par onglet de dossier, lue en direct : c'est le tableau comparatif de tous les cas. Les dossiers créés par « Nouveau dossier » sont ajoutés automatiquement ; sans macros, tapez le nom de l'onglet en ligne 4.</t>
  </si>
  <si>
    <t>Onglet</t>
  </si>
  <si>
    <t>C4A</t>
  </si>
  <si>
    <t>C4B</t>
  </si>
  <si>
    <t>IMMO</t>
  </si>
  <si>
    <t>Intitulé du dossier</t>
  </si>
  <si>
    <t>A1</t>
  </si>
  <si>
    <t>Code client T24</t>
  </si>
  <si>
    <t>Radical</t>
  </si>
  <si>
    <t>Régime de revenus</t>
  </si>
  <si>
    <t>B38</t>
  </si>
  <si>
    <t>Seuil DSCR critique applicable</t>
  </si>
  <si>
    <t>B88</t>
  </si>
  <si>
    <t>DSCR minimum par échéance</t>
  </si>
  <si>
    <t>D154</t>
  </si>
  <si>
    <t>DSCR minimum sous stress</t>
  </si>
  <si>
    <t>D155</t>
  </si>
  <si>
    <t>DSCR moyen (indicatif)</t>
  </si>
  <si>
    <t>D156</t>
  </si>
  <si>
    <t>DSCR annuel minimum (indicatif)</t>
  </si>
  <si>
    <t>D157</t>
  </si>
  <si>
    <t>D7 — noyau financier</t>
  </si>
  <si>
    <t>D169</t>
  </si>
  <si>
    <t>Score global sur 100</t>
  </si>
  <si>
    <t>B238</t>
  </si>
  <si>
    <t>B239</t>
  </si>
  <si>
    <t>B8</t>
  </si>
  <si>
    <t>Verrous actifs</t>
  </si>
  <si>
    <t>B9</t>
  </si>
  <si>
    <t>Plafond le plus contraignant</t>
  </si>
  <si>
    <t>B273</t>
  </si>
  <si>
    <t>B276</t>
  </si>
  <si>
    <t>B277</t>
  </si>
  <si>
    <t>B285</t>
  </si>
  <si>
    <t>Saisies obligatoires manquantes</t>
  </si>
  <si>
    <t>B4</t>
  </si>
  <si>
    <t>Prochaine saisie</t>
  </si>
  <si>
    <t>Les démonstrations à retenir</t>
  </si>
  <si>
    <t>C3 — Anti-compensation : un score de 73,7 (note 7) ramené à 4 par les plafonds C2 et C3. Un sponsor à 100 et une documentation à 100 ne compensent pas un DSCR de 1,06 sur le creux saisonnier.</t>
  </si>
  <si>
    <t>C4A et C4B — Le ratio annuel trompe : 1,53 en annuel, 0,59 par échéance. Après sculpture de l'amortissement, apport complémentaire et couverture de change, la note passe de 3 à 6 sans que le marché ait changé.</t>
  </si>
  <si>
    <t>C5 et AGR — Proportionnalité : le régime simplifié allège la grille de jugement, jamais les plafonds. Un noyau financier à 97 reste plafonné à 6 par la concentration sur un acheteur unique non noté.</t>
  </si>
  <si>
    <t>TEL, ETH, IMMO — Les plafonds C3, C4, C7, C8 et C9 se déclenchent sur des données, jamais sur une appréciation. MIN — une exclusion X3 empêche toute note, quel que soit le score.</t>
  </si>
  <si>
    <t>Fiche comité — notation Project Finance (modèle V8)</t>
  </si>
  <si>
    <t>Choisissez le dossier dans la cellule jaune. Tout est lu dans l'onglet du dossier ; imprimez la page ou utilisez « Exporter en PDF ».</t>
  </si>
  <si>
    <t>Dossier (nom de l'onglet)</t>
  </si>
  <si>
    <t>Édité le</t>
  </si>
  <si>
    <t>IDENTIFICATION</t>
  </si>
  <si>
    <t>Intitulé</t>
  </si>
  <si>
    <t>Société de projet — localisation</t>
  </si>
  <si>
    <t>Résumé</t>
  </si>
  <si>
    <t>NOTATION</t>
  </si>
  <si>
    <t>Verrous actifs (X, B)</t>
  </si>
  <si>
    <t>ROUTAGE ET PROPORTIONNALITÉ</t>
  </si>
  <si>
    <t>Régime de proportionnalité (S / M / L)</t>
  </si>
  <si>
    <t>INDICATEURS FINANCIERS</t>
  </si>
  <si>
    <t>Repère</t>
  </si>
  <si>
    <t>DSCR minimum par échéance (retenu)</t>
  </si>
  <si>
    <t>Couverture du besoin à terminaison</t>
  </si>
  <si>
    <t>Quote-part de dette</t>
  </si>
  <si>
    <t>LLCR</t>
  </si>
  <si>
    <t>DSRA (mois de service)</t>
  </si>
  <si>
    <t>CAPEX du projet (MMAD)</t>
  </si>
  <si>
    <t>CRÉDITS DE LA BANQUE SUR LE PROJET</t>
  </si>
  <si>
    <t>Total (MMAD, contre-valeur)</t>
  </si>
  <si>
    <t>SCORES PAR DOMAINE</t>
  </si>
  <si>
    <t>Score / 100</t>
  </si>
  <si>
    <t>Poids (phase)</t>
  </si>
  <si>
    <t>SCORE GLOBAL</t>
  </si>
  <si>
    <t>COMMENTAIRES ET CONDITIONS (bloc 13 du dossier)</t>
  </si>
  <si>
    <t>Synthèse de l'analyste</t>
  </si>
  <si>
    <t>Justification des écarts</t>
  </si>
  <si>
    <t>DÉCISION DU COMITÉ</t>
  </si>
  <si>
    <t>Décision (bloc 13 du dossier)</t>
  </si>
  <si>
    <t>Conditions et réserves du comité</t>
  </si>
  <si>
    <t>Date du comité</t>
  </si>
  <si>
    <t>Signatures</t>
  </si>
  <si>
    <t>Comparaison de deux dossiers</t>
  </si>
  <si>
    <t>Choisissez deux dossiers dans les cellules jaunes : variante de montage, avant et après restructuration, ou deux projets du même secteur. Les écarts significatifs sont surlignés.</t>
  </si>
  <si>
    <t>Dossiers comparés (noms d'onglet)</t>
  </si>
  <si>
    <t>Écart (B − A)</t>
  </si>
  <si>
    <t>Dossier A</t>
  </si>
  <si>
    <t>Dossier B</t>
  </si>
  <si>
    <t>Écart</t>
  </si>
  <si>
    <t>Régime de proportionnalité</t>
  </si>
  <si>
    <t>CAPEX (MMAD)</t>
  </si>
  <si>
    <t>Couverture à terminaison</t>
  </si>
  <si>
    <t>Seuil DSCR critique</t>
  </si>
  <si>
    <t>DSRA (mois)</t>
  </si>
  <si>
    <t>Exposition nette en devises</t>
  </si>
  <si>
    <t>Score D1 — Sponsors et actionnariat</t>
  </si>
  <si>
    <t>Score D2 — Projet, site, technologie</t>
  </si>
  <si>
    <t>Score D3 — Construction et achèvement</t>
  </si>
  <si>
    <t>Score D4 — Mécanisme des recettes</t>
  </si>
  <si>
    <t>Score D5 — Exploitation et maintenance</t>
  </si>
  <si>
    <t>Score D6 — Contreparties et consortium</t>
  </si>
  <si>
    <t>Score D7 — Finance et trésorerie (noyau)</t>
  </si>
  <si>
    <t>Score D8 — Juridique, sûretés, continuité</t>
  </si>
  <si>
    <t>Score D9 — ESG et climat résiduel</t>
  </si>
  <si>
    <t>Score global</t>
  </si>
  <si>
    <t>Concordance des notes de référence</t>
  </si>
  <si>
    <t>Résultats attendus des dix-huit dossiers préchargés, calculés par le moteur de référence (Python) indépendant du classeur, face aux résultats lus en direct dans chaque onglet. « Écart » apparaît si un dossier ou un paramètre a été modifié, ou si une formule a été altérée.</t>
  </si>
  <si>
    <t>Note approuvée attendue</t>
  </si>
  <si>
    <t>Note approuvée lue</t>
  </si>
  <si>
    <t>Note calculée attendue</t>
  </si>
  <si>
    <t>Note calculée lue</t>
  </si>
  <si>
    <t>Score attendu</t>
  </si>
  <si>
    <t>Score lu</t>
  </si>
  <si>
    <t>Régime attendu</t>
  </si>
  <si>
    <t>Régime lu</t>
  </si>
  <si>
    <t>Plafond attendu</t>
  </si>
  <si>
    <t>Plafond lu</t>
  </si>
  <si>
    <t>Verrous attendus</t>
  </si>
  <si>
    <t>Verrous lus</t>
  </si>
  <si>
    <t>Résultat</t>
  </si>
  <si>
    <t>L</t>
  </si>
  <si>
    <t>Aucun</t>
  </si>
  <si>
    <t>S</t>
  </si>
  <si>
    <t>M</t>
  </si>
  <si>
    <t>B2</t>
  </si>
  <si>
    <t>B7</t>
  </si>
  <si>
    <t>B5</t>
  </si>
  <si>
    <t>—</t>
  </si>
  <si>
    <t>X3 B3 B8</t>
  </si>
  <si>
    <t>Dossiers conformes</t>
  </si>
  <si>
    <t>La note approuvée attendue vaut « — » pour un dossier hors périmètre (exclusion X). Le score est comparé à 0,005 près. Le moteur de référence (moteur_reference.py) reproduit les formules des sections 1 à 12 et sert aussi à vérifier le classeur après chaque construction.</t>
  </si>
  <si>
    <t>Champs importables — propositions de l'IA</t>
  </si>
  <si>
    <t>Format du fichier de propositions produit par l'outil web à partir des documents du projet. La macro « Importer les propositions IA » le lit, contrôle les codes et présente chaque proposition à valider.</t>
  </si>
  <si>
    <t>Fichier</t>
  </si>
  <si>
    <t>Classeur Excel (.xlsx) contenant une feuille nommée « Propositions ».</t>
  </si>
  <si>
    <t>B1</t>
  </si>
  <si>
    <t>Format : « PF-PROPOSITIONS-IA v1 ».</t>
  </si>
  <si>
    <t>B2, B3, B4</t>
  </si>
  <si>
    <t>Code client T24, radical (7 chiffres, en texte), code projet (PF-AAAA-NNNN). Ils doivent correspondre à ceux du dossier ; un code vide dans le dossier est proposé à la saisie.</t>
  </si>
  <si>
    <t>B5, B6</t>
  </si>
  <si>
    <t>Date de génération ; documents analysés (texte libre).</t>
  </si>
  <si>
    <t>Ligne 8 et suivantes</t>
  </si>
  <si>
    <t>Colonnes A Clé (ci-dessous), B Valeur proposée, C Source (document, page), D Confiance (Élevée, Moyenne, Faible), E Libellé (facultatif). Les pourcentages s'écrivent en fraction (0,15 pour 15 %) ; une « situation » s'écrit par son niveau (Favorable…) ou en toutes lettres.</t>
  </si>
  <si>
    <t>Cellule</t>
  </si>
  <si>
    <t>Type</t>
  </si>
  <si>
    <t>Valeurs admises, remarque</t>
  </si>
  <si>
    <t>titre</t>
  </si>
  <si>
    <t>spv</t>
  </si>
  <si>
    <t>A2</t>
  </si>
  <si>
    <t>resume</t>
  </si>
  <si>
    <t>Résumé du projet</t>
  </si>
  <si>
    <t>A3</t>
  </si>
  <si>
    <t>code_client</t>
  </si>
  <si>
    <t>code</t>
  </si>
  <si>
    <t>20 caractères au plus</t>
  </si>
  <si>
    <t>radical</t>
  </si>
  <si>
    <t>Radical du client</t>
  </si>
  <si>
    <t>7 chiffres, zéros de tête compris</t>
  </si>
  <si>
    <t>code_projet</t>
  </si>
  <si>
    <t>codeprojet</t>
  </si>
  <si>
    <t>PF-AAAA-NNNN</t>
  </si>
  <si>
    <t>regime</t>
  </si>
  <si>
    <t>liste:P_Regimes</t>
  </si>
  <si>
    <t>R1, R2, R3, R4</t>
  </si>
  <si>
    <t>secteur</t>
  </si>
  <si>
    <t>Secteur du projet</t>
  </si>
  <si>
    <t>liste:P_SecCodes</t>
  </si>
  <si>
    <t>ENR, EAU, TEL, TRA, POR, SAN, ETH, IMMO-REND, IND, AGR, TOU, MIN</t>
  </si>
  <si>
    <t>phase</t>
  </si>
  <si>
    <t>liste:P_PhaseCodes</t>
  </si>
  <si>
    <t>P1, P2, P3</t>
  </si>
  <si>
    <t>periodicite</t>
  </si>
  <si>
    <t>Périodicité des échéances</t>
  </si>
  <si>
    <t>liste:L_Periodicite</t>
  </si>
  <si>
    <t>Semestrielle, Trimestrielle, Mensuelle</t>
  </si>
  <si>
    <t>expo</t>
  </si>
  <si>
    <t>nombre</t>
  </si>
  <si>
    <t>mad</t>
  </si>
  <si>
    <t>Tout en dirhams</t>
  </si>
  <si>
    <t>liste:L_OuiNon</t>
  </si>
  <si>
    <t>Oui, Non</t>
  </si>
  <si>
    <t>duree</t>
  </si>
  <si>
    <t>techno</t>
  </si>
  <si>
    <t>Technologie éprouvée</t>
  </si>
  <si>
    <t>epc18</t>
  </si>
  <si>
    <t>EPC clé-en-main &lt; 18 mois (P1)</t>
  </si>
  <si>
    <t>unique</t>
  </si>
  <si>
    <t>Acheteur principal unique</t>
  </si>
  <si>
    <t>premiere</t>
  </si>
  <si>
    <t>Première référence technologique</t>
  </si>
  <si>
    <t>consortium</t>
  </si>
  <si>
    <t>Opération consortiale</t>
  </si>
  <si>
    <t>plus20</t>
  </si>
  <si>
    <t>Contrat de revenus &gt; 20 ans</t>
  </si>
  <si>
    <t>climat</t>
  </si>
  <si>
    <t>Site à risque climatique élevé</t>
  </si>
  <si>
    <t>nbcp</t>
  </si>
  <si>
    <t>emploi.1.libelle</t>
  </si>
  <si>
    <t>Emploi 1 — libellé</t>
  </si>
  <si>
    <t>A42</t>
  </si>
  <si>
    <t>emploi.1.montant</t>
  </si>
  <si>
    <t>Emploi 1 — montant (MMAD)</t>
  </si>
  <si>
    <t>emploi.2.libelle</t>
  </si>
  <si>
    <t>Emploi 2 — libellé</t>
  </si>
  <si>
    <t>A43</t>
  </si>
  <si>
    <t>emploi.2.montant</t>
  </si>
  <si>
    <t>Emploi 2 — montant (MMAD)</t>
  </si>
  <si>
    <t>B43</t>
  </si>
  <si>
    <t>emploi.3.libelle</t>
  </si>
  <si>
    <t>Emploi 3 — libellé</t>
  </si>
  <si>
    <t>A44</t>
  </si>
  <si>
    <t>emploi.3.montant</t>
  </si>
  <si>
    <t>Emploi 3 — montant (MMAD)</t>
  </si>
  <si>
    <t>B44</t>
  </si>
  <si>
    <t>emploi.4.libelle</t>
  </si>
  <si>
    <t>Emploi 4 — libellé</t>
  </si>
  <si>
    <t>A45</t>
  </si>
  <si>
    <t>emploi.4.montant</t>
  </si>
  <si>
    <t>Emploi 4 — montant (MMAD)</t>
  </si>
  <si>
    <t>B45</t>
  </si>
  <si>
    <t>emploi.5.libelle</t>
  </si>
  <si>
    <t>Emploi 5 — libellé</t>
  </si>
  <si>
    <t>A46</t>
  </si>
  <si>
    <t>emploi.5.montant</t>
  </si>
  <si>
    <t>Emploi 5 — montant (MMAD)</t>
  </si>
  <si>
    <t>B46</t>
  </si>
  <si>
    <t>emploi.6.libelle</t>
  </si>
  <si>
    <t>Emploi 6 — libellé</t>
  </si>
  <si>
    <t>A47</t>
  </si>
  <si>
    <t>emploi.6.montant</t>
  </si>
  <si>
    <t>Emploi 6 — montant (MMAD)</t>
  </si>
  <si>
    <t>B47</t>
  </si>
  <si>
    <t>emploi.7.libelle</t>
  </si>
  <si>
    <t>Emploi 7 — libellé</t>
  </si>
  <si>
    <t>A48</t>
  </si>
  <si>
    <t>emploi.7.montant</t>
  </si>
  <si>
    <t>Emploi 7 — montant (MMAD)</t>
  </si>
  <si>
    <t>B48</t>
  </si>
  <si>
    <t>emploi.8.libelle</t>
  </si>
  <si>
    <t>Emploi 8 — libellé</t>
  </si>
  <si>
    <t>A49</t>
  </si>
  <si>
    <t>emploi.8.montant</t>
  </si>
  <si>
    <t>Emploi 8 — montant (MMAD)</t>
  </si>
  <si>
    <t>B49</t>
  </si>
  <si>
    <t>ressource.1.libelle</t>
  </si>
  <si>
    <t>Ressource 1 — libellé</t>
  </si>
  <si>
    <t>D42</t>
  </si>
  <si>
    <t>ressource.1.montant</t>
  </si>
  <si>
    <t>Ressource 1 — montant (MMAD)</t>
  </si>
  <si>
    <t>ressource.1.nature</t>
  </si>
  <si>
    <t>Ressource 1 — nature</t>
  </si>
  <si>
    <t>liste:L_Nature</t>
  </si>
  <si>
    <t>Dette senior, Dette subordonnée, Fonds propres, Quasi-fonds propres, Engagement sponsor, Ligne dédiée engagée, Subvention encaissée, Autre ressource</t>
  </si>
  <si>
    <t>ressource.2.libelle</t>
  </si>
  <si>
    <t>Ressource 2 — libellé</t>
  </si>
  <si>
    <t>D43</t>
  </si>
  <si>
    <t>ressource.2.montant</t>
  </si>
  <si>
    <t>Ressource 2 — montant (MMAD)</t>
  </si>
  <si>
    <t>E43</t>
  </si>
  <si>
    <t>ressource.2.nature</t>
  </si>
  <si>
    <t>Ressource 2 — nature</t>
  </si>
  <si>
    <t>F43</t>
  </si>
  <si>
    <t>ressource.3.libelle</t>
  </si>
  <si>
    <t>Ressource 3 — libellé</t>
  </si>
  <si>
    <t>D44</t>
  </si>
  <si>
    <t>ressource.3.montant</t>
  </si>
  <si>
    <t>Ressource 3 — montant (MMAD)</t>
  </si>
  <si>
    <t>E44</t>
  </si>
  <si>
    <t>ressource.3.nature</t>
  </si>
  <si>
    <t>Ressource 3 — nature</t>
  </si>
  <si>
    <t>F44</t>
  </si>
  <si>
    <t>ressource.4.libelle</t>
  </si>
  <si>
    <t>Ressource 4 — libellé</t>
  </si>
  <si>
    <t>D45</t>
  </si>
  <si>
    <t>ressource.4.montant</t>
  </si>
  <si>
    <t>Ressource 4 — montant (MMAD)</t>
  </si>
  <si>
    <t>E45</t>
  </si>
  <si>
    <t>ressource.4.nature</t>
  </si>
  <si>
    <t>Ressource 4 — nature</t>
  </si>
  <si>
    <t>F45</t>
  </si>
  <si>
    <t>ressource.5.libelle</t>
  </si>
  <si>
    <t>Ressource 5 — libellé</t>
  </si>
  <si>
    <t>D46</t>
  </si>
  <si>
    <t>ressource.5.montant</t>
  </si>
  <si>
    <t>Ressource 5 — montant (MMAD)</t>
  </si>
  <si>
    <t>E46</t>
  </si>
  <si>
    <t>ressource.5.nature</t>
  </si>
  <si>
    <t>Ressource 5 — nature</t>
  </si>
  <si>
    <t>F46</t>
  </si>
  <si>
    <t>ressource.6.libelle</t>
  </si>
  <si>
    <t>Ressource 6 — libellé</t>
  </si>
  <si>
    <t>D47</t>
  </si>
  <si>
    <t>ressource.6.montant</t>
  </si>
  <si>
    <t>Ressource 6 — montant (MMAD)</t>
  </si>
  <si>
    <t>E47</t>
  </si>
  <si>
    <t>ressource.6.nature</t>
  </si>
  <si>
    <t>Ressource 6 — nature</t>
  </si>
  <si>
    <t>F47</t>
  </si>
  <si>
    <t>ressource.7.libelle</t>
  </si>
  <si>
    <t>Ressource 7 — libellé</t>
  </si>
  <si>
    <t>D48</t>
  </si>
  <si>
    <t>ressource.7.montant</t>
  </si>
  <si>
    <t>Ressource 7 — montant (MMAD)</t>
  </si>
  <si>
    <t>E48</t>
  </si>
  <si>
    <t>ressource.7.nature</t>
  </si>
  <si>
    <t>Ressource 7 — nature</t>
  </si>
  <si>
    <t>F48</t>
  </si>
  <si>
    <t>ressource.8.libelle</t>
  </si>
  <si>
    <t>Ressource 8 — libellé</t>
  </si>
  <si>
    <t>D49</t>
  </si>
  <si>
    <t>ressource.8.montant</t>
  </si>
  <si>
    <t>Ressource 8 — montant (MMAD)</t>
  </si>
  <si>
    <t>E49</t>
  </si>
  <si>
    <t>ressource.8.nature</t>
  </si>
  <si>
    <t>Ressource 8 — nature</t>
  </si>
  <si>
    <t>F49</t>
  </si>
  <si>
    <t>remediation</t>
  </si>
  <si>
    <t>Plan de remédiation approuvé</t>
  </si>
  <si>
    <t>credit.1.numero</t>
  </si>
  <si>
    <t>Crédit 1 — numéro</t>
  </si>
  <si>
    <t>A57</t>
  </si>
  <si>
    <t>credit.1.nature</t>
  </si>
  <si>
    <t>Crédit 1 — nature</t>
  </si>
  <si>
    <t>B57</t>
  </si>
  <si>
    <t>liste:L_NatureCredit</t>
  </si>
  <si>
    <t>Crédit d'investissement (moyen et long terme), Crédit relais (TVA, subventions), Ligne de fonctionnement (BFR), Garantie ou caution, Couverture (taux ou change), Autre</t>
  </si>
  <si>
    <t>credit.1.montant</t>
  </si>
  <si>
    <t>Crédit 1 — montant (MMAD)</t>
  </si>
  <si>
    <t>E57</t>
  </si>
  <si>
    <t>credit.1.devise</t>
  </si>
  <si>
    <t>Crédit 1 — devise</t>
  </si>
  <si>
    <t>F57</t>
  </si>
  <si>
    <t>liste:L_Devise</t>
  </si>
  <si>
    <t>MAD, EUR, USD, Autre</t>
  </si>
  <si>
    <t>credit.1.duree</t>
  </si>
  <si>
    <t>Crédit 1 — durée (ans)</t>
  </si>
  <si>
    <t>G57</t>
  </si>
  <si>
    <t>credit.2.numero</t>
  </si>
  <si>
    <t>Crédit 2 — numéro</t>
  </si>
  <si>
    <t>A58</t>
  </si>
  <si>
    <t>credit.2.nature</t>
  </si>
  <si>
    <t>Crédit 2 — nature</t>
  </si>
  <si>
    <t>B58</t>
  </si>
  <si>
    <t>credit.2.montant</t>
  </si>
  <si>
    <t>Crédit 2 — montant (MMAD)</t>
  </si>
  <si>
    <t>E58</t>
  </si>
  <si>
    <t>credit.2.devise</t>
  </si>
  <si>
    <t>Crédit 2 — devise</t>
  </si>
  <si>
    <t>F58</t>
  </si>
  <si>
    <t>credit.2.duree</t>
  </si>
  <si>
    <t>Crédit 2 — durée (ans)</t>
  </si>
  <si>
    <t>G58</t>
  </si>
  <si>
    <t>credit.3.numero</t>
  </si>
  <si>
    <t>Crédit 3 — numéro</t>
  </si>
  <si>
    <t>A59</t>
  </si>
  <si>
    <t>credit.3.nature</t>
  </si>
  <si>
    <t>Crédit 3 — nature</t>
  </si>
  <si>
    <t>B59</t>
  </si>
  <si>
    <t>credit.3.montant</t>
  </si>
  <si>
    <t>Crédit 3 — montant (MMAD)</t>
  </si>
  <si>
    <t>E59</t>
  </si>
  <si>
    <t>credit.3.devise</t>
  </si>
  <si>
    <t>Crédit 3 — devise</t>
  </si>
  <si>
    <t>F59</t>
  </si>
  <si>
    <t>credit.3.duree</t>
  </si>
  <si>
    <t>Crédit 3 — durée (ans)</t>
  </si>
  <si>
    <t>G59</t>
  </si>
  <si>
    <t>credit.4.numero</t>
  </si>
  <si>
    <t>Crédit 4 — numéro</t>
  </si>
  <si>
    <t>A60</t>
  </si>
  <si>
    <t>credit.4.nature</t>
  </si>
  <si>
    <t>Crédit 4 — nature</t>
  </si>
  <si>
    <t>B60</t>
  </si>
  <si>
    <t>credit.4.montant</t>
  </si>
  <si>
    <t>Crédit 4 — montant (MMAD)</t>
  </si>
  <si>
    <t>E60</t>
  </si>
  <si>
    <t>credit.4.devise</t>
  </si>
  <si>
    <t>Crédit 4 — devise</t>
  </si>
  <si>
    <t>F60</t>
  </si>
  <si>
    <t>credit.4.duree</t>
  </si>
  <si>
    <t>Crédit 4 — durée (ans)</t>
  </si>
  <si>
    <t>G60</t>
  </si>
  <si>
    <t>credit.5.numero</t>
  </si>
  <si>
    <t>Crédit 5 — numéro</t>
  </si>
  <si>
    <t>A61</t>
  </si>
  <si>
    <t>credit.5.nature</t>
  </si>
  <si>
    <t>Crédit 5 — nature</t>
  </si>
  <si>
    <t>B61</t>
  </si>
  <si>
    <t>credit.5.montant</t>
  </si>
  <si>
    <t>Crédit 5 — montant (MMAD)</t>
  </si>
  <si>
    <t>E61</t>
  </si>
  <si>
    <t>credit.5.devise</t>
  </si>
  <si>
    <t>Crédit 5 — devise</t>
  </si>
  <si>
    <t>F61</t>
  </si>
  <si>
    <t>credit.5.duree</t>
  </si>
  <si>
    <t>Crédit 5 — durée (ans)</t>
  </si>
  <si>
    <t>G61</t>
  </si>
  <si>
    <t>credit.6.numero</t>
  </si>
  <si>
    <t>Crédit 6 — numéro</t>
  </si>
  <si>
    <t>A62</t>
  </si>
  <si>
    <t>credit.6.nature</t>
  </si>
  <si>
    <t>Crédit 6 — nature</t>
  </si>
  <si>
    <t>B62</t>
  </si>
  <si>
    <t>credit.6.montant</t>
  </si>
  <si>
    <t>Crédit 6 — montant (MMAD)</t>
  </si>
  <si>
    <t>E62</t>
  </si>
  <si>
    <t>credit.6.devise</t>
  </si>
  <si>
    <t>Crédit 6 — devise</t>
  </si>
  <si>
    <t>F62</t>
  </si>
  <si>
    <t>credit.6.duree</t>
  </si>
  <si>
    <t>Crédit 6 — durée (ans)</t>
  </si>
  <si>
    <t>G62</t>
  </si>
  <si>
    <t>secteur.1.valeur</t>
  </si>
  <si>
    <t>Donnée sectorielle 1 (libellé selon le secteur)</t>
  </si>
  <si>
    <t>B67</t>
  </si>
  <si>
    <t>texte ou nombre</t>
  </si>
  <si>
    <t>secteur.1.source</t>
  </si>
  <si>
    <t>Donnée sectorielle 1 — source</t>
  </si>
  <si>
    <t>D67</t>
  </si>
  <si>
    <t>secteur.2.valeur</t>
  </si>
  <si>
    <t>Donnée sectorielle 2 (libellé selon le secteur)</t>
  </si>
  <si>
    <t>B68</t>
  </si>
  <si>
    <t>secteur.2.source</t>
  </si>
  <si>
    <t>Donnée sectorielle 2 — source</t>
  </si>
  <si>
    <t>D68</t>
  </si>
  <si>
    <t>secteur.3.valeur</t>
  </si>
  <si>
    <t>Donnée sectorielle 3 (libellé selon le secteur)</t>
  </si>
  <si>
    <t>B69</t>
  </si>
  <si>
    <t>secteur.3.source</t>
  </si>
  <si>
    <t>Donnée sectorielle 3 — source</t>
  </si>
  <si>
    <t>D69</t>
  </si>
  <si>
    <t>secteur.4.valeur</t>
  </si>
  <si>
    <t>Donnée sectorielle 4 (libellé selon le secteur)</t>
  </si>
  <si>
    <t>B70</t>
  </si>
  <si>
    <t>secteur.4.source</t>
  </si>
  <si>
    <t>Donnée sectorielle 4 — source</t>
  </si>
  <si>
    <t>D70</t>
  </si>
  <si>
    <t>secteur.5.valeur</t>
  </si>
  <si>
    <t>Donnée sectorielle 5 (libellé selon le secteur)</t>
  </si>
  <si>
    <t>B71</t>
  </si>
  <si>
    <t>secteur.5.source</t>
  </si>
  <si>
    <t>Donnée sectorielle 5 — source</t>
  </si>
  <si>
    <t>D71</t>
  </si>
  <si>
    <t>secteur.6.valeur</t>
  </si>
  <si>
    <t>Donnée sectorielle 6 (libellé selon le secteur)</t>
  </si>
  <si>
    <t>B72</t>
  </si>
  <si>
    <t>secteur.6.source</t>
  </si>
  <si>
    <t>Donnée sectorielle 6 — source</t>
  </si>
  <si>
    <t>D72</t>
  </si>
  <si>
    <t>hypothese.1.libelle</t>
  </si>
  <si>
    <t>Hypothèse 1 — libellé</t>
  </si>
  <si>
    <t>A74</t>
  </si>
  <si>
    <t>hypothese.1.valeur</t>
  </si>
  <si>
    <t>Hypothèse 1 — valeur</t>
  </si>
  <si>
    <t>B74</t>
  </si>
  <si>
    <t>hypothese.2.libelle</t>
  </si>
  <si>
    <t>Hypothèse 2 — libellé</t>
  </si>
  <si>
    <t>A75</t>
  </si>
  <si>
    <t>hypothese.2.valeur</t>
  </si>
  <si>
    <t>Hypothèse 2 — valeur</t>
  </si>
  <si>
    <t>B75</t>
  </si>
  <si>
    <t>hypothese.3.libelle</t>
  </si>
  <si>
    <t>Hypothèse 3 — libellé</t>
  </si>
  <si>
    <t>A76</t>
  </si>
  <si>
    <t>hypothese.3.valeur</t>
  </si>
  <si>
    <t>Hypothèse 3 — valeur</t>
  </si>
  <si>
    <t>B76</t>
  </si>
  <si>
    <t>hypothese.4.libelle</t>
  </si>
  <si>
    <t>Hypothèse 4 — libellé</t>
  </si>
  <si>
    <t>A77</t>
  </si>
  <si>
    <t>hypothese.4.valeur</t>
  </si>
  <si>
    <t>Hypothèse 4 — valeur</t>
  </si>
  <si>
    <t>B77</t>
  </si>
  <si>
    <t>hypothese.5.libelle</t>
  </si>
  <si>
    <t>Hypothèse 5 — libellé</t>
  </si>
  <si>
    <t>A78</t>
  </si>
  <si>
    <t>hypothese.5.valeur</t>
  </si>
  <si>
    <t>Hypothèse 5 — valeur</t>
  </si>
  <si>
    <t>B78</t>
  </si>
  <si>
    <t>hypothese.6.libelle</t>
  </si>
  <si>
    <t>Hypothèse 6 — libellé</t>
  </si>
  <si>
    <t>A79</t>
  </si>
  <si>
    <t>hypothese.6.valeur</t>
  </si>
  <si>
    <t>Hypothèse 6 — valeur</t>
  </si>
  <si>
    <t>B79</t>
  </si>
  <si>
    <t>hypothese.7.libelle</t>
  </si>
  <si>
    <t>Hypothèse 7 — libellé</t>
  </si>
  <si>
    <t>A80</t>
  </si>
  <si>
    <t>hypothese.7.valeur</t>
  </si>
  <si>
    <t>Hypothèse 7 — valeur</t>
  </si>
  <si>
    <t>B80</t>
  </si>
  <si>
    <t>hypothese.8.libelle</t>
  </si>
  <si>
    <t>Hypothèse 8 — libellé</t>
  </si>
  <si>
    <t>A81</t>
  </si>
  <si>
    <t>hypothese.8.valeur</t>
  </si>
  <si>
    <t>Hypothèse 8 — valeur</t>
  </si>
  <si>
    <t>B81</t>
  </si>
  <si>
    <t>choc</t>
  </si>
  <si>
    <t>Scénario défavorable : baisse du CFADS</t>
  </si>
  <si>
    <t>pourcentage</t>
  </si>
  <si>
    <t>0 à 0,95 (0,15 = 15 %)</t>
  </si>
  <si>
    <t>choc.description</t>
  </si>
  <si>
    <t>C91</t>
  </si>
  <si>
    <t>echeance.1.libelle</t>
  </si>
  <si>
    <t>Échéance 1 — libellé</t>
  </si>
  <si>
    <t>A93</t>
  </si>
  <si>
    <t>echeance.1.cfads</t>
  </si>
  <si>
    <t>Échéance 1 — CFADS central (MMAD)</t>
  </si>
  <si>
    <t>echeance.1.service</t>
  </si>
  <si>
    <t>Échéance 1 — service de la dette (MMAD)</t>
  </si>
  <si>
    <t>echeance.1.cfads_stresse</t>
  </si>
  <si>
    <t>Échéance 1 — CFADS stressé (MMAD)</t>
  </si>
  <si>
    <t>F93</t>
  </si>
  <si>
    <t>echeance.2.libelle</t>
  </si>
  <si>
    <t>Échéance 2 — libellé</t>
  </si>
  <si>
    <t>A94</t>
  </si>
  <si>
    <t>echeance.2.cfads</t>
  </si>
  <si>
    <t>Échéance 2 — CFADS central (MMAD)</t>
  </si>
  <si>
    <t>B94</t>
  </si>
  <si>
    <t>echeance.2.service</t>
  </si>
  <si>
    <t>Échéance 2 — service de la dette (MMAD)</t>
  </si>
  <si>
    <t>C94</t>
  </si>
  <si>
    <t>echeance.2.cfads_stresse</t>
  </si>
  <si>
    <t>Échéance 2 — CFADS stressé (MMAD)</t>
  </si>
  <si>
    <t>F94</t>
  </si>
  <si>
    <t>echeance.3.libelle</t>
  </si>
  <si>
    <t>Échéance 3 — libellé</t>
  </si>
  <si>
    <t>A95</t>
  </si>
  <si>
    <t>echeance.3.cfads</t>
  </si>
  <si>
    <t>Échéance 3 — CFADS central (MMAD)</t>
  </si>
  <si>
    <t>B95</t>
  </si>
  <si>
    <t>echeance.3.service</t>
  </si>
  <si>
    <t>Échéance 3 — service de la dette (MMAD)</t>
  </si>
  <si>
    <t>C95</t>
  </si>
  <si>
    <t>echeance.3.cfads_stresse</t>
  </si>
  <si>
    <t>Échéance 3 — CFADS stressé (MMAD)</t>
  </si>
  <si>
    <t>F95</t>
  </si>
  <si>
    <t>echeance.4.libelle</t>
  </si>
  <si>
    <t>Échéance 4 — libellé</t>
  </si>
  <si>
    <t>A96</t>
  </si>
  <si>
    <t>echeance.4.cfads</t>
  </si>
  <si>
    <t>Échéance 4 — CFADS central (MMAD)</t>
  </si>
  <si>
    <t>B96</t>
  </si>
  <si>
    <t>echeance.4.service</t>
  </si>
  <si>
    <t>Échéance 4 — service de la dette (MMAD)</t>
  </si>
  <si>
    <t>C96</t>
  </si>
  <si>
    <t>echeance.4.cfads_stresse</t>
  </si>
  <si>
    <t>Échéance 4 — CFADS stressé (MMAD)</t>
  </si>
  <si>
    <t>F96</t>
  </si>
  <si>
    <t>echeance.5.libelle</t>
  </si>
  <si>
    <t>Échéance 5 — libellé</t>
  </si>
  <si>
    <t>A97</t>
  </si>
  <si>
    <t>echeance.5.cfads</t>
  </si>
  <si>
    <t>Échéance 5 — CFADS central (MMAD)</t>
  </si>
  <si>
    <t>B97</t>
  </si>
  <si>
    <t>echeance.5.service</t>
  </si>
  <si>
    <t>Échéance 5 — service de la dette (MMAD)</t>
  </si>
  <si>
    <t>C97</t>
  </si>
  <si>
    <t>echeance.5.cfads_stresse</t>
  </si>
  <si>
    <t>Échéance 5 — CFADS stressé (MMAD)</t>
  </si>
  <si>
    <t>F97</t>
  </si>
  <si>
    <t>echeance.6.libelle</t>
  </si>
  <si>
    <t>Échéance 6 — libellé</t>
  </si>
  <si>
    <t>A98</t>
  </si>
  <si>
    <t>echeance.6.cfads</t>
  </si>
  <si>
    <t>Échéance 6 — CFADS central (MMAD)</t>
  </si>
  <si>
    <t>B98</t>
  </si>
  <si>
    <t>echeance.6.service</t>
  </si>
  <si>
    <t>Échéance 6 — service de la dette (MMAD)</t>
  </si>
  <si>
    <t>C98</t>
  </si>
  <si>
    <t>echeance.6.cfads_stresse</t>
  </si>
  <si>
    <t>Échéance 6 — CFADS stressé (MMAD)</t>
  </si>
  <si>
    <t>F98</t>
  </si>
  <si>
    <t>echeance.7.libelle</t>
  </si>
  <si>
    <t>Échéance 7 — libellé</t>
  </si>
  <si>
    <t>A99</t>
  </si>
  <si>
    <t>echeance.7.cfads</t>
  </si>
  <si>
    <t>Échéance 7 — CFADS central (MMAD)</t>
  </si>
  <si>
    <t>B99</t>
  </si>
  <si>
    <t>echeance.7.service</t>
  </si>
  <si>
    <t>Échéance 7 — service de la dette (MMAD)</t>
  </si>
  <si>
    <t>C99</t>
  </si>
  <si>
    <t>echeance.7.cfads_stresse</t>
  </si>
  <si>
    <t>Échéance 7 — CFADS stressé (MMAD)</t>
  </si>
  <si>
    <t>F99</t>
  </si>
  <si>
    <t>echeance.8.libelle</t>
  </si>
  <si>
    <t>Échéance 8 — libellé</t>
  </si>
  <si>
    <t>A100</t>
  </si>
  <si>
    <t>echeance.8.cfads</t>
  </si>
  <si>
    <t>Échéance 8 — CFADS central (MMAD)</t>
  </si>
  <si>
    <t>B100</t>
  </si>
  <si>
    <t>echeance.8.service</t>
  </si>
  <si>
    <t>Échéance 8 — service de la dette (MMAD)</t>
  </si>
  <si>
    <t>C100</t>
  </si>
  <si>
    <t>echeance.8.cfads_stresse</t>
  </si>
  <si>
    <t>Échéance 8 — CFADS stressé (MMAD)</t>
  </si>
  <si>
    <t>F100</t>
  </si>
  <si>
    <t>echeance.9.libelle</t>
  </si>
  <si>
    <t>Échéance 9 — libellé</t>
  </si>
  <si>
    <t>A101</t>
  </si>
  <si>
    <t>echeance.9.cfads</t>
  </si>
  <si>
    <t>Échéance 9 — CFADS central (MMAD)</t>
  </si>
  <si>
    <t>B101</t>
  </si>
  <si>
    <t>echeance.9.service</t>
  </si>
  <si>
    <t>Échéance 9 — service de la dette (MMAD)</t>
  </si>
  <si>
    <t>C101</t>
  </si>
  <si>
    <t>echeance.9.cfads_stresse</t>
  </si>
  <si>
    <t>Échéance 9 — CFADS stressé (MMAD)</t>
  </si>
  <si>
    <t>F101</t>
  </si>
  <si>
    <t>echeance.10.libelle</t>
  </si>
  <si>
    <t>Échéance 10 — libellé</t>
  </si>
  <si>
    <t>A102</t>
  </si>
  <si>
    <t>echeance.10.cfads</t>
  </si>
  <si>
    <t>Échéance 10 — CFADS central (MMAD)</t>
  </si>
  <si>
    <t>B102</t>
  </si>
  <si>
    <t>echeance.10.service</t>
  </si>
  <si>
    <t>Échéance 10 — service de la dette (MMAD)</t>
  </si>
  <si>
    <t>C102</t>
  </si>
  <si>
    <t>echeance.10.cfads_stresse</t>
  </si>
  <si>
    <t>Échéance 10 — CFADS stressé (MMAD)</t>
  </si>
  <si>
    <t>F102</t>
  </si>
  <si>
    <t>echeance.11.libelle</t>
  </si>
  <si>
    <t>Échéance 11 — libellé</t>
  </si>
  <si>
    <t>A103</t>
  </si>
  <si>
    <t>echeance.11.cfads</t>
  </si>
  <si>
    <t>Échéance 11 — CFADS central (MMAD)</t>
  </si>
  <si>
    <t>B103</t>
  </si>
  <si>
    <t>echeance.11.service</t>
  </si>
  <si>
    <t>Échéance 11 — service de la dette (MMAD)</t>
  </si>
  <si>
    <t>C103</t>
  </si>
  <si>
    <t>echeance.11.cfads_stresse</t>
  </si>
  <si>
    <t>Échéance 11 — CFADS stressé (MMAD)</t>
  </si>
  <si>
    <t>F103</t>
  </si>
  <si>
    <t>echeance.12.libelle</t>
  </si>
  <si>
    <t>Échéance 12 — libellé</t>
  </si>
  <si>
    <t>A104</t>
  </si>
  <si>
    <t>echeance.12.cfads</t>
  </si>
  <si>
    <t>Échéance 12 — CFADS central (MMAD)</t>
  </si>
  <si>
    <t>B104</t>
  </si>
  <si>
    <t>echeance.12.service</t>
  </si>
  <si>
    <t>Échéance 12 — service de la dette (MMAD)</t>
  </si>
  <si>
    <t>C104</t>
  </si>
  <si>
    <t>echeance.12.cfads_stresse</t>
  </si>
  <si>
    <t>Échéance 12 — CFADS stressé (MMAD)</t>
  </si>
  <si>
    <t>F104</t>
  </si>
  <si>
    <t>echeance.13.libelle</t>
  </si>
  <si>
    <t>Échéance 13 — libellé</t>
  </si>
  <si>
    <t>A105</t>
  </si>
  <si>
    <t>echeance.13.cfads</t>
  </si>
  <si>
    <t>Échéance 13 — CFADS central (MMAD)</t>
  </si>
  <si>
    <t>B105</t>
  </si>
  <si>
    <t>echeance.13.service</t>
  </si>
  <si>
    <t>Échéance 13 — service de la dette (MMAD)</t>
  </si>
  <si>
    <t>C105</t>
  </si>
  <si>
    <t>echeance.13.cfads_stresse</t>
  </si>
  <si>
    <t>Échéance 13 — CFADS stressé (MMAD)</t>
  </si>
  <si>
    <t>F105</t>
  </si>
  <si>
    <t>echeance.14.libelle</t>
  </si>
  <si>
    <t>Échéance 14 — libellé</t>
  </si>
  <si>
    <t>A106</t>
  </si>
  <si>
    <t>echeance.14.cfads</t>
  </si>
  <si>
    <t>Échéance 14 — CFADS central (MMAD)</t>
  </si>
  <si>
    <t>B106</t>
  </si>
  <si>
    <t>echeance.14.service</t>
  </si>
  <si>
    <t>Échéance 14 — service de la dette (MMAD)</t>
  </si>
  <si>
    <t>C106</t>
  </si>
  <si>
    <t>echeance.14.cfads_stresse</t>
  </si>
  <si>
    <t>Échéance 14 — CFADS stressé (MMAD)</t>
  </si>
  <si>
    <t>F106</t>
  </si>
  <si>
    <t>echeance.15.libelle</t>
  </si>
  <si>
    <t>Échéance 15 — libellé</t>
  </si>
  <si>
    <t>A107</t>
  </si>
  <si>
    <t>echeance.15.cfads</t>
  </si>
  <si>
    <t>Échéance 15 — CFADS central (MMAD)</t>
  </si>
  <si>
    <t>B107</t>
  </si>
  <si>
    <t>echeance.15.service</t>
  </si>
  <si>
    <t>Échéance 15 — service de la dette (MMAD)</t>
  </si>
  <si>
    <t>C107</t>
  </si>
  <si>
    <t>echeance.15.cfads_stresse</t>
  </si>
  <si>
    <t>Échéance 15 — CFADS stressé (MMAD)</t>
  </si>
  <si>
    <t>F107</t>
  </si>
  <si>
    <t>echeance.16.libelle</t>
  </si>
  <si>
    <t>Échéance 16 — libellé</t>
  </si>
  <si>
    <t>A108</t>
  </si>
  <si>
    <t>echeance.16.cfads</t>
  </si>
  <si>
    <t>Échéance 16 — CFADS central (MMAD)</t>
  </si>
  <si>
    <t>B108</t>
  </si>
  <si>
    <t>echeance.16.service</t>
  </si>
  <si>
    <t>Échéance 16 — service de la dette (MMAD)</t>
  </si>
  <si>
    <t>C108</t>
  </si>
  <si>
    <t>echeance.16.cfads_stresse</t>
  </si>
  <si>
    <t>Échéance 16 — CFADS stressé (MMAD)</t>
  </si>
  <si>
    <t>F108</t>
  </si>
  <si>
    <t>echeance.17.libelle</t>
  </si>
  <si>
    <t>Échéance 17 — libellé</t>
  </si>
  <si>
    <t>A109</t>
  </si>
  <si>
    <t>echeance.17.cfads</t>
  </si>
  <si>
    <t>Échéance 17 — CFADS central (MMAD)</t>
  </si>
  <si>
    <t>B109</t>
  </si>
  <si>
    <t>echeance.17.service</t>
  </si>
  <si>
    <t>Échéance 17 — service de la dette (MMAD)</t>
  </si>
  <si>
    <t>C109</t>
  </si>
  <si>
    <t>echeance.17.cfads_stresse</t>
  </si>
  <si>
    <t>Échéance 17 — CFADS stressé (MMAD)</t>
  </si>
  <si>
    <t>F109</t>
  </si>
  <si>
    <t>echeance.18.libelle</t>
  </si>
  <si>
    <t>Échéance 18 — libellé</t>
  </si>
  <si>
    <t>A110</t>
  </si>
  <si>
    <t>echeance.18.cfads</t>
  </si>
  <si>
    <t>Échéance 18 — CFADS central (MMAD)</t>
  </si>
  <si>
    <t>B110</t>
  </si>
  <si>
    <t>echeance.18.service</t>
  </si>
  <si>
    <t>Échéance 18 — service de la dette (MMAD)</t>
  </si>
  <si>
    <t>C110</t>
  </si>
  <si>
    <t>echeance.18.cfads_stresse</t>
  </si>
  <si>
    <t>Échéance 18 — CFADS stressé (MMAD)</t>
  </si>
  <si>
    <t>F110</t>
  </si>
  <si>
    <t>echeance.19.libelle</t>
  </si>
  <si>
    <t>Échéance 19 — libellé</t>
  </si>
  <si>
    <t>A111</t>
  </si>
  <si>
    <t>echeance.19.cfads</t>
  </si>
  <si>
    <t>Échéance 19 — CFADS central (MMAD)</t>
  </si>
  <si>
    <t>B111</t>
  </si>
  <si>
    <t>echeance.19.service</t>
  </si>
  <si>
    <t>Échéance 19 — service de la dette (MMAD)</t>
  </si>
  <si>
    <t>C111</t>
  </si>
  <si>
    <t>echeance.19.cfads_stresse</t>
  </si>
  <si>
    <t>Échéance 19 — CFADS stressé (MMAD)</t>
  </si>
  <si>
    <t>F111</t>
  </si>
  <si>
    <t>echeance.20.libelle</t>
  </si>
  <si>
    <t>Échéance 20 — libellé</t>
  </si>
  <si>
    <t>A112</t>
  </si>
  <si>
    <t>echeance.20.cfads</t>
  </si>
  <si>
    <t>Échéance 20 — CFADS central (MMAD)</t>
  </si>
  <si>
    <t>B112</t>
  </si>
  <si>
    <t>echeance.20.service</t>
  </si>
  <si>
    <t>Échéance 20 — service de la dette (MMAD)</t>
  </si>
  <si>
    <t>C112</t>
  </si>
  <si>
    <t>echeance.20.cfads_stresse</t>
  </si>
  <si>
    <t>Échéance 20 — CFADS stressé (MMAD)</t>
  </si>
  <si>
    <t>F112</t>
  </si>
  <si>
    <t>echeance.21.libelle</t>
  </si>
  <si>
    <t>Échéance 21 — libellé</t>
  </si>
  <si>
    <t>A113</t>
  </si>
  <si>
    <t>echeance.21.cfads</t>
  </si>
  <si>
    <t>Échéance 21 — CFADS central (MMAD)</t>
  </si>
  <si>
    <t>B113</t>
  </si>
  <si>
    <t>echeance.21.service</t>
  </si>
  <si>
    <t>Échéance 21 — service de la dette (MMAD)</t>
  </si>
  <si>
    <t>C113</t>
  </si>
  <si>
    <t>echeance.21.cfads_stresse</t>
  </si>
  <si>
    <t>Échéance 21 — CFADS stressé (MMAD)</t>
  </si>
  <si>
    <t>F113</t>
  </si>
  <si>
    <t>echeance.22.libelle</t>
  </si>
  <si>
    <t>Échéance 22 — libellé</t>
  </si>
  <si>
    <t>A114</t>
  </si>
  <si>
    <t>echeance.22.cfads</t>
  </si>
  <si>
    <t>Échéance 22 — CFADS central (MMAD)</t>
  </si>
  <si>
    <t>B114</t>
  </si>
  <si>
    <t>echeance.22.service</t>
  </si>
  <si>
    <t>Échéance 22 — service de la dette (MMAD)</t>
  </si>
  <si>
    <t>C114</t>
  </si>
  <si>
    <t>echeance.22.cfads_stresse</t>
  </si>
  <si>
    <t>Échéance 22 — CFADS stressé (MMAD)</t>
  </si>
  <si>
    <t>F114</t>
  </si>
  <si>
    <t>echeance.23.libelle</t>
  </si>
  <si>
    <t>Échéance 23 — libellé</t>
  </si>
  <si>
    <t>A115</t>
  </si>
  <si>
    <t>echeance.23.cfads</t>
  </si>
  <si>
    <t>Échéance 23 — CFADS central (MMAD)</t>
  </si>
  <si>
    <t>B115</t>
  </si>
  <si>
    <t>echeance.23.service</t>
  </si>
  <si>
    <t>Échéance 23 — service de la dette (MMAD)</t>
  </si>
  <si>
    <t>C115</t>
  </si>
  <si>
    <t>echeance.23.cfads_stresse</t>
  </si>
  <si>
    <t>Échéance 23 — CFADS stressé (MMAD)</t>
  </si>
  <si>
    <t>F115</t>
  </si>
  <si>
    <t>echeance.24.libelle</t>
  </si>
  <si>
    <t>Échéance 24 — libellé</t>
  </si>
  <si>
    <t>A116</t>
  </si>
  <si>
    <t>echeance.24.cfads</t>
  </si>
  <si>
    <t>Échéance 24 — CFADS central (MMAD)</t>
  </si>
  <si>
    <t>B116</t>
  </si>
  <si>
    <t>echeance.24.service</t>
  </si>
  <si>
    <t>Échéance 24 — service de la dette (MMAD)</t>
  </si>
  <si>
    <t>C116</t>
  </si>
  <si>
    <t>echeance.24.cfads_stresse</t>
  </si>
  <si>
    <t>Échéance 24 — CFADS stressé (MMAD)</t>
  </si>
  <si>
    <t>F116</t>
  </si>
  <si>
    <t>echeance.25.libelle</t>
  </si>
  <si>
    <t>Échéance 25 — libellé</t>
  </si>
  <si>
    <t>A117</t>
  </si>
  <si>
    <t>echeance.25.cfads</t>
  </si>
  <si>
    <t>Échéance 25 — CFADS central (MMAD)</t>
  </si>
  <si>
    <t>B117</t>
  </si>
  <si>
    <t>echeance.25.service</t>
  </si>
  <si>
    <t>Échéance 25 — service de la dette (MMAD)</t>
  </si>
  <si>
    <t>C117</t>
  </si>
  <si>
    <t>echeance.25.cfads_stresse</t>
  </si>
  <si>
    <t>Échéance 25 — CFADS stressé (MMAD)</t>
  </si>
  <si>
    <t>F117</t>
  </si>
  <si>
    <t>echeance.26.libelle</t>
  </si>
  <si>
    <t>Échéance 26 — libellé</t>
  </si>
  <si>
    <t>A118</t>
  </si>
  <si>
    <t>echeance.26.cfads</t>
  </si>
  <si>
    <t>Échéance 26 — CFADS central (MMAD)</t>
  </si>
  <si>
    <t>B118</t>
  </si>
  <si>
    <t>echeance.26.service</t>
  </si>
  <si>
    <t>Échéance 26 — service de la dette (MMAD)</t>
  </si>
  <si>
    <t>C118</t>
  </si>
  <si>
    <t>echeance.26.cfads_stresse</t>
  </si>
  <si>
    <t>Échéance 26 — CFADS stressé (MMAD)</t>
  </si>
  <si>
    <t>F118</t>
  </si>
  <si>
    <t>echeance.27.libelle</t>
  </si>
  <si>
    <t>Échéance 27 — libellé</t>
  </si>
  <si>
    <t>A119</t>
  </si>
  <si>
    <t>echeance.27.cfads</t>
  </si>
  <si>
    <t>Échéance 27 — CFADS central (MMAD)</t>
  </si>
  <si>
    <t>B119</t>
  </si>
  <si>
    <t>echeance.27.service</t>
  </si>
  <si>
    <t>Échéance 27 — service de la dette (MMAD)</t>
  </si>
  <si>
    <t>C119</t>
  </si>
  <si>
    <t>echeance.27.cfads_stresse</t>
  </si>
  <si>
    <t>Échéance 27 — CFADS stressé (MMAD)</t>
  </si>
  <si>
    <t>F119</t>
  </si>
  <si>
    <t>echeance.28.libelle</t>
  </si>
  <si>
    <t>Échéance 28 — libellé</t>
  </si>
  <si>
    <t>A120</t>
  </si>
  <si>
    <t>echeance.28.cfads</t>
  </si>
  <si>
    <t>Échéance 28 — CFADS central (MMAD)</t>
  </si>
  <si>
    <t>B120</t>
  </si>
  <si>
    <t>echeance.28.service</t>
  </si>
  <si>
    <t>Échéance 28 — service de la dette (MMAD)</t>
  </si>
  <si>
    <t>C120</t>
  </si>
  <si>
    <t>echeance.28.cfads_stresse</t>
  </si>
  <si>
    <t>Échéance 28 — CFADS stressé (MMAD)</t>
  </si>
  <si>
    <t>F120</t>
  </si>
  <si>
    <t>echeance.29.libelle</t>
  </si>
  <si>
    <t>Échéance 29 — libellé</t>
  </si>
  <si>
    <t>A121</t>
  </si>
  <si>
    <t>echeance.29.cfads</t>
  </si>
  <si>
    <t>Échéance 29 — CFADS central (MMAD)</t>
  </si>
  <si>
    <t>B121</t>
  </si>
  <si>
    <t>echeance.29.service</t>
  </si>
  <si>
    <t>Échéance 29 — service de la dette (MMAD)</t>
  </si>
  <si>
    <t>C121</t>
  </si>
  <si>
    <t>echeance.29.cfads_stresse</t>
  </si>
  <si>
    <t>Échéance 29 — CFADS stressé (MMAD)</t>
  </si>
  <si>
    <t>F121</t>
  </si>
  <si>
    <t>echeance.30.libelle</t>
  </si>
  <si>
    <t>Échéance 30 — libellé</t>
  </si>
  <si>
    <t>A122</t>
  </si>
  <si>
    <t>echeance.30.cfads</t>
  </si>
  <si>
    <t>Échéance 30 — CFADS central (MMAD)</t>
  </si>
  <si>
    <t>B122</t>
  </si>
  <si>
    <t>echeance.30.service</t>
  </si>
  <si>
    <t>Échéance 30 — service de la dette (MMAD)</t>
  </si>
  <si>
    <t>C122</t>
  </si>
  <si>
    <t>echeance.30.cfads_stresse</t>
  </si>
  <si>
    <t>Échéance 30 — CFADS stressé (MMAD)</t>
  </si>
  <si>
    <t>F122</t>
  </si>
  <si>
    <t>echeance.31.libelle</t>
  </si>
  <si>
    <t>Échéance 31 — libellé</t>
  </si>
  <si>
    <t>A123</t>
  </si>
  <si>
    <t>echeance.31.cfads</t>
  </si>
  <si>
    <t>Échéance 31 — CFADS central (MMAD)</t>
  </si>
  <si>
    <t>B123</t>
  </si>
  <si>
    <t>echeance.31.service</t>
  </si>
  <si>
    <t>Échéance 31 — service de la dette (MMAD)</t>
  </si>
  <si>
    <t>C123</t>
  </si>
  <si>
    <t>echeance.31.cfads_stresse</t>
  </si>
  <si>
    <t>Échéance 31 — CFADS stressé (MMAD)</t>
  </si>
  <si>
    <t>F123</t>
  </si>
  <si>
    <t>echeance.32.libelle</t>
  </si>
  <si>
    <t>Échéance 32 — libellé</t>
  </si>
  <si>
    <t>A124</t>
  </si>
  <si>
    <t>echeance.32.cfads</t>
  </si>
  <si>
    <t>Échéance 32 — CFADS central (MMAD)</t>
  </si>
  <si>
    <t>B124</t>
  </si>
  <si>
    <t>echeance.32.service</t>
  </si>
  <si>
    <t>Échéance 32 — service de la dette (MMAD)</t>
  </si>
  <si>
    <t>C124</t>
  </si>
  <si>
    <t>echeance.32.cfads_stresse</t>
  </si>
  <si>
    <t>Échéance 32 — CFADS stressé (MMAD)</t>
  </si>
  <si>
    <t>F124</t>
  </si>
  <si>
    <t>echeance.33.libelle</t>
  </si>
  <si>
    <t>Échéance 33 — libellé</t>
  </si>
  <si>
    <t>A125</t>
  </si>
  <si>
    <t>echeance.33.cfads</t>
  </si>
  <si>
    <t>Échéance 33 — CFADS central (MMAD)</t>
  </si>
  <si>
    <t>B125</t>
  </si>
  <si>
    <t>echeance.33.service</t>
  </si>
  <si>
    <t>Échéance 33 — service de la dette (MMAD)</t>
  </si>
  <si>
    <t>C125</t>
  </si>
  <si>
    <t>echeance.33.cfads_stresse</t>
  </si>
  <si>
    <t>Échéance 33 — CFADS stressé (MMAD)</t>
  </si>
  <si>
    <t>F125</t>
  </si>
  <si>
    <t>echeance.34.libelle</t>
  </si>
  <si>
    <t>Échéance 34 — libellé</t>
  </si>
  <si>
    <t>A126</t>
  </si>
  <si>
    <t>echeance.34.cfads</t>
  </si>
  <si>
    <t>Échéance 34 — CFADS central (MMAD)</t>
  </si>
  <si>
    <t>B126</t>
  </si>
  <si>
    <t>echeance.34.service</t>
  </si>
  <si>
    <t>Échéance 34 — service de la dette (MMAD)</t>
  </si>
  <si>
    <t>C126</t>
  </si>
  <si>
    <t>echeance.34.cfads_stresse</t>
  </si>
  <si>
    <t>Échéance 34 — CFADS stressé (MMAD)</t>
  </si>
  <si>
    <t>F126</t>
  </si>
  <si>
    <t>echeance.35.libelle</t>
  </si>
  <si>
    <t>Échéance 35 — libellé</t>
  </si>
  <si>
    <t>A127</t>
  </si>
  <si>
    <t>echeance.35.cfads</t>
  </si>
  <si>
    <t>Échéance 35 — CFADS central (MMAD)</t>
  </si>
  <si>
    <t>B127</t>
  </si>
  <si>
    <t>echeance.35.service</t>
  </si>
  <si>
    <t>Échéance 35 — service de la dette (MMAD)</t>
  </si>
  <si>
    <t>C127</t>
  </si>
  <si>
    <t>echeance.35.cfads_stresse</t>
  </si>
  <si>
    <t>Échéance 35 — CFADS stressé (MMAD)</t>
  </si>
  <si>
    <t>F127</t>
  </si>
  <si>
    <t>echeance.36.libelle</t>
  </si>
  <si>
    <t>Échéance 36 — libellé</t>
  </si>
  <si>
    <t>A128</t>
  </si>
  <si>
    <t>echeance.36.cfads</t>
  </si>
  <si>
    <t>Échéance 36 — CFADS central (MMAD)</t>
  </si>
  <si>
    <t>B128</t>
  </si>
  <si>
    <t>echeance.36.service</t>
  </si>
  <si>
    <t>Échéance 36 — service de la dette (MMAD)</t>
  </si>
  <si>
    <t>C128</t>
  </si>
  <si>
    <t>echeance.36.cfads_stresse</t>
  </si>
  <si>
    <t>Échéance 36 — CFADS stressé (MMAD)</t>
  </si>
  <si>
    <t>F128</t>
  </si>
  <si>
    <t>echeance.37.libelle</t>
  </si>
  <si>
    <t>Échéance 37 — libellé</t>
  </si>
  <si>
    <t>A129</t>
  </si>
  <si>
    <t>echeance.37.cfads</t>
  </si>
  <si>
    <t>Échéance 37 — CFADS central (MMAD)</t>
  </si>
  <si>
    <t>B129</t>
  </si>
  <si>
    <t>echeance.37.service</t>
  </si>
  <si>
    <t>Échéance 37 — service de la dette (MMAD)</t>
  </si>
  <si>
    <t>C129</t>
  </si>
  <si>
    <t>echeance.37.cfads_stresse</t>
  </si>
  <si>
    <t>Échéance 37 — CFADS stressé (MMAD)</t>
  </si>
  <si>
    <t>F129</t>
  </si>
  <si>
    <t>echeance.38.libelle</t>
  </si>
  <si>
    <t>Échéance 38 — libellé</t>
  </si>
  <si>
    <t>A130</t>
  </si>
  <si>
    <t>echeance.38.cfads</t>
  </si>
  <si>
    <t>Échéance 38 — CFADS central (MMAD)</t>
  </si>
  <si>
    <t>B130</t>
  </si>
  <si>
    <t>echeance.38.service</t>
  </si>
  <si>
    <t>Échéance 38 — service de la dette (MMAD)</t>
  </si>
  <si>
    <t>C130</t>
  </si>
  <si>
    <t>echeance.38.cfads_stresse</t>
  </si>
  <si>
    <t>Échéance 38 — CFADS stressé (MMAD)</t>
  </si>
  <si>
    <t>F130</t>
  </si>
  <si>
    <t>echeance.39.libelle</t>
  </si>
  <si>
    <t>Échéance 39 — libellé</t>
  </si>
  <si>
    <t>A131</t>
  </si>
  <si>
    <t>echeance.39.cfads</t>
  </si>
  <si>
    <t>Échéance 39 — CFADS central (MMAD)</t>
  </si>
  <si>
    <t>B131</t>
  </si>
  <si>
    <t>echeance.39.service</t>
  </si>
  <si>
    <t>Échéance 39 — service de la dette (MMAD)</t>
  </si>
  <si>
    <t>C131</t>
  </si>
  <si>
    <t>echeance.39.cfads_stresse</t>
  </si>
  <si>
    <t>Échéance 39 — CFADS stressé (MMAD)</t>
  </si>
  <si>
    <t>F131</t>
  </si>
  <si>
    <t>echeance.40.libelle</t>
  </si>
  <si>
    <t>Échéance 40 — libellé</t>
  </si>
  <si>
    <t>A132</t>
  </si>
  <si>
    <t>echeance.40.cfads</t>
  </si>
  <si>
    <t>Échéance 40 — CFADS central (MMAD)</t>
  </si>
  <si>
    <t>B132</t>
  </si>
  <si>
    <t>echeance.40.service</t>
  </si>
  <si>
    <t>Échéance 40 — service de la dette (MMAD)</t>
  </si>
  <si>
    <t>C132</t>
  </si>
  <si>
    <t>echeance.40.cfads_stresse</t>
  </si>
  <si>
    <t>Échéance 40 — CFADS stressé (MMAD)</t>
  </si>
  <si>
    <t>F132</t>
  </si>
  <si>
    <t>echeance.41.libelle</t>
  </si>
  <si>
    <t>Échéance 41 — libellé</t>
  </si>
  <si>
    <t>A133</t>
  </si>
  <si>
    <t>echeance.41.cfads</t>
  </si>
  <si>
    <t>Échéance 41 — CFADS central (MMAD)</t>
  </si>
  <si>
    <t>B133</t>
  </si>
  <si>
    <t>echeance.41.service</t>
  </si>
  <si>
    <t>Échéance 41 — service de la dette (MMAD)</t>
  </si>
  <si>
    <t>C133</t>
  </si>
  <si>
    <t>echeance.41.cfads_stresse</t>
  </si>
  <si>
    <t>Échéance 41 — CFADS stressé (MMAD)</t>
  </si>
  <si>
    <t>F133</t>
  </si>
  <si>
    <t>echeance.42.libelle</t>
  </si>
  <si>
    <t>Échéance 42 — libellé</t>
  </si>
  <si>
    <t>A134</t>
  </si>
  <si>
    <t>echeance.42.cfads</t>
  </si>
  <si>
    <t>Échéance 42 — CFADS central (MMAD)</t>
  </si>
  <si>
    <t>B134</t>
  </si>
  <si>
    <t>echeance.42.service</t>
  </si>
  <si>
    <t>Échéance 42 — service de la dette (MMAD)</t>
  </si>
  <si>
    <t>C134</t>
  </si>
  <si>
    <t>echeance.42.cfads_stresse</t>
  </si>
  <si>
    <t>Échéance 42 — CFADS stressé (MMAD)</t>
  </si>
  <si>
    <t>F134</t>
  </si>
  <si>
    <t>echeance.43.libelle</t>
  </si>
  <si>
    <t>Échéance 43 — libellé</t>
  </si>
  <si>
    <t>A135</t>
  </si>
  <si>
    <t>echeance.43.cfads</t>
  </si>
  <si>
    <t>Échéance 43 — CFADS central (MMAD)</t>
  </si>
  <si>
    <t>B135</t>
  </si>
  <si>
    <t>echeance.43.service</t>
  </si>
  <si>
    <t>Échéance 43 — service de la dette (MMAD)</t>
  </si>
  <si>
    <t>C135</t>
  </si>
  <si>
    <t>echeance.43.cfads_stresse</t>
  </si>
  <si>
    <t>Échéance 43 — CFADS stressé (MMAD)</t>
  </si>
  <si>
    <t>F135</t>
  </si>
  <si>
    <t>echeance.44.libelle</t>
  </si>
  <si>
    <t>Échéance 44 — libellé</t>
  </si>
  <si>
    <t>A136</t>
  </si>
  <si>
    <t>echeance.44.cfads</t>
  </si>
  <si>
    <t>Échéance 44 — CFADS central (MMAD)</t>
  </si>
  <si>
    <t>B136</t>
  </si>
  <si>
    <t>echeance.44.service</t>
  </si>
  <si>
    <t>Échéance 44 — service de la dette (MMAD)</t>
  </si>
  <si>
    <t>C136</t>
  </si>
  <si>
    <t>echeance.44.cfads_stresse</t>
  </si>
  <si>
    <t>Échéance 44 — CFADS stressé (MMAD)</t>
  </si>
  <si>
    <t>F136</t>
  </si>
  <si>
    <t>echeance.45.libelle</t>
  </si>
  <si>
    <t>Échéance 45 — libellé</t>
  </si>
  <si>
    <t>A137</t>
  </si>
  <si>
    <t>echeance.45.cfads</t>
  </si>
  <si>
    <t>Échéance 45 — CFADS central (MMAD)</t>
  </si>
  <si>
    <t>B137</t>
  </si>
  <si>
    <t>echeance.45.service</t>
  </si>
  <si>
    <t>Échéance 45 — service de la dette (MMAD)</t>
  </si>
  <si>
    <t>C137</t>
  </si>
  <si>
    <t>echeance.45.cfads_stresse</t>
  </si>
  <si>
    <t>Échéance 45 — CFADS stressé (MMAD)</t>
  </si>
  <si>
    <t>F137</t>
  </si>
  <si>
    <t>echeance.46.libelle</t>
  </si>
  <si>
    <t>Échéance 46 — libellé</t>
  </si>
  <si>
    <t>A138</t>
  </si>
  <si>
    <t>echeance.46.cfads</t>
  </si>
  <si>
    <t>Échéance 46 — CFADS central (MMAD)</t>
  </si>
  <si>
    <t>B138</t>
  </si>
  <si>
    <t>echeance.46.service</t>
  </si>
  <si>
    <t>Échéance 46 — service de la dette (MMAD)</t>
  </si>
  <si>
    <t>C138</t>
  </si>
  <si>
    <t>echeance.46.cfads_stresse</t>
  </si>
  <si>
    <t>Échéance 46 — CFADS stressé (MMAD)</t>
  </si>
  <si>
    <t>F138</t>
  </si>
  <si>
    <t>echeance.47.libelle</t>
  </si>
  <si>
    <t>Échéance 47 — libellé</t>
  </si>
  <si>
    <t>A139</t>
  </si>
  <si>
    <t>echeance.47.cfads</t>
  </si>
  <si>
    <t>Échéance 47 — CFADS central (MMAD)</t>
  </si>
  <si>
    <t>B139</t>
  </si>
  <si>
    <t>echeance.47.service</t>
  </si>
  <si>
    <t>Échéance 47 — service de la dette (MMAD)</t>
  </si>
  <si>
    <t>C139</t>
  </si>
  <si>
    <t>echeance.47.cfads_stresse</t>
  </si>
  <si>
    <t>Échéance 47 — CFADS stressé (MMAD)</t>
  </si>
  <si>
    <t>F139</t>
  </si>
  <si>
    <t>echeance.48.libelle</t>
  </si>
  <si>
    <t>Échéance 48 — libellé</t>
  </si>
  <si>
    <t>A140</t>
  </si>
  <si>
    <t>echeance.48.cfads</t>
  </si>
  <si>
    <t>Échéance 48 — CFADS central (MMAD)</t>
  </si>
  <si>
    <t>B140</t>
  </si>
  <si>
    <t>echeance.48.service</t>
  </si>
  <si>
    <t>Échéance 48 — service de la dette (MMAD)</t>
  </si>
  <si>
    <t>C140</t>
  </si>
  <si>
    <t>echeance.48.cfads_stresse</t>
  </si>
  <si>
    <t>Échéance 48 — CFADS stressé (MMAD)</t>
  </si>
  <si>
    <t>F140</t>
  </si>
  <si>
    <t>echeance.49.libelle</t>
  </si>
  <si>
    <t>Échéance 49 — libellé</t>
  </si>
  <si>
    <t>A141</t>
  </si>
  <si>
    <t>echeance.49.cfads</t>
  </si>
  <si>
    <t>Échéance 49 — CFADS central (MMAD)</t>
  </si>
  <si>
    <t>B141</t>
  </si>
  <si>
    <t>echeance.49.service</t>
  </si>
  <si>
    <t>Échéance 49 — service de la dette (MMAD)</t>
  </si>
  <si>
    <t>C141</t>
  </si>
  <si>
    <t>echeance.49.cfads_stresse</t>
  </si>
  <si>
    <t>Échéance 49 — CFADS stressé (MMAD)</t>
  </si>
  <si>
    <t>F141</t>
  </si>
  <si>
    <t>echeance.50.libelle</t>
  </si>
  <si>
    <t>Échéance 50 — libellé</t>
  </si>
  <si>
    <t>A142</t>
  </si>
  <si>
    <t>echeance.50.cfads</t>
  </si>
  <si>
    <t>Échéance 50 — CFADS central (MMAD)</t>
  </si>
  <si>
    <t>B142</t>
  </si>
  <si>
    <t>echeance.50.service</t>
  </si>
  <si>
    <t>Échéance 50 — service de la dette (MMAD)</t>
  </si>
  <si>
    <t>C142</t>
  </si>
  <si>
    <t>echeance.50.cfads_stresse</t>
  </si>
  <si>
    <t>Échéance 50 — CFADS stressé (MMAD)</t>
  </si>
  <si>
    <t>F142</t>
  </si>
  <si>
    <t>echeance.51.libelle</t>
  </si>
  <si>
    <t>Échéance 51 — libellé</t>
  </si>
  <si>
    <t>A143</t>
  </si>
  <si>
    <t>echeance.51.cfads</t>
  </si>
  <si>
    <t>Échéance 51 — CFADS central (MMAD)</t>
  </si>
  <si>
    <t>B143</t>
  </si>
  <si>
    <t>echeance.51.service</t>
  </si>
  <si>
    <t>Échéance 51 — service de la dette (MMAD)</t>
  </si>
  <si>
    <t>C143</t>
  </si>
  <si>
    <t>echeance.51.cfads_stresse</t>
  </si>
  <si>
    <t>Échéance 51 — CFADS stressé (MMAD)</t>
  </si>
  <si>
    <t>F143</t>
  </si>
  <si>
    <t>echeance.52.libelle</t>
  </si>
  <si>
    <t>Échéance 52 — libellé</t>
  </si>
  <si>
    <t>A144</t>
  </si>
  <si>
    <t>echeance.52.cfads</t>
  </si>
  <si>
    <t>Échéance 52 — CFADS central (MMAD)</t>
  </si>
  <si>
    <t>B144</t>
  </si>
  <si>
    <t>echeance.52.service</t>
  </si>
  <si>
    <t>Échéance 52 — service de la dette (MMAD)</t>
  </si>
  <si>
    <t>C144</t>
  </si>
  <si>
    <t>echeance.52.cfads_stresse</t>
  </si>
  <si>
    <t>Échéance 52 — CFADS stressé (MMAD)</t>
  </si>
  <si>
    <t>F144</t>
  </si>
  <si>
    <t>echeance.53.libelle</t>
  </si>
  <si>
    <t>Échéance 53 — libellé</t>
  </si>
  <si>
    <t>A145</t>
  </si>
  <si>
    <t>echeance.53.cfads</t>
  </si>
  <si>
    <t>Échéance 53 — CFADS central (MMAD)</t>
  </si>
  <si>
    <t>B145</t>
  </si>
  <si>
    <t>echeance.53.service</t>
  </si>
  <si>
    <t>Échéance 53 — service de la dette (MMAD)</t>
  </si>
  <si>
    <t>C145</t>
  </si>
  <si>
    <t>echeance.53.cfads_stresse</t>
  </si>
  <si>
    <t>Échéance 53 — CFADS stressé (MMAD)</t>
  </si>
  <si>
    <t>F145</t>
  </si>
  <si>
    <t>echeance.54.libelle</t>
  </si>
  <si>
    <t>Échéance 54 — libellé</t>
  </si>
  <si>
    <t>A146</t>
  </si>
  <si>
    <t>echeance.54.cfads</t>
  </si>
  <si>
    <t>Échéance 54 — CFADS central (MMAD)</t>
  </si>
  <si>
    <t>B146</t>
  </si>
  <si>
    <t>echeance.54.service</t>
  </si>
  <si>
    <t>Échéance 54 — service de la dette (MMAD)</t>
  </si>
  <si>
    <t>C146</t>
  </si>
  <si>
    <t>echeance.54.cfads_stresse</t>
  </si>
  <si>
    <t>Échéance 54 — CFADS stressé (MMAD)</t>
  </si>
  <si>
    <t>F146</t>
  </si>
  <si>
    <t>echeance.55.libelle</t>
  </si>
  <si>
    <t>Échéance 55 — libellé</t>
  </si>
  <si>
    <t>A147</t>
  </si>
  <si>
    <t>echeance.55.cfads</t>
  </si>
  <si>
    <t>Échéance 55 — CFADS central (MMAD)</t>
  </si>
  <si>
    <t>B147</t>
  </si>
  <si>
    <t>echeance.55.service</t>
  </si>
  <si>
    <t>Échéance 55 — service de la dette (MMAD)</t>
  </si>
  <si>
    <t>C147</t>
  </si>
  <si>
    <t>echeance.55.cfads_stresse</t>
  </si>
  <si>
    <t>Échéance 55 — CFADS stressé (MMAD)</t>
  </si>
  <si>
    <t>F147</t>
  </si>
  <si>
    <t>echeance.56.libelle</t>
  </si>
  <si>
    <t>Échéance 56 — libellé</t>
  </si>
  <si>
    <t>A148</t>
  </si>
  <si>
    <t>echeance.56.cfads</t>
  </si>
  <si>
    <t>Échéance 56 — CFADS central (MMAD)</t>
  </si>
  <si>
    <t>B148</t>
  </si>
  <si>
    <t>echeance.56.service</t>
  </si>
  <si>
    <t>Échéance 56 — service de la dette (MMAD)</t>
  </si>
  <si>
    <t>C148</t>
  </si>
  <si>
    <t>echeance.56.cfads_stresse</t>
  </si>
  <si>
    <t>Échéance 56 — CFADS stressé (MMAD)</t>
  </si>
  <si>
    <t>F148</t>
  </si>
  <si>
    <t>echeance.57.libelle</t>
  </si>
  <si>
    <t>Échéance 57 — libellé</t>
  </si>
  <si>
    <t>A149</t>
  </si>
  <si>
    <t>echeance.57.cfads</t>
  </si>
  <si>
    <t>Échéance 57 — CFADS central (MMAD)</t>
  </si>
  <si>
    <t>B149</t>
  </si>
  <si>
    <t>echeance.57.service</t>
  </si>
  <si>
    <t>Échéance 57 — service de la dette (MMAD)</t>
  </si>
  <si>
    <t>C149</t>
  </si>
  <si>
    <t>echeance.57.cfads_stresse</t>
  </si>
  <si>
    <t>Échéance 57 — CFADS stressé (MMAD)</t>
  </si>
  <si>
    <t>F149</t>
  </si>
  <si>
    <t>echeance.58.libelle</t>
  </si>
  <si>
    <t>Échéance 58 — libellé</t>
  </si>
  <si>
    <t>A150</t>
  </si>
  <si>
    <t>echeance.58.cfads</t>
  </si>
  <si>
    <t>Échéance 58 — CFADS central (MMAD)</t>
  </si>
  <si>
    <t>B150</t>
  </si>
  <si>
    <t>echeance.58.service</t>
  </si>
  <si>
    <t>Échéance 58 — service de la dette (MMAD)</t>
  </si>
  <si>
    <t>C150</t>
  </si>
  <si>
    <t>echeance.58.cfads_stresse</t>
  </si>
  <si>
    <t>Échéance 58 — CFADS stressé (MMAD)</t>
  </si>
  <si>
    <t>F150</t>
  </si>
  <si>
    <t>echeance.59.libelle</t>
  </si>
  <si>
    <t>Échéance 59 — libellé</t>
  </si>
  <si>
    <t>A151</t>
  </si>
  <si>
    <t>echeance.59.cfads</t>
  </si>
  <si>
    <t>Échéance 59 — CFADS central (MMAD)</t>
  </si>
  <si>
    <t>B151</t>
  </si>
  <si>
    <t>echeance.59.service</t>
  </si>
  <si>
    <t>Échéance 59 — service de la dette (MMAD)</t>
  </si>
  <si>
    <t>C151</t>
  </si>
  <si>
    <t>echeance.59.cfads_stresse</t>
  </si>
  <si>
    <t>Échéance 59 — CFADS stressé (MMAD)</t>
  </si>
  <si>
    <t>F151</t>
  </si>
  <si>
    <t>echeance.60.libelle</t>
  </si>
  <si>
    <t>Échéance 60 — libellé</t>
  </si>
  <si>
    <t>A152</t>
  </si>
  <si>
    <t>echeance.60.cfads</t>
  </si>
  <si>
    <t>Échéance 60 — CFADS central (MMAD)</t>
  </si>
  <si>
    <t>B152</t>
  </si>
  <si>
    <t>echeance.60.service</t>
  </si>
  <si>
    <t>Échéance 60 — service de la dette (MMAD)</t>
  </si>
  <si>
    <t>C152</t>
  </si>
  <si>
    <t>echeance.60.cfads_stresse</t>
  </si>
  <si>
    <t>Échéance 60 — CFADS stressé (MMAD)</t>
  </si>
  <si>
    <t>F152</t>
  </si>
  <si>
    <t>N4 — Liquidité (DSRA, lignes, cascade) : situation</t>
  </si>
  <si>
    <t>situation</t>
  </si>
  <si>
    <t>Très favorable, Favorable, Vigilance, Critique, Info. insuffisante</t>
  </si>
  <si>
    <t>N4.justification</t>
  </si>
  <si>
    <t>N4 — justification</t>
  </si>
  <si>
    <t>H166</t>
  </si>
  <si>
    <t>N5 — Levier et fonds propres à risque : situation</t>
  </si>
  <si>
    <t>N5.justification</t>
  </si>
  <si>
    <t>N5 — justification</t>
  </si>
  <si>
    <t>H167</t>
  </si>
  <si>
    <t>N6 — Exposition résiduelle taux / change / refinancement : situation</t>
  </si>
  <si>
    <t>N6.justification</t>
  </si>
  <si>
    <t>N6 — justification</t>
  </si>
  <si>
    <t>H168</t>
  </si>
  <si>
    <t>n3_llcr</t>
  </si>
  <si>
    <t>N3 hors P1 (note LLCR)</t>
  </si>
  <si>
    <t>liste:L_Notes</t>
  </si>
  <si>
    <t>100, 80, 50, 20, Info. insuffisante</t>
  </si>
  <si>
    <t>llcr</t>
  </si>
  <si>
    <t>LLCR (x)</t>
  </si>
  <si>
    <t>dsra</t>
  </si>
  <si>
    <t>fx</t>
  </si>
  <si>
    <t>Exposition nette en devises (% du service)</t>
  </si>
  <si>
    <t>0,12 = 12 %</t>
  </si>
  <si>
    <t>refi</t>
  </si>
  <si>
    <t>Dette à refinancer (% du nominal)</t>
  </si>
  <si>
    <t>0,35 = 35 %</t>
  </si>
  <si>
    <t>strat</t>
  </si>
  <si>
    <t>part_ach</t>
  </si>
  <si>
    <t>Part des recettes de l'acheteur principal</t>
  </si>
  <si>
    <t>0,9 = 90 %</t>
  </si>
  <si>
    <t>qual</t>
  </si>
  <si>
    <t>Qualité de l'acheteur principal</t>
  </si>
  <si>
    <t>liste:L_QualAch</t>
  </si>
  <si>
    <t>≥ BBB−, &lt; BBB−, Non noté</t>
  </si>
  <si>
    <t>duree_contrat</t>
  </si>
  <si>
    <t>Durée résiduelle du contrat de revenus (ans)</t>
  </si>
  <si>
    <t>duree_dette</t>
  </si>
  <si>
    <t>solution</t>
  </si>
  <si>
    <t>Solution documentée (contrat &lt; dette)</t>
  </si>
  <si>
    <t>plan_adapt</t>
  </si>
  <si>
    <t>Plan d'adaptation climatique financé</t>
  </si>
  <si>
    <t>sponsor</t>
  </si>
  <si>
    <t>Capacité résiduelle du sponsor suffisante</t>
  </si>
  <si>
    <t>operateur</t>
  </si>
  <si>
    <t>Opérateur remplaçable</t>
  </si>
  <si>
    <t>ecart_om</t>
  </si>
  <si>
    <t>Écart fin O&amp;M / fin de dette (ans)</t>
  </si>
  <si>
    <t>facteur</t>
  </si>
  <si>
    <t>Facteur commun au-delà de la limite</t>
  </si>
  <si>
    <t>D1.commentaire</t>
  </si>
  <si>
    <t>D1 — commentaire du domaine</t>
  </si>
  <si>
    <t>E190</t>
  </si>
  <si>
    <t>D1.1 Capacité financière du sponsor : situation</t>
  </si>
  <si>
    <t>E191</t>
  </si>
  <si>
    <t>D1.1.commentaire</t>
  </si>
  <si>
    <t>D1.1 — commentaire</t>
  </si>
  <si>
    <t>H191</t>
  </si>
  <si>
    <t>D1.2 Obligation juridique de soutien : situation</t>
  </si>
  <si>
    <t>E192</t>
  </si>
  <si>
    <t>D1.2.commentaire</t>
  </si>
  <si>
    <t>D1.2 — commentaire</t>
  </si>
  <si>
    <t>H192</t>
  </si>
  <si>
    <t>D1.3 Structure actionnariale et gouvernance : situation</t>
  </si>
  <si>
    <t>E193</t>
  </si>
  <si>
    <t>D1.3.commentaire</t>
  </si>
  <si>
    <t>D1.3 — commentaire</t>
  </si>
  <si>
    <t>H193</t>
  </si>
  <si>
    <t>D2.commentaire</t>
  </si>
  <si>
    <t>D2 — commentaire du domaine</t>
  </si>
  <si>
    <t>E194</t>
  </si>
  <si>
    <t>D2.1 Technologie et performance : situation</t>
  </si>
  <si>
    <t>E195</t>
  </si>
  <si>
    <t>D2.1.commentaire</t>
  </si>
  <si>
    <t>D2.1 — commentaire</t>
  </si>
  <si>
    <t>H195</t>
  </si>
  <si>
    <t>D2.2 Site, foncier physique et accès : situation</t>
  </si>
  <si>
    <t>E196</t>
  </si>
  <si>
    <t>D2.2.commentaire</t>
  </si>
  <si>
    <t>D2.2 — commentaire</t>
  </si>
  <si>
    <t>H196</t>
  </si>
  <si>
    <t>D2.3 Planning et complexité d'exécution : situation</t>
  </si>
  <si>
    <t>E197</t>
  </si>
  <si>
    <t>D2.3.commentaire</t>
  </si>
  <si>
    <t>D2.3 — commentaire</t>
  </si>
  <si>
    <t>H197</t>
  </si>
  <si>
    <t>D3.commentaire</t>
  </si>
  <si>
    <t>D3 — commentaire du domaine</t>
  </si>
  <si>
    <t>E198</t>
  </si>
  <si>
    <t>D3.1 Contrat EPC et constructeur : situation</t>
  </si>
  <si>
    <t>E199</t>
  </si>
  <si>
    <t>D3.1.commentaire</t>
  </si>
  <si>
    <t>D3.1 — commentaire</t>
  </si>
  <si>
    <t>H199</t>
  </si>
  <si>
    <t>D3.2 Interfaces et gouvernance de chantier : situation</t>
  </si>
  <si>
    <t>E200</t>
  </si>
  <si>
    <t>D3.2.commentaire</t>
  </si>
  <si>
    <t>D3.2 — commentaire</t>
  </si>
  <si>
    <t>H200</t>
  </si>
  <si>
    <t>D3.3 Assurances et garanties mobilisables : situation</t>
  </si>
  <si>
    <t>E201</t>
  </si>
  <si>
    <t>D3.3.commentaire</t>
  </si>
  <si>
    <t>D3.3 — commentaire</t>
  </si>
  <si>
    <t>H201</t>
  </si>
  <si>
    <t>D4.commentaire</t>
  </si>
  <si>
    <t>D4 — commentaire du domaine</t>
  </si>
  <si>
    <t>E202</t>
  </si>
  <si>
    <t>D4.1 Structure contractuelle des recettes : situation</t>
  </si>
  <si>
    <t>E203</t>
  </si>
  <si>
    <t>D4.1.commentaire</t>
  </si>
  <si>
    <t>D4.1 — commentaire</t>
  </si>
  <si>
    <t>H203</t>
  </si>
  <si>
    <t>D4.2 Mécanisme de prix et indexation : situation</t>
  </si>
  <si>
    <t>E204</t>
  </si>
  <si>
    <t>D4.2.commentaire</t>
  </si>
  <si>
    <t>D4.2 — commentaire</t>
  </si>
  <si>
    <t>H204</t>
  </si>
  <si>
    <t>D4.3 Marché et concurrence : situation</t>
  </si>
  <si>
    <t>E205</t>
  </si>
  <si>
    <t>D4.3.commentaire</t>
  </si>
  <si>
    <t>D4.3 — commentaire</t>
  </si>
  <si>
    <t>H205</t>
  </si>
  <si>
    <t>D5.commentaire</t>
  </si>
  <si>
    <t>D5 — commentaire du domaine</t>
  </si>
  <si>
    <t>E206</t>
  </si>
  <si>
    <t>D5.1 Opérateur et contrat O&amp;M : situation</t>
  </si>
  <si>
    <t>E207</t>
  </si>
  <si>
    <t>D5.1.commentaire</t>
  </si>
  <si>
    <t>D5.1 — commentaire</t>
  </si>
  <si>
    <t>H207</t>
  </si>
  <si>
    <t>D5.2 Performance technique et disponibilité : situation</t>
  </si>
  <si>
    <t>E208</t>
  </si>
  <si>
    <t>D5.2.commentaire</t>
  </si>
  <si>
    <t>D5.2 — commentaire</t>
  </si>
  <si>
    <t>H208</t>
  </si>
  <si>
    <t>D5.3 Coûts, gros entretien et dépendances : situation</t>
  </si>
  <si>
    <t>E209</t>
  </si>
  <si>
    <t>D5.3.commentaire</t>
  </si>
  <si>
    <t>D5.3 — commentaire</t>
  </si>
  <si>
    <t>H209</t>
  </si>
  <si>
    <t>D6.commentaire</t>
  </si>
  <si>
    <t>D6 — commentaire du domaine</t>
  </si>
  <si>
    <t>E210</t>
  </si>
  <si>
    <t>D6.1 Acheteur ou payeur principal : situation</t>
  </si>
  <si>
    <t>E211</t>
  </si>
  <si>
    <t>D6.1.commentaire</t>
  </si>
  <si>
    <t>D6.1 — commentaire</t>
  </si>
  <si>
    <t>H211</t>
  </si>
  <si>
    <t>D6.2 Fournisseurs critiques : situation</t>
  </si>
  <si>
    <t>E212</t>
  </si>
  <si>
    <t>D6.2.commentaire</t>
  </si>
  <si>
    <t>D6.2 — commentaire</t>
  </si>
  <si>
    <t>H212</t>
  </si>
  <si>
    <t>D6.3 Prêteurs et consortium : situation</t>
  </si>
  <si>
    <t>E213</t>
  </si>
  <si>
    <t>D6.3.commentaire</t>
  </si>
  <si>
    <t>D6.3 — commentaire</t>
  </si>
  <si>
    <t>H213</t>
  </si>
  <si>
    <t>D8.commentaire</t>
  </si>
  <si>
    <t>D8 — commentaire du domaine</t>
  </si>
  <si>
    <t>E214</t>
  </si>
  <si>
    <t>D8.1 Documentation contractuelle et droits directs : situation</t>
  </si>
  <si>
    <t>E215</t>
  </si>
  <si>
    <t>D8.1.commentaire</t>
  </si>
  <si>
    <t>D8.1 — commentaire</t>
  </si>
  <si>
    <t>H215</t>
  </si>
  <si>
    <t>D8.2 Sûretés et opposabilité : situation</t>
  </si>
  <si>
    <t>E216</t>
  </si>
  <si>
    <t>D8.2.commentaire</t>
  </si>
  <si>
    <t>D8.2 — commentaire</t>
  </si>
  <si>
    <t>H216</t>
  </si>
  <si>
    <t>D8.3 Autorisations, cadre réglementaire, litiges : situation</t>
  </si>
  <si>
    <t>E217</t>
  </si>
  <si>
    <t>D8.3.commentaire</t>
  </si>
  <si>
    <t>D8.3 — commentaire</t>
  </si>
  <si>
    <t>H217</t>
  </si>
  <si>
    <t>D9.commentaire</t>
  </si>
  <si>
    <t>D9 — commentaire du domaine</t>
  </si>
  <si>
    <t>E218</t>
  </si>
  <si>
    <t>D9.1 Environnement et ressources : situation</t>
  </si>
  <si>
    <t>E219</t>
  </si>
  <si>
    <t>D9.1.commentaire</t>
  </si>
  <si>
    <t>D9.1 — commentaire</t>
  </si>
  <si>
    <t>H219</t>
  </si>
  <si>
    <t>D9.2 Social et acceptabilité : situation</t>
  </si>
  <si>
    <t>E220</t>
  </si>
  <si>
    <t>D9.2.commentaire</t>
  </si>
  <si>
    <t>D9.2 — commentaire</t>
  </si>
  <si>
    <t>H220</t>
  </si>
  <si>
    <t>D9.3 Gouvernance ESG et exécution : situation</t>
  </si>
  <si>
    <t>E221</t>
  </si>
  <si>
    <t>D9.3.commentaire</t>
  </si>
  <si>
    <t>D9.3 — commentaire</t>
  </si>
  <si>
    <t>H221</t>
  </si>
  <si>
    <t>D9.4 Climat résiduel : situation</t>
  </si>
  <si>
    <t>E222</t>
  </si>
  <si>
    <t>D9.4.commentaire</t>
  </si>
  <si>
    <t>D9.4 — commentaire</t>
  </si>
  <si>
    <t>H222</t>
  </si>
  <si>
    <t>verrou.X1</t>
  </si>
  <si>
    <t>X1 — Activité interdite par la loi marocaine ou par la politique d'exclusion de la banque</t>
  </si>
  <si>
    <t>verrou.X2</t>
  </si>
  <si>
    <t>X2 — Autorisation légalement indispensable juridiquement impossible à obtenir</t>
  </si>
  <si>
    <t>E244</t>
  </si>
  <si>
    <t>verrou.X3</t>
  </si>
  <si>
    <t>X3 — Contrepartie clé sous sanctions ou signalée au titre du dispositif LBC-FT</t>
  </si>
  <si>
    <t>E245</t>
  </si>
  <si>
    <t>verrou.X4</t>
  </si>
  <si>
    <t>X4 — Contrepartie clé en défaut avéré non régularisé</t>
  </si>
  <si>
    <t>E246</t>
  </si>
  <si>
    <t>verrou.B1</t>
  </si>
  <si>
    <t>B1 — Contrat de revenus principal non signé (régimes R1 à R3)</t>
  </si>
  <si>
    <t>E247</t>
  </si>
  <si>
    <t>verrou.B2</t>
  </si>
  <si>
    <t>B2 — Contrat EPC non signé en phase P1</t>
  </si>
  <si>
    <t>E248</t>
  </si>
  <si>
    <t>verrou.B3</t>
  </si>
  <si>
    <t>B3 — Besoin à terminaison supérieur aux ressources engagées (couverture &lt; 95 % en P1)</t>
  </si>
  <si>
    <t>E249</t>
  </si>
  <si>
    <t>verrou.B4</t>
  </si>
  <si>
    <t>B4 — Droit d'occupation du site non établi, ou durée &lt; dette + 24 mois</t>
  </si>
  <si>
    <t>E250</t>
  </si>
  <si>
    <t>verrou.B5</t>
  </si>
  <si>
    <t>B5 — Avis juridique d'opposabilité des sûretés absent ou avec réserve substantielle</t>
  </si>
  <si>
    <t>E251</t>
  </si>
  <si>
    <t>verrou.B6</t>
  </si>
  <si>
    <t>B6 — modèle de flux complet et rapproché ? (Oui = pas de blocage)</t>
  </si>
  <si>
    <t>E252</t>
  </si>
  <si>
    <t>verrou.B7</t>
  </si>
  <si>
    <t>B7 — Complétude des critères critiques inférieure à 100 %</t>
  </si>
  <si>
    <t>E253</t>
  </si>
  <si>
    <t>verrou.B8</t>
  </si>
  <si>
    <t>B8 — Acceptabilité environnementale non obtenue au stade requis</t>
  </si>
  <si>
    <t>E254</t>
  </si>
  <si>
    <t>bloc13.synthese</t>
  </si>
  <si>
    <t>Bloc 13 — Synthèse de l'analyste</t>
  </si>
  <si>
    <t>bloc13.forces</t>
  </si>
  <si>
    <t>Bloc 13 — Forces</t>
  </si>
  <si>
    <t>B281</t>
  </si>
  <si>
    <t>bloc13.faiblesses</t>
  </si>
  <si>
    <t>Bloc 13 — Faiblesses et mitigants</t>
  </si>
  <si>
    <t>B282</t>
  </si>
  <si>
    <t>bloc13.conditions</t>
  </si>
  <si>
    <t>Bloc 13 — Conditions proposées</t>
  </si>
  <si>
    <t>B283</t>
  </si>
  <si>
    <t>bloc13.justif</t>
  </si>
  <si>
    <t>Bloc 13 — Justification des écarts</t>
  </si>
  <si>
    <t>bloc13.avis</t>
  </si>
  <si>
    <t>Bloc 13 — avis risques</t>
  </si>
  <si>
    <t>liste:L_Avis</t>
  </si>
  <si>
    <t>Favorable, Favorable sous conditions, Réservé, Défavorable</t>
  </si>
  <si>
    <t>bloc13.avis.motif</t>
  </si>
  <si>
    <t>Bloc 13 — motif de l'avis</t>
  </si>
  <si>
    <t>D285</t>
  </si>
  <si>
    <t>Revue des propositions de l'IA</t>
  </si>
  <si>
    <t>Rempli par la macro « Importer les propositions IA ». Vérifiez chaque proposition (en bleu, avec sa source), choisissez Accepter ou Rejeter en colonne H, puis cliquez « Appliquer les décisions ». Chaque décision est tracée dans le Journal.</t>
  </si>
  <si>
    <t>Dossier cible</t>
  </si>
  <si>
    <t>Fichier importé</t>
  </si>
  <si>
    <t>Contrôle des codes</t>
  </si>
  <si>
    <t>Importé le</t>
  </si>
  <si>
    <t>Valeur actuelle</t>
  </si>
  <si>
    <t>Valeur proposée</t>
  </si>
  <si>
    <t>Source</t>
  </si>
  <si>
    <t>Confiance</t>
  </si>
  <si>
    <t>Décision</t>
  </si>
  <si>
    <t>Remarque</t>
  </si>
  <si>
    <t>Outil de scoring Project Finance — modèle V8</t>
  </si>
  <si>
    <t>Version 3 · dix-huit dossiers préchargés · situations descriptives · commentaires et conditions · comparaison · concordance · import des propositions de l'IA.</t>
  </si>
  <si>
    <t>SCORER UN PROJET EN 5 ÉTAPES</t>
  </si>
  <si>
    <t>1. Cliquez « Nouveau dossier » (à droite) : dossier vide, ou copie d'un dossier existant avec « Dupliquer ». Avec un fichier de propositions de l'IA, cliquez « Nouveau dossier depuis l'IA ».</t>
  </si>
  <si>
    <t>2. Saisissez d'abord les codes (client T24, radical à 7 chiffres, code projet PF-AAAA-NNNN), puis remplissez les cellules ORANGE : ce sont les saisies obligatoires encore vides. Sélectionnez une cellule pour lire son aide.</t>
  </si>
  <si>
    <t>3. Grille et indicateurs N4 à N6 : choisissez dans la liste la situation qui décrit le dossier ; la note s'affiche à côté. Une situation Critique ou « Info. insuffisante » exige un commentaire.</t>
  </si>
  <si>
    <t>4. Lisez le tableau de bord : note approuvée, plafonds et verrous actifs, statut. Rédigez le bloc 13 « Commentaires et conditions » : synthèse obligatoire, justification des écarts si un plafond ou un verrou est actif.</t>
  </si>
  <si>
    <t>5. Cliquez « Contrôler la saisie », puis « Fiche comité » pour imprimer la page de présentation ou l'exporter en PDF.</t>
  </si>
  <si>
    <t>LÉGENDE</t>
  </si>
  <si>
    <t>Saisie obligatoire manquante</t>
  </si>
  <si>
    <t>Calcul</t>
  </si>
  <si>
    <t>Note ≥ 8</t>
  </si>
  <si>
    <t>Note 6 ou 7</t>
  </si>
  <si>
    <t>Note ≤ 5</t>
  </si>
  <si>
    <t>Les cellules de calcul sont protégées (sans mot de passe) pour éviter d'écraser une formule par erreur. Pour modifier la structure : onglet Révision › Ôter la protection de la feuille.</t>
  </si>
  <si>
    <t>CATALOGUE DES 18 CAS D'ÉTUDE — dossiers fictifs ; cliquez sur un onglet pour l'ouvrir</t>
  </si>
  <si>
    <t>Projet</t>
  </si>
  <si>
    <t>Régime · phase</t>
  </si>
  <si>
    <t>Note approuvée</t>
  </si>
  <si>
    <t>Situations illustrées</t>
  </si>
  <si>
    <t>Ce que ce cas enseigne</t>
  </si>
  <si>
    <t>Centrale solaire photovoltaïque 80 MWc</t>
  </si>
  <si>
    <t>R1 · P1</t>
  </si>
  <si>
    <t>Référence P1, contrat ferme R1 ; marge de financement à terminaison étroite (N3 = 80).</t>
  </si>
  <si>
    <t>Cas de référence. Deux points méritent attention malgré la note élevée : le test de financement à terminaison ne donne que 5,7 % de marge, ce qui vaut 8 et non 10 sur N3 ; et le DSCR sous stress P90 tombe à 1,12, soit Vigilance. Un dossier solide n'obtient pas 10 partout.</t>
  </si>
  <si>
    <t>Usine de dessalement 100 000 m³/jour</t>
  </si>
  <si>
    <t>R2 · P2</t>
  </si>
  <si>
    <t>Paiement à la disponibilité R2 en montée en charge P2 ; risque énergie partiellement retenu.</t>
  </si>
  <si>
    <t>Un paiement à la disponibilité n'est pas un take-or-pay. L'acheteur porte le risque de demande ; le projet porte le risque de performance et, ici, une part du risque énergie. La phase de montée en charge relève le seuil de 0,05, et le stress énergie fait tomber N2 à 20, ce qui suffit à ramener le noyau à 57,5.</t>
  </si>
  <si>
    <t>Hôtel 4 étoiles, 220 clés</t>
  </si>
  <si>
    <t>R4 · P2</t>
  </si>
  <si>
    <t>Anti-compensation : score 73,7 ramené à 4 par C2 et C3 (creux saisonnier).</t>
  </si>
  <si>
    <t>C'est la démonstration centrale du modèle. Le dossier est excellent presque partout : D1 et D8 à 100, D3 à 95, D2 à 95. Le score calculé atteint 73,7, soit la note 7. Mais le DSCR minimum tombe à 1,06 sur le creux estival, très en dessous du seuil critique de 1,60 applicable à un hôtel exposé au marché, et le DSCR sous stress passe sous 1,00. Les plafonds C2 et C3 ramènent la note approuvée à 4. Aucune qualité de sponsor ne compense une trésorerie qui ne couvre pas une échéance.</t>
  </si>
  <si>
    <t>Unité agro-industrielle de trituration et conditionnement</t>
  </si>
  <si>
    <t>R3 · P3</t>
  </si>
  <si>
    <t>Piège du ratio annuel : 1,53 en annuel, 0,59 par échéance ; change non couvert.</t>
  </si>
  <si>
    <t>Le piège du ratio annuel. Le DSCR annuel ressort à 1,53, ce qui aurait été lu comme Favorable sur l'ancienne ligne sectorielle agro-industrie. Le DSCR minimum par échéance est de 0,59 sur le semestre d'intercampagne : l'échéance n'est pas payable sans trésorerie externe. Le plafond C1 s'applique, le stress hydrique fait passer le DSCR stressé sous 1,00 (C3) et l'exposition de change non couverte déclenche C6.</t>
  </si>
  <si>
    <t>Unité agro-industrielle — structure restructurée</t>
  </si>
  <si>
    <t>Même projet que C4A restructuré : la note passe de 3 à 6 sans changement de marché.</t>
  </si>
  <si>
    <t>Trois corrections de montage, aucun changement de marché ni de grille qualitative, et la note passe de 3 à 6. Le modèle n'a pas seulement sanctionné : il a désigné précisément quoi corriger — le profil d'amortissement, le niveau de dette et la couverture de change.</t>
  </si>
  <si>
    <t>Centrale PV d’autoproduction 12 MWc</t>
  </si>
  <si>
    <t>Régime simplifié S : grille allégée, plafonds intacts (C10, acheteur unique non noté).</t>
  </si>
  <si>
    <t>Le régime simplifié en action : 25 notes de sous-critère au lieu de 75, aucune revue externe imposée. Le noyau financier reste complet et ressort à 97, ce qui est excellent. Mais la concentration sur un acheteur unique non noté déclenche le plafond C10, et la note approuvée tombe de 8 à 6. Alléger la grille de jugement n'allège jamais les plafonds.</t>
  </si>
  <si>
    <t>Parc éolien terrestre 140 MW</t>
  </si>
  <si>
    <t>Dossier de référence : régime M, aucun plafond, note 10.</t>
  </si>
  <si>
    <t>Le dossier de référence : régime M (aucune condition d'escalade), toutes les mesures du noyau favorables, aucun plafond. Il montre ce qu'il faut réunir pour atteindre la note 10.</t>
  </si>
  <si>
    <t>Usine de dessalement couplée à l'irrigation, 120 000 m³/jour</t>
  </si>
  <si>
    <t>Montée en charge P2 ; climat élevé neutralisé par un plan financé ; régime L.</t>
  </si>
  <si>
    <t>Montre la majoration de phase P2 (+ 0,05 sur les seuils), le noyau hors construction (N3 fondé sur le LLCR), un risque climatique élevé neutralisé par un plan d'adaptation financé, et l'escalade en régime L par la durée du contrat et la part en devises.</t>
  </si>
  <si>
    <t>Centre de données Tier III, 24 MW informatiques</t>
  </si>
  <si>
    <t>R3 · P2</t>
  </si>
  <si>
    <t>Plafond C3 : DSCR défavorable sous 1,00 ; escalade M → L par le plafond.</t>
  </si>
  <si>
    <t>Le scénario défavorable fait tomber le DSCR sous 1,00 : plafond C3 (note 4 au plus) malgré un score de 6. Le plafond fait aussi passer le régime calculé M en régime L.</t>
  </si>
  <si>
    <t>Autoroute à péage de 95 km</t>
  </si>
  <si>
    <t>R4 · P3</t>
  </si>
  <si>
    <t>Régime R4 : seuils les plus exigeants ; C2 actif à 1,37 ; C5 sans objet.</t>
  </si>
  <si>
    <t>Régime R4 : les seuils DSCR sont les plus exigeants (1,40 critique avec Δ transport). Un DSCR minimum de 1,37 déclenche C2. Le plafond C5 est sans objet en R4, faute de contrat de recettes. Le régime R4 impose le régime L.</t>
  </si>
  <si>
    <t>Terminal à conteneurs de 1,2 million d'EVP</t>
  </si>
  <si>
    <t>R3 · P1</t>
  </si>
  <si>
    <t>Construction sans EPC signé (B2) ; C10 et C14 ; couverture 97 % avec plan de remédiation.</t>
  </si>
  <si>
    <t>Construction avec un financement à terminaison couvert à 97 % seulement : N3 Vigilance grâce au plan de remédiation approuvé (sans plan, Critique). EPC non signé : blocage B2, note provisoire. Concentration sur un armateur non noté (C10) et exposition du groupe sur le transport maritime (C14).</t>
  </si>
  <si>
    <t>Centre hospitalier de 600 lits en partenariat public-privé</t>
  </si>
  <si>
    <t>R2 · P1</t>
  </si>
  <si>
    <t>Informations insuffisantes (B7, C15) ; opérateur non remplaçable (C13).</t>
  </si>
  <si>
    <t>Deux sous-critères en « Info. insuffisante » : ils comptent pour 20, la complétude tombe sous 100 % (blocage B7) et le plafond C15 s'applique. Le contrat de maintenance biomédicale expire 7 ans avant la dette avec un prestataire non remplaçable (C13).</t>
  </si>
  <si>
    <t>Centrale à cycle combiné au gaz de 450 MW</t>
  </si>
  <si>
    <t>R1 · P3</t>
  </si>
  <si>
    <t>LLCR sous 1,10 (C4) et ballon de 35 % sans stratégie (C8).</t>
  </si>
  <si>
    <t>Un LLCR de 1,08 déclenche C4 (note 4 au plus) ; le ballon de 35 % sans stratégie de refinancement approuvée déclenche C8 (5). Le plafond le plus contraignant s'applique : 4.</t>
  </si>
  <si>
    <t>Ensemble de bureaux et commerces loués, 48 000 m²</t>
  </si>
  <si>
    <t>Levier 88 % (C9) et DSRA de 2 mois (C7) ; N4 et N5 Critiques.</t>
  </si>
  <si>
    <t>Deux plafonds se cumulent : DSRA de 2 mois (C7, note 6 au plus) et quote-part de dette de 88 % (C9, note 5 au plus). La note approuvée retient le plus contraignant, 5. Le plafond fait passer le régime M en L.</t>
  </si>
  <si>
    <t>Usine de verre plat de 600 tonnes/jour</t>
  </si>
  <si>
    <t>Avis juridique avec réserve (B5) ; contrat plus court que la dette (C5) ; change (C6).</t>
  </si>
  <si>
    <t>Différé : les deux premières périodes (service nul) sont signalées et exclues du DSCR minimum. Exposition en euros non couverte (C6) et contrat d'enlèvement plus court que la dette sans solution (C5). L'avis juridique sur les sûretés n'est pas reçu : blocage B5 au stade du décaissement.</t>
  </si>
  <si>
    <t>Unité de trituration d'olives et de conditionnement d'huile</t>
  </si>
  <si>
    <t>Régime S en construction : petit projet, contrat d'achat ferme, aucun plafond.</t>
  </si>
  <si>
    <t>Toutes les conditions du régime simplifié S sont réunies : dossier allégé. L'écart sectoriel Δ de + 0,15 rend les seuils plus exigeants qu'en énergie : un DSCR minimum de 1,37 n'est que Favorable.</t>
  </si>
  <si>
    <t>Complexe hôtelier balnéaire de 420 chambres</t>
  </si>
  <si>
    <t>CFADS négatif en basse saison (C1) ; droit d'occupation non établi (B4) ; climat sans plan (C11).</t>
  </si>
  <si>
    <t>Le cas le plus dégradé : seuils les plus élevés (R4, Δ tourisme + 0,20, majoration P2), CFADS négatif (N1 Critique d'office), DSCR minimum sous 1,05 (C1, note 3 au plus), risque d'érosion côtière sans plan (C11), et titre d'occupation insuffisant (B4).</t>
  </si>
  <si>
    <t>Mine de cuivre à ciel ouvert et usine de concentration</t>
  </si>
  <si>
    <t>R4 · P1</t>
  </si>
  <si>
    <t>Exclusion X3 (contrepartie sous sanctions) : aucune note ; B3 et B8 en plus.</t>
  </si>
  <si>
    <t>Une exclusion X (contrepartie clé sous sanctions) : aucune note n'est produite, quel que soit le score. Le calcul est présenté pour l'apprentissage : il montre aussi un financement à terminaison couvert à 92 % (N3 Critique et blocage B3 détecté automatiquement), un sponsor sans capacité résiduelle (C12) et l'acceptabilité environnementale non obtenue (B8).</t>
  </si>
  <si>
    <t>VOS DOSSIERS — tous les onglets de dossier, lus dans la synthèse</t>
  </si>
  <si>
    <t>Manquantes</t>
  </si>
  <si>
    <t>BON À SAVOIR</t>
  </si>
  <si>
    <t>Les dix-huit dossiers fournis sont FICTIFS et pédagogiques ; leurs codes client, radicaux, codes projet et numéros de crédit sont fictifs. Les seuils, poids et plafonds de l'onglet Paramètres sont des paramètres CANDIDATS, non approuvés par le Comité de validation : ne pas les utiliser en production avant validation.</t>
  </si>
  <si>
    <t>Macros : activez-les à l'ouverture (bandeau « Activer le contenu »). Sans macros, tout se calcule quand même ; seuls les boutons sont inactifs. Pour créer un dossier sans macros : clic droit sur un onglet › Afficher › Modèle, puis clic droit sur Modèle › Déplacer ou copier › Créer une copie ; renommez la copie et tapez son nom en ligne 4 de la Synthèse.</t>
  </si>
  <si>
    <t>Automatique : seuils DSCR (régime + secteur + phase), DSCR par échéance et stressé, N1 à N3, notes de la grille et de N4 à N6 déduites des situations choisies, plafonds C1 à C15, verrous B3 et B7, régime S / M / L avec escalade.</t>
  </si>
  <si>
    <t>Onglets : Référentiel des niveaux (situations de chaque sous-critère, variantes sectorielles), Comparaison (deux dossiers côte à côte), Concordance (notes de référence des 18 cas), Champs IA (format du fichier de propositions), Revue IA, Diagnostic (corrections apportées) et Journal (trace des actions).</t>
  </si>
  <si>
    <t>Propositions de l'IA : l'outil web produit un fichier de propositions à partir des documents du projet. « Importer les propositions IA » vérifie les codes client et projet, affiche chaque proposition en bleu avec sa source à côté de la valeur actuelle ; rien n'est écrit dans le dossier sans votre acceptation, et chaque décision est tracée.</t>
  </si>
  <si>
    <t>Diagnostic du classeur d'origine et corrections des versions 2 et 3</t>
  </si>
  <si>
    <t>Chaque constat est vérifié par recalcul des formules ; la colonne de droite décrit la correction apportée dans cet outil.</t>
  </si>
  <si>
    <t>N°</t>
  </si>
  <si>
    <t>Zone</t>
  </si>
  <si>
    <t>Gravité</t>
  </si>
  <si>
    <t>Constat (classeur d'origine « Cas_Etude_PF_Maroc_V8.xlsx »)</t>
  </si>
  <si>
    <t>Correction dans l'outil</t>
  </si>
  <si>
    <t>Synthèse</t>
  </si>
  <si>
    <t>Élevée</t>
  </si>
  <si>
    <t>L'onglet Synthèse ne contient aucune formule : ses 84 valeurs sont saisies en dur. Modifier un cas ne change rien à la synthèse.</t>
  </si>
  <si>
    <t>Synthèse lue dans les dossiers par formule (INDIRECT sur l'onglet et l'adresse) ; colonnes ajoutées automatiquement par la macro.</t>
  </si>
  <si>
    <t>Moyenne</t>
  </si>
  <si>
    <t>« DSCR annuel agrégé » porte deux définitions différentes : l'onglet de cas calcule un ratio sur toutes les périodes (1,368 pour C1), la synthèse affiche le minimum des ratios annuels (1,347). Écart dans les 6 cas.</t>
  </si>
  <si>
    <t>Deux lignes distinctes et nommées : « DSCR moyen sur l'horizon » et « DSCR annuel minimum, semestres agrégés », toutes deux indicatives.</t>
  </si>
  <si>
    <t>Routage</t>
  </si>
  <si>
    <t>Régime, secteur et phase sont du texte : les seuils pointent sur des cellules fixes du barème (ex. =Barèmes!B6) choisies à la main pour chaque cas. Changer le régime ou la phase ne change ni les seuils ni les poids de domaine.</t>
  </si>
  <si>
    <t>Listes déroulantes ; seuils et poids retrouvés par INDEX/EQUIV sur le code choisi.</t>
  </si>
  <si>
    <t>Noyau financier</t>
  </si>
  <si>
    <t>Les poids N1 à N6 sont recopiés en dur dans chaque cas au lieu de pointer sur le barème ; les ancres 20/50/80/100 sont écrites dans les formules.</t>
  </si>
  <si>
    <t>Poids et ancres lus dans Paramètres (plages nommées) : un changement s'applique à tous les dossiers.</t>
  </si>
  <si>
    <t>Le DSCR sous scénario défavorable est une constante saisie (ex. 1,117) : il ne dépend pas de l'échéancier. Modifier un CFADS ne change pas N2.</t>
  </si>
  <si>
    <t>DSCR stressé recalculé à chaque période à partir d'un choc sur le CFADS, ou d'un CFADS stressé saisi. Choc des cas calibré pour reproduire la valeur d'origine.</t>
  </si>
  <si>
    <t>N3 est saisi même en phase de construction, alors que la couverture à terminaison est calculée juste au-dessus et que la doctrine fixe le barème (≥ 110 % → 10 ; 100-110 % → 8 ; 95-100 % avec plan → 5 ; sinon 2 et B3).</t>
  </si>
  <si>
    <t>N3 calculé en P1 à partir de la couverture ; saisi hors P1 (LLCR), le barème LLCR n'étant pas publié par la doctrine.</t>
  </si>
  <si>
    <t>Plafonds</t>
  </si>
  <si>
    <t>Les plafonds sont tapés à la main dans chaque cas. Aucune règle ne se déclenche seule : baisser un CFADS sous le seuil critique ne plafonne pas la note. C2 n'est pas listé pour le cas 4A alors que son DSCR (0,59) est sous le seuil critique (1,35).</t>
  </si>
  <si>
    <t>Les quinze plafonds C1 à C15 sont évalués par formule à partir des données ; « n.r. » signale une donnée manquante.</t>
  </si>
  <si>
    <t>Verrous</t>
  </si>
  <si>
    <t>Les exclusions X1-X4 et les blocages B1-B8 de la doctrine sont absents du classeur.</t>
  </si>
  <si>
    <t>Section Verrous : saisie Oui/Non, détection automatique de B3 (couverture) et B7 (complétude), statut de la note.</t>
  </si>
  <si>
    <t>Complétude</t>
  </si>
  <si>
    <t>Aucun contrôle de complétude ni plafond C15 : une grille partiellement remplie produit une note normale.</t>
  </si>
  <si>
    <t>Couverture pondérée et complétude calculées ; C15 et B7 déclenchés en dessous des seuils ; information insuffisante comptée à 20, sans renormalisation.</t>
  </si>
  <si>
    <t>Proportionnalité</t>
  </si>
  <si>
    <t>Le régime S/M/L est saisi. Trois cas contredisent la doctrine : C1 (contrat de 25 ans &gt; 20 ans), C4A (devises non couvertes, plafonds actifs) et C4B (exposition de change résiduelle de 16 %) relèvent du régime L, non M.</t>
  </si>
  <si>
    <t>Régime calculé à partir des conditions S et d'escalade L, puis escalade automatique (verrou : S → M ; plafond : M → L).</t>
  </si>
  <si>
    <t>Aucune liste de validation : une note de 75 ou 90 est acceptée alors que l'échelle ne connaît que 100, 80, 50 et 20.</t>
  </si>
  <si>
    <t>Listes déroulantes sur toutes les notes, codes et réponses Oui/Non.</t>
  </si>
  <si>
    <t>Pas de garde : un service de la dette nul (différé) produit #DIV/0!, un CFADS négatif est classé comme un ratio ordinaire.</t>
  </si>
  <si>
    <t>Différé signalé comme tel ; CFADS négatif noté Critique d'office sur N1, conformément à la doctrine.</t>
  </si>
  <si>
    <t>Justifications</t>
  </si>
  <si>
    <t>Faible</t>
  </si>
  <si>
    <t>Les justifications contiennent des chiffres figés (« DSCR minimum 1.296 », avec un point) qui deviennent faux dès qu'une saisie change.</t>
  </si>
  <si>
    <t>Mesures N1 à N3 rédigées par formule à partir des valeurs calculées, au format français.</t>
  </si>
  <si>
    <t>Échéancier</t>
  </si>
  <si>
    <t>Chaque cas ne comporte que 4 à 6 périodes représentatives : le « DSCR minimum » est le minimum d'un échantillon, non de toutes les échéances, ce que la doctrine exige (blocage B6).</t>
  </si>
  <si>
    <t>Échéancier de 60 périodes. Les cas conservent leurs périodes d'origine ; B6 est renseigné « Oui » avec un commentaire rappelant la limite.</t>
  </si>
  <si>
    <t>Outil</t>
  </si>
  <si>
    <t>Aucune macro : ajouter un dossier suppose de recopier un onglet à la main et de réécrire la synthèse.</t>
  </si>
  <si>
    <t>Macros : nouveau dossier, duplication, suppression, contrôle de saisie, recalcul, export PDF, synthèse et journal.</t>
  </si>
  <si>
    <t>Résultats : classeur d'origine face à l'outil corrigé (colonnes « Outil » lues en direct dans les dossiers)</t>
  </si>
  <si>
    <t>Cas</t>
  </si>
  <si>
    <t>Note approuvée d'origine</t>
  </si>
  <si>
    <t>Note approuvée — outil</t>
  </si>
  <si>
    <t>Régime d'origine</t>
  </si>
  <si>
    <t>Régime — outil</t>
  </si>
  <si>
    <t>Plafonds — outil</t>
  </si>
  <si>
    <t>Les notes approuvées sont inchangées : les corrections portent sur la mécanique (routage, plafonds, stress, synthèse), pas sur le jugement des cas. Le régime de proportionnalité change pour C1, C4A et C4B, en application de la doctrine. Les nouveaux champs (exposition bancaire, qualité de l'acheteur, etc.) sont reconstitués à partir du récit : leurs cellules portent un commentaire « à confirmer ».</t>
  </si>
  <si>
    <t>Version 2 de l'outil : défauts de la première version corrigés</t>
  </si>
  <si>
    <t>Défaut constaté (version 1)</t>
  </si>
  <si>
    <t>Correction (version 2)</t>
  </si>
  <si>
    <t>Tableau de bord</t>
  </si>
  <si>
    <t>Couleur de la note : la règle « valeur ≥ 8 » classe un texte au-dessus de tout nombre. Un dossier hors périmètre (« — ») ou vide s'affichait en vert, comme une bonne note.</t>
  </si>
  <si>
    <t>Règles sur formule (ESTNUM) : vert, ambre ou rouge seulement pour une note numérique ; « — » en rouge.</t>
  </si>
  <si>
    <t>Même défaut sur la ligne NOTE APPROUVÉE : les colonnes sans dossier apparaissaient en vert.</t>
  </si>
  <si>
    <t>Même correction, appliquée aussi à l'accueil et à la fiche comité.</t>
  </si>
  <si>
    <t>Un indicateur N4 à N6 laissé vide ou noté « Info. insuffisante » comptait 0 sans rendre la note provisoire : le dossier restait « validable » avec un noyau incomplet.</t>
  </si>
  <si>
    <t>Complétude étendue à N1-N6 (B7 et C15 se déclenchent) ; indicateur non noté compté à 20, comme dans la grille.</t>
  </si>
  <si>
    <t>C5 (contrat de revenus plus court que la dette) restait « non évalué » en régime R4, où il n'existe pas de contrat de revenus.</t>
  </si>
  <si>
    <t>C5 indiqué « n.a. » (sans objet) en régime R4.</t>
  </si>
  <si>
    <t>Aucune protection : une frappe dans une cellule de formule l'écrasait sans alerte et faussait la note.</t>
  </si>
  <si>
    <t>Feuilles protégées sans mot de passe : seules les cellules jaunes acceptent une saisie.</t>
  </si>
  <si>
    <t>Rien n'indiquait ce qui restait à saisir ; montants et pourcentages acceptaient n'importe quelle valeur (15 au lieu de 15 %).</t>
  </si>
  <si>
    <t>Saisies obligatoires vides en orange, ligne « À SAISIR » avec lien vers la prochaine cellule, info-bulles, contrôles numériques avec message en français.</t>
  </si>
  <si>
    <t>Macros</t>
  </si>
  <si>
    <t>L'export PDF échouait pour un classeur ouvert depuis OneDrive ou SharePoint (chemin web) et imposait le dossier du classeur.</t>
  </si>
  <si>
    <t>Fenêtre « Enregistrer sous » pour choisir l'emplacement ; message explicite en cas d'échec.</t>
  </si>
  <si>
    <t>Un onglet copié à la main depuis le Modèle (sans macros) n'était pas reconnu par la synthèse ; le Modèle visible pouvait être rempli par erreur.</t>
  </si>
  <si>
    <t>Copies du Modèle reconnues ; Modèle masqué.</t>
  </si>
  <si>
    <t>Le contrôle de saisie s'interrompait sur une erreur d'exécution si une cellule contenait une valeur d'erreur (#N/A).</t>
  </si>
  <si>
    <t>Lecture des cellules protégée contre les valeurs d'erreur ; contrôle fondé sur la même check-list que la ligne « À SAISIR ».</t>
  </si>
  <si>
    <t>Ergonomie</t>
  </si>
  <si>
    <t>Amélioration</t>
  </si>
  <si>
    <t>Pas de page de présentation au comité ; libellés de l'échéancier à taper un par un.</t>
  </si>
  <si>
    <t>Onglet « Fiche comité » imprimable avec graphique des domaines ; boutons « Préparer l'échéancier » et « Effacer l'échéancier ».</t>
  </si>
  <si>
    <t>Version 3 de l'outil : défauts de la version 2 corrigés et améliorations</t>
  </si>
  <si>
    <t>Défaut constaté (version 2)</t>
  </si>
  <si>
    <t>Correction (version 3)</t>
  </si>
  <si>
    <t>Cas d'étude</t>
  </si>
  <si>
    <t>Les six dossiers fournis n'étaient pas complets : « Nombre de contreparties clés » vide partout, exposition de la banque vide en C2, durée du contrat de revenus vide en C2, C4A, C4B et C5. La ligne « À SAISIR » de dossiers présentés comme exemples n'était donc jamais à zéro.</t>
  </si>
  <si>
    <t>Champs complétés (valeurs reconstituées, signalées « à confirmer » en commentaire). Les notes approuvées des six cas sont inchangées ; l'onglet Concordance le vérifie.</t>
  </si>
  <si>
    <t>Le fait générateur de chaque plafond tenait dans une colonne de 14 caractères : le texte était tronqué à l'écran et à l'impression.</t>
  </si>
  <si>
    <t>Code et fait générateur regroupés dans la colonne A, sur deux lignes ; même présentation pour les verrous.</t>
  </si>
  <si>
    <t>La grille et N4 à N6 se notaient par un chiffre (100, 80, 50, 20) sans dire à quoi il correspond : deux analystes pouvaient noter différemment la même situation.</t>
  </si>
  <si>
    <t>Liste de quatre situations décrites par sous-critère (onglet « Référentiel des niveaux »), variantes sectorielles pour D2.1, D4.1, D4.3 et D5.2 ; la note s'en déduit et s'affiche à côté, dans une cellule protégée.</t>
  </si>
  <si>
    <t>Une note Critique ou « Info. insuffisante » pouvait rester sans explication, et un plafond actif sans justification.</t>
  </si>
  <si>
    <t>Commentaire exigé pour une situation Critique ou « Info. insuffisante » ; justification des écarts exigée au bloc 13 dès qu'un plafond, un verrou ou une information insuffisante est actif.</t>
  </si>
  <si>
    <t>Identification</t>
  </si>
  <si>
    <t>Aucun code client ni code projet : impossible de rattacher un dossier au client T24 ou à ses crédits, ni de contrôler un import.</t>
  </si>
  <si>
    <t>Code client T24, radical (7 chiffres, zéros conservés) et code projet (PF-AAAA-NNNN) contrôlés, repris dans la synthèse, la fiche comité, le nom du PDF et le journal ; tableau des crédits du projet.</t>
  </si>
  <si>
    <t>Les hypothèses d'exploitation étaient libres : rien n'indiquait les données à réunir pour un secteur donné.</t>
  </si>
  <si>
    <t>Bloc 4 : trois à six données propres au secteur choisi, les autres lignes « Sans objet » ; hypothèses libres conservées en dessous.</t>
  </si>
  <si>
    <t>Fiche comité</t>
  </si>
  <si>
    <t>La fiche reprenait « Ce que le dossier enseigne », texte pédagogique sans avis ni conditions.</t>
  </si>
  <si>
    <t>Bloc 13 « Commentaires et conditions » (synthèse, forces, faiblesses et mitigants, conditions, justification, avis risques, décision) repris dans la fiche ; l'enseignement des cas passe au catalogue de l'Accueil.</t>
  </si>
  <si>
    <t>La synthèse et l'accueil s'arrêtaient à 23 dossiers.</t>
  </si>
  <si>
    <t>40 dossiers ; catalogue des 18 cas, comparaison de deux dossiers et concordance des notes de référence.</t>
  </si>
  <si>
    <t>Journal des actions</t>
  </si>
  <si>
    <t>Alimenté automatiquement par les macros (créations, contrôles, exports, routage, propositions IA). Ne pas modifier.</t>
  </si>
  <si>
    <t>Date</t>
  </si>
  <si>
    <t>Utilisateur</t>
  </si>
  <si>
    <t>Action</t>
  </si>
  <si>
    <t>Dossier</t>
  </si>
  <si>
    <t>Détail</t>
  </si>
</sst>
</file>

<file path=xl/styles.xml><?xml version="1.0" encoding="utf-8"?>
<styleSheet xmlns="http://schemas.openxmlformats.org/spreadsheetml/2006/main">
  <numFmts count="9">
    <numFmt numFmtId="164" formatCode="0.0"/>
    <numFmt numFmtId="165" formatCode="0.00"/>
    <numFmt numFmtId="166" formatCode="0.000"/>
    <numFmt numFmtId="167" formatCode="dd/mm/yyyy"/>
    <numFmt numFmtId="168" formatCode="0.0%"/>
    <numFmt numFmtId="169" formatCode="#,##0.0"/>
    <numFmt numFmtId="170" formatCode="0%"/>
    <numFmt numFmtId="171" formatCode="@"/>
    <numFmt numFmtId="172" formatCode="#,##0.##"/>
  </numFmts>
  <fonts count="24">
    <font>
      <sz val="11"/>
      <color theme="1"/>
      <name val="Calibri"/>
      <family val="2"/>
      <scheme val="minor"/>
    </font>
    <font>
      <b/>
      <sz val="16"/>
      <color rgb="FF1F4E3D"/>
      <name val="Arial"/>
      <family val="2"/>
    </font>
    <font>
      <i/>
      <sz val="10"/>
      <color rgb="FF555555"/>
      <name val="Arial"/>
      <family val="2"/>
    </font>
    <font>
      <b/>
      <sz val="11"/>
      <color rgb="FFFFFFFF"/>
      <name val="Arial"/>
      <family val="2"/>
    </font>
    <font>
      <sz val="10"/>
      <color theme="1"/>
      <name val="Arial"/>
      <family val="2"/>
    </font>
    <font>
      <sz val="10"/>
      <color rgb="FF0000FF"/>
      <name val="Arial"/>
      <family val="2"/>
    </font>
    <font>
      <sz val="10"/>
      <color rgb="FF006100"/>
      <name val="Arial"/>
      <family val="2"/>
    </font>
    <font>
      <sz val="10"/>
      <color rgb="FF7F6000"/>
      <name val="Arial"/>
      <family val="2"/>
    </font>
    <font>
      <sz val="10"/>
      <color rgb="FF9C0006"/>
      <name val="Arial"/>
      <family val="2"/>
    </font>
    <font>
      <b/>
      <sz val="10"/>
      <color theme="1"/>
      <name val="Arial"/>
      <family val="2"/>
    </font>
    <font>
      <b/>
      <u/>
      <sz val="10"/>
      <color rgb="FF0563C1"/>
      <name val="Arial"/>
      <family val="2"/>
    </font>
    <font>
      <b/>
      <sz val="10"/>
      <color rgb="FF0000FF"/>
      <name val="Arial"/>
      <family val="2"/>
    </font>
    <font>
      <b/>
      <sz val="12"/>
      <color rgb="FF0000FF"/>
      <name val="Arial"/>
      <family val="2"/>
    </font>
    <font>
      <b/>
      <sz val="20"/>
      <color theme="1"/>
      <name val="Arial"/>
      <family val="2"/>
    </font>
    <font>
      <b/>
      <sz val="12"/>
      <color theme="1"/>
      <name val="Arial"/>
      <family val="2"/>
    </font>
    <font>
      <b/>
      <sz val="16"/>
      <color rgb="FF0000FF"/>
      <name val="Arial"/>
      <family val="2"/>
    </font>
    <font>
      <sz val="10"/>
      <color rgb="FFFFFFFF"/>
      <name val="Arial"/>
      <family val="2"/>
    </font>
    <font>
      <i/>
      <sz val="10"/>
      <color rgb="FF0000FF"/>
      <name val="Arial"/>
      <family val="2"/>
    </font>
    <font>
      <u/>
      <sz val="10"/>
      <color rgb="FF0563C1"/>
      <name val="Arial"/>
      <family val="2"/>
    </font>
    <font>
      <sz val="9"/>
      <color rgb="FF0000FF"/>
      <name val="Arial"/>
      <family val="2"/>
    </font>
    <font>
      <b/>
      <sz val="9"/>
      <color theme="1"/>
      <name val="Arial"/>
      <family val="2"/>
    </font>
    <font>
      <sz val="9"/>
      <color theme="1"/>
      <name val="Arial"/>
      <family val="2"/>
    </font>
    <font>
      <i/>
      <sz val="8"/>
      <color rgb="FF7F7F7F"/>
      <name val="Arial"/>
      <family val="2"/>
    </font>
    <font>
      <sz val="8"/>
      <color indexed="81"/>
      <name val="Tahoma"/>
      <family val="2"/>
    </font>
  </fonts>
  <fills count="10">
    <fill>
      <patternFill patternType="none"/>
    </fill>
    <fill>
      <patternFill patternType="gray125"/>
    </fill>
    <fill>
      <patternFill patternType="solid">
        <fgColor rgb="FF1F4E3D"/>
        <bgColor indexed="64"/>
      </patternFill>
    </fill>
    <fill>
      <patternFill patternType="solid">
        <fgColor rgb="FFFFF2CC"/>
        <bgColor indexed="64"/>
      </patternFill>
    </fill>
    <fill>
      <patternFill patternType="solid">
        <fgColor rgb="FFF8CBAD"/>
        <bgColor indexed="64"/>
      </patternFill>
    </fill>
    <fill>
      <patternFill patternType="solid">
        <fgColor rgb="FFC6EFCE"/>
        <bgColor indexed="64"/>
      </patternFill>
    </fill>
    <fill>
      <patternFill patternType="solid">
        <fgColor rgb="FFFFE699"/>
        <bgColor indexed="64"/>
      </patternFill>
    </fill>
    <fill>
      <patternFill patternType="solid">
        <fgColor rgb="FFDDE8E3"/>
        <bgColor indexed="64"/>
      </patternFill>
    </fill>
    <fill>
      <patternFill patternType="solid">
        <fgColor rgb="FFF2F2F2"/>
        <bgColor indexed="64"/>
      </patternFill>
    </fill>
    <fill>
      <patternFill patternType="solid">
        <fgColor rgb="FFEEF3F1"/>
        <bgColor indexed="64"/>
      </patternFill>
    </fill>
  </fills>
  <borders count="4">
    <border>
      <left/>
      <right/>
      <top/>
      <bottom/>
      <diagonal/>
    </border>
    <border>
      <left style="thin">
        <color auto="1"/>
      </left>
      <right style="thin">
        <color auto="1"/>
      </right>
      <top style="thin">
        <color auto="1"/>
      </top>
      <bottom style="thin">
        <color auto="1"/>
      </bottom>
      <diagonal/>
    </border>
    <border>
      <left style="medium">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s>
  <cellStyleXfs count="1">
    <xf numFmtId="0" fontId="0" fillId="0" borderId="0"/>
  </cellStyleXfs>
  <cellXfs count="56">
    <xf numFmtId="0" fontId="0" fillId="0" borderId="0" xfId="0"/>
    <xf numFmtId="0" fontId="1" fillId="0" borderId="0" xfId="0" applyFont="1" applyAlignment="1">
      <alignment vertical="center"/>
    </xf>
    <xf numFmtId="0" fontId="2" fillId="0" borderId="0" xfId="0" applyFont="1" applyAlignment="1">
      <alignment vertical="center"/>
    </xf>
    <xf numFmtId="0" fontId="3" fillId="2" borderId="0" xfId="0" applyFont="1" applyFill="1" applyAlignment="1">
      <alignment vertical="center"/>
    </xf>
    <xf numFmtId="0" fontId="4" fillId="0" borderId="0" xfId="0" applyFont="1" applyAlignment="1">
      <alignment vertical="top" wrapText="1"/>
    </xf>
    <xf numFmtId="0" fontId="5" fillId="3" borderId="1" xfId="0" applyFont="1" applyFill="1" applyBorder="1" applyAlignment="1" applyProtection="1">
      <alignment horizontal="center" vertical="center"/>
      <protection locked="0"/>
    </xf>
    <xf numFmtId="0" fontId="5" fillId="4" borderId="1" xfId="0" applyFont="1" applyFill="1" applyBorder="1" applyAlignment="1">
      <alignment horizontal="center" vertical="center"/>
    </xf>
    <xf numFmtId="0" fontId="4" fillId="0" borderId="1" xfId="0" applyFont="1" applyBorder="1" applyAlignment="1">
      <alignment horizontal="center" vertical="center"/>
    </xf>
    <xf numFmtId="0" fontId="6" fillId="5" borderId="1" xfId="0" applyFont="1" applyFill="1" applyBorder="1" applyAlignment="1">
      <alignment horizontal="center" vertical="center"/>
    </xf>
    <xf numFmtId="0" fontId="7" fillId="6"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7" borderId="1" xfId="0" applyFont="1" applyFill="1" applyBorder="1" applyAlignment="1">
      <alignment vertical="center" wrapText="1"/>
    </xf>
    <xf numFmtId="0" fontId="10" fillId="0" borderId="1" xfId="0" applyFont="1" applyBorder="1" applyAlignment="1">
      <alignment vertical="center"/>
    </xf>
    <xf numFmtId="0" fontId="4" fillId="0" borderId="1" xfId="0" applyFont="1" applyBorder="1" applyAlignment="1">
      <alignment vertical="center" wrapText="1"/>
    </xf>
    <xf numFmtId="164" fontId="9"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0" fontId="11" fillId="3" borderId="1" xfId="0" applyFont="1" applyFill="1" applyBorder="1" applyAlignment="1" applyProtection="1">
      <alignment vertical="center" wrapText="1"/>
      <protection locked="0"/>
    </xf>
    <xf numFmtId="0" fontId="4" fillId="0" borderId="1" xfId="0" applyFont="1" applyBorder="1" applyAlignment="1">
      <alignment vertical="center"/>
    </xf>
    <xf numFmtId="165" fontId="4" fillId="0" borderId="1" xfId="0" applyNumberFormat="1" applyFont="1" applyBorder="1" applyAlignment="1">
      <alignment vertical="center"/>
    </xf>
    <xf numFmtId="166" fontId="4" fillId="0" borderId="1" xfId="0" applyNumberFormat="1" applyFont="1" applyBorder="1" applyAlignment="1">
      <alignment vertical="center"/>
    </xf>
    <xf numFmtId="164" fontId="4" fillId="0" borderId="1" xfId="0" applyNumberFormat="1" applyFont="1" applyBorder="1" applyAlignment="1">
      <alignment vertical="center"/>
    </xf>
    <xf numFmtId="0" fontId="9" fillId="0" borderId="1" xfId="0" applyFont="1" applyBorder="1" applyAlignment="1">
      <alignment vertical="center"/>
    </xf>
    <xf numFmtId="0" fontId="9" fillId="8" borderId="1" xfId="0" applyFont="1" applyFill="1" applyBorder="1" applyAlignment="1">
      <alignment vertical="center" wrapText="1"/>
    </xf>
    <xf numFmtId="0" fontId="12" fillId="3" borderId="2" xfId="0" applyFont="1" applyFill="1" applyBorder="1" applyAlignment="1" applyProtection="1">
      <alignment horizontal="center" vertical="center"/>
      <protection locked="0"/>
    </xf>
    <xf numFmtId="167" fontId="4" fillId="0" borderId="1" xfId="0" applyNumberFormat="1" applyFont="1" applyBorder="1" applyAlignment="1">
      <alignment horizontal="center" vertical="center"/>
    </xf>
    <xf numFmtId="0" fontId="13" fillId="0" borderId="2" xfId="0" applyFont="1" applyBorder="1" applyAlignment="1">
      <alignment horizontal="center" vertical="center"/>
    </xf>
    <xf numFmtId="0" fontId="14" fillId="0" borderId="1" xfId="0" applyFont="1" applyBorder="1" applyAlignment="1">
      <alignment vertical="center" wrapText="1"/>
    </xf>
    <xf numFmtId="1" fontId="9" fillId="0" borderId="1" xfId="0" applyNumberFormat="1" applyFont="1" applyBorder="1" applyAlignment="1">
      <alignment horizontal="center" vertical="center"/>
    </xf>
    <xf numFmtId="168" fontId="4" fillId="0" borderId="1" xfId="0" applyNumberFormat="1" applyFont="1" applyBorder="1" applyAlignment="1">
      <alignment vertical="center"/>
    </xf>
    <xf numFmtId="169" fontId="4" fillId="0" borderId="1" xfId="0" applyNumberFormat="1" applyFont="1" applyBorder="1" applyAlignment="1">
      <alignment vertical="center"/>
    </xf>
    <xf numFmtId="169" fontId="9" fillId="0" borderId="3" xfId="0" applyNumberFormat="1" applyFont="1" applyBorder="1" applyAlignment="1">
      <alignment vertical="center"/>
    </xf>
    <xf numFmtId="0" fontId="4" fillId="0" borderId="1" xfId="0" applyFont="1" applyBorder="1" applyAlignment="1">
      <alignment vertical="top" wrapText="1"/>
    </xf>
    <xf numFmtId="0" fontId="9" fillId="0" borderId="1" xfId="0" applyFont="1" applyBorder="1" applyAlignment="1">
      <alignment vertical="center" wrapText="1"/>
    </xf>
    <xf numFmtId="0" fontId="4" fillId="0" borderId="1" xfId="0" applyFont="1" applyBorder="1" applyAlignment="1" applyProtection="1">
      <alignment vertical="top" wrapText="1"/>
      <protection locked="0"/>
    </xf>
    <xf numFmtId="0" fontId="15" fillId="3" borderId="0" xfId="0" applyFont="1" applyFill="1" applyAlignment="1" applyProtection="1">
      <alignment vertical="center"/>
      <protection locked="0"/>
    </xf>
    <xf numFmtId="0" fontId="16" fillId="0" borderId="0" xfId="0" applyFont="1" applyAlignment="1">
      <alignment vertical="center"/>
    </xf>
    <xf numFmtId="0" fontId="17" fillId="3" borderId="0" xfId="0" applyFont="1" applyFill="1" applyAlignment="1" applyProtection="1">
      <alignment vertical="center"/>
      <protection locked="0"/>
    </xf>
    <xf numFmtId="0" fontId="5" fillId="3" borderId="0" xfId="0" applyFont="1" applyFill="1" applyAlignment="1" applyProtection="1">
      <alignment vertical="top" wrapText="1"/>
      <protection locked="0"/>
    </xf>
    <xf numFmtId="166" fontId="9" fillId="0" borderId="1" xfId="0" applyNumberFormat="1" applyFont="1" applyBorder="1" applyAlignment="1">
      <alignment horizontal="center" vertical="center"/>
    </xf>
    <xf numFmtId="170" fontId="9" fillId="0" borderId="1" xfId="0" applyNumberFormat="1" applyFont="1" applyBorder="1" applyAlignment="1">
      <alignment horizontal="center" vertical="center"/>
    </xf>
    <xf numFmtId="0" fontId="9" fillId="9" borderId="1" xfId="0" applyFont="1" applyFill="1" applyBorder="1" applyAlignment="1">
      <alignment vertical="center"/>
    </xf>
    <xf numFmtId="0" fontId="18" fillId="9" borderId="1" xfId="0" applyFont="1" applyFill="1" applyBorder="1" applyAlignment="1">
      <alignment horizontal="center" vertical="center"/>
    </xf>
    <xf numFmtId="171" fontId="5" fillId="3" borderId="1" xfId="0" applyNumberFormat="1" applyFont="1" applyFill="1" applyBorder="1" applyAlignment="1" applyProtection="1">
      <alignment horizontal="center" vertical="center"/>
      <protection locked="0"/>
    </xf>
    <xf numFmtId="169" fontId="5" fillId="3" borderId="1" xfId="0" applyNumberFormat="1" applyFont="1" applyFill="1" applyBorder="1" applyAlignment="1" applyProtection="1">
      <alignment vertical="center"/>
      <protection locked="0"/>
    </xf>
    <xf numFmtId="1" fontId="5" fillId="3" borderId="1" xfId="0" applyNumberFormat="1" applyFont="1" applyFill="1" applyBorder="1" applyAlignment="1" applyProtection="1">
      <alignment vertical="center"/>
      <protection locked="0"/>
    </xf>
    <xf numFmtId="0" fontId="5" fillId="3" borderId="1" xfId="0" applyFont="1" applyFill="1" applyBorder="1" applyAlignment="1" applyProtection="1">
      <alignment vertical="center"/>
      <protection locked="0"/>
    </xf>
    <xf numFmtId="171" fontId="5" fillId="3" borderId="1" xfId="0" applyNumberFormat="1" applyFont="1" applyFill="1" applyBorder="1" applyAlignment="1" applyProtection="1">
      <alignment vertical="center"/>
      <protection locked="0"/>
    </xf>
    <xf numFmtId="0" fontId="5" fillId="3" borderId="1" xfId="0" applyFont="1" applyFill="1" applyBorder="1" applyAlignment="1" applyProtection="1">
      <alignment vertical="top" wrapText="1"/>
      <protection locked="0"/>
    </xf>
    <xf numFmtId="172" fontId="5" fillId="3" borderId="1" xfId="0" applyNumberFormat="1" applyFont="1" applyFill="1" applyBorder="1" applyAlignment="1" applyProtection="1">
      <alignment horizontal="left" vertical="center"/>
      <protection locked="0"/>
    </xf>
    <xf numFmtId="168" fontId="5" fillId="3" borderId="1" xfId="0" applyNumberFormat="1" applyFont="1" applyFill="1" applyBorder="1" applyAlignment="1" applyProtection="1">
      <alignment vertical="center"/>
      <protection locked="0"/>
    </xf>
    <xf numFmtId="165" fontId="5" fillId="3" borderId="1" xfId="0" applyNumberFormat="1" applyFont="1" applyFill="1" applyBorder="1" applyAlignment="1" applyProtection="1">
      <alignment vertical="center"/>
      <protection locked="0"/>
    </xf>
    <xf numFmtId="0" fontId="19" fillId="3" borderId="1" xfId="0" applyFont="1" applyFill="1" applyBorder="1" applyAlignment="1" applyProtection="1">
      <alignment vertical="center" wrapText="1"/>
      <protection locked="0"/>
    </xf>
    <xf numFmtId="0" fontId="20" fillId="0" borderId="1" xfId="0" applyFont="1" applyBorder="1" applyAlignment="1">
      <alignment vertical="top" wrapText="1"/>
    </xf>
    <xf numFmtId="0" fontId="21" fillId="0" borderId="1" xfId="0" applyFont="1" applyBorder="1" applyAlignment="1">
      <alignment vertical="top" wrapText="1"/>
    </xf>
    <xf numFmtId="0" fontId="22" fillId="0" borderId="0" xfId="0" applyFont="1" applyAlignment="1">
      <alignment vertical="center" wrapText="1"/>
    </xf>
    <xf numFmtId="170" fontId="5" fillId="3" borderId="1" xfId="0" applyNumberFormat="1" applyFont="1" applyFill="1" applyBorder="1" applyAlignment="1" applyProtection="1">
      <alignment vertical="center"/>
      <protection locked="0"/>
    </xf>
  </cellXfs>
  <cellStyles count="1">
    <cellStyle name="Normal" xfId="0" builtinId="0"/>
  </cellStyles>
  <dxfs count="6">
    <dxf>
      <font>
        <color rgb="FF9C0006"/>
      </font>
      <fill>
        <patternFill>
          <bgColor rgb="FFF8CBAD"/>
        </patternFill>
      </fill>
    </dxf>
    <dxf>
      <font>
        <color rgb="FF006100"/>
      </font>
      <fill>
        <patternFill>
          <bgColor rgb="FFC6EFCE"/>
        </patternFill>
      </fill>
    </dxf>
    <dxf>
      <fill>
        <patternFill>
          <bgColor rgb="FFF8CBAD"/>
        </patternFill>
      </fill>
      <border>
        <left style="thin">
          <color rgb="FFC55A11"/>
        </left>
        <right style="thin">
          <color rgb="FFC55A11"/>
        </right>
        <top style="thin">
          <color rgb="FFC55A11"/>
        </top>
        <bottom style="thin">
          <color rgb="FFC55A11"/>
        </bottom>
        <vertical/>
        <horizontal/>
      </border>
    </dxf>
    <dxf>
      <font>
        <color rgb="FF7F6000"/>
      </font>
      <fill>
        <patternFill>
          <bgColor rgb="FFFFE699"/>
        </patternFill>
      </fill>
    </dxf>
    <dxf>
      <font>
        <color rgb="FFA6A6A6"/>
      </font>
      <fill>
        <patternFill>
          <bgColor rgb="FFF2F2F2"/>
        </patternFill>
      </fill>
    </dxf>
    <dxf>
      <font>
        <color rgb="FFA6A6A6"/>
      </font>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theme" Target="theme/theme1.xml"/><Relationship Id="rId32" Type="http://schemas.openxmlformats.org/officeDocument/2006/relationships/styles" Target="styles.xml"/><Relationship Id="rId33"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sz="1000" baseline="0"/>
            </a:pPr>
            <a:r>
              <a:rPr lang="en-US" sz="1000" baseline="0"/>
              <a:t>Score par domaine</a:t>
            </a:r>
          </a:p>
        </c:rich>
      </c:tx>
      <c:layout/>
    </c:title>
    <c:plotArea>
      <c:layout/>
      <c:barChart>
        <c:barDir val="bar"/>
        <c:grouping val="clustered"/>
        <c:ser>
          <c:idx val="0"/>
          <c:order val="0"/>
          <c:tx>
            <c:v>Score / 100</c:v>
          </c:tx>
          <c:spPr>
            <a:solidFill>
              <a:srgbClr val="1F4E3D"/>
            </a:solidFill>
          </c:spPr>
          <c:dLbls>
            <c:numFmt formatCode="0" sourceLinked="0"/>
            <c:showVal val="1"/>
          </c:dLbls>
          <c:cat>
            <c:numRef>
              <c:f>'Fiche comité'!$A$51:$A$59</c:f>
              <c:numCache>
                <c:formatCode>General</c:formatCode>
                <c:ptCount val="9"/>
                <c:pt idx="0">
                  <c:v>0</c:v>
                </c:pt>
                <c:pt idx="1">
                  <c:v>0</c:v>
                </c:pt>
                <c:pt idx="2">
                  <c:v>0</c:v>
                </c:pt>
                <c:pt idx="3">
                  <c:v>0</c:v>
                </c:pt>
                <c:pt idx="4">
                  <c:v>0</c:v>
                </c:pt>
                <c:pt idx="5">
                  <c:v>0</c:v>
                </c:pt>
                <c:pt idx="6">
                  <c:v>0</c:v>
                </c:pt>
                <c:pt idx="7">
                  <c:v>0</c:v>
                </c:pt>
                <c:pt idx="8">
                  <c:v>0</c:v>
                </c:pt>
              </c:numCache>
            </c:numRef>
          </c:cat>
          <c:val>
            <c:numRef>
              <c:f>'Fiche comité'!$B$51:$B$59</c:f>
              <c:numCache>
                <c:formatCode>General</c:formatCode>
                <c:ptCount val="9"/>
                <c:pt idx="0">
                  <c:v>0</c:v>
                </c:pt>
                <c:pt idx="1">
                  <c:v>0</c:v>
                </c:pt>
                <c:pt idx="2">
                  <c:v>0</c:v>
                </c:pt>
                <c:pt idx="3">
                  <c:v>0</c:v>
                </c:pt>
                <c:pt idx="4">
                  <c:v>0</c:v>
                </c:pt>
                <c:pt idx="5">
                  <c:v>0</c:v>
                </c:pt>
                <c:pt idx="6">
                  <c:v>0</c:v>
                </c:pt>
                <c:pt idx="7">
                  <c:v>0</c:v>
                </c:pt>
                <c:pt idx="8">
                  <c:v>0</c:v>
                </c:pt>
              </c:numCache>
            </c:numRef>
          </c:val>
        </c:ser>
        <c:gapWidth val="60"/>
        <c:axId val="50010001"/>
        <c:axId val="50010002"/>
      </c:barChart>
      <c:catAx>
        <c:axId val="50010001"/>
        <c:scaling>
          <c:orientation val="maxMin"/>
        </c:scaling>
        <c:axPos val="l"/>
        <c:numFmt formatCode="General" sourceLinked="1"/>
        <c:tickLblPos val="nextTo"/>
        <c:txPr>
          <a:bodyPr/>
          <a:lstStyle/>
          <a:p>
            <a:pPr>
              <a:defRPr sz="800" baseline="0"/>
            </a:pPr>
            <a:endParaRPr lang="en-US"/>
          </a:p>
        </c:txPr>
        <c:crossAx val="50010002"/>
        <c:crosses val="autoZero"/>
        <c:auto val="1"/>
        <c:lblAlgn val="ctr"/>
        <c:lblOffset val="100"/>
      </c:catAx>
      <c:valAx>
        <c:axId val="50010002"/>
        <c:scaling>
          <c:orientation val="minMax"/>
          <c:max val="100"/>
          <c:min val="0"/>
        </c:scaling>
        <c:axPos val="t"/>
        <c:majorGridlines/>
        <c:numFmt formatCode="General" sourceLinked="1"/>
        <c:tickLblPos val="nextTo"/>
        <c:txPr>
          <a:bodyPr/>
          <a:lstStyle/>
          <a:p>
            <a:pPr>
              <a:defRPr sz="800" baseline="0"/>
            </a:pPr>
            <a:endParaRPr lang="en-US"/>
          </a:p>
        </c:txPr>
        <c:crossAx val="50010001"/>
        <c:crosses val="autoZero"/>
        <c:crossBetween val="between"/>
        <c:majorUnit val="20"/>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38100</xdr:colOff>
      <xdr:row>49</xdr:row>
      <xdr:rowOff>19050</xdr:rowOff>
    </xdr:from>
    <xdr:to>
      <xdr:col>7</xdr:col>
      <xdr:colOff>552450</xdr:colOff>
      <xdr:row>60</xdr:row>
      <xdr:rowOff>114300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 Id="rId2" Type="http://schemas.openxmlformats.org/officeDocument/2006/relationships/vmlDrawing" Target="../drawings/vmlDrawing1.vml"/><Relationship Id="rId3" Type="http://schemas.openxmlformats.org/officeDocument/2006/relationships/comments" Target="../comments1.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sheet1.xml><?xml version="1.0" encoding="utf-8"?>
<worksheet xmlns="http://schemas.openxmlformats.org/spreadsheetml/2006/main" xmlns:r="http://schemas.openxmlformats.org/officeDocument/2006/relationships">
  <dimension ref="B2:I85"/>
  <sheetViews>
    <sheetView showGridLines="0" tabSelected="1" workbookViewId="0">
      <pane ySplit="4" topLeftCell="A5" activePane="bottomLeft" state="frozen"/>
      <selection pane="bottomLeft"/>
    </sheetView>
  </sheetViews>
  <sheetFormatPr defaultRowHeight="15"/>
  <cols>
    <col min="1" max="1" width="2.7109375" customWidth="1"/>
    <col min="2" max="2" width="11.7109375" customWidth="1"/>
    <col min="3" max="3" width="38.7109375" customWidth="1"/>
    <col min="4" max="4" width="14.7109375" customWidth="1"/>
    <col min="5" max="6" width="9.7109375" customWidth="1"/>
    <col min="7" max="7" width="10.7109375" customWidth="1"/>
    <col min="8" max="8" width="40.7109375" customWidth="1"/>
    <col min="9" max="9" width="62.7109375" customWidth="1"/>
    <col min="10" max="10" width="2.7109375" customWidth="1"/>
    <col min="11" max="11" width="34.7109375" customWidth="1"/>
  </cols>
  <sheetData>
    <row r="2" spans="2:9">
      <c r="B2" s="1" t="s">
        <v>3171</v>
      </c>
    </row>
    <row r="3" spans="2:9">
      <c r="B3" s="2" t="s">
        <v>3172</v>
      </c>
    </row>
    <row r="5" spans="2:9">
      <c r="B5" s="3" t="s">
        <v>3173</v>
      </c>
      <c r="C5" s="3"/>
      <c r="D5" s="3"/>
      <c r="E5" s="3"/>
      <c r="F5" s="3"/>
      <c r="G5" s="3"/>
      <c r="H5" s="3"/>
      <c r="I5" s="3"/>
    </row>
    <row r="6" spans="2:9" ht="28" customHeight="1">
      <c r="B6" s="4" t="s">
        <v>3174</v>
      </c>
      <c r="C6" s="4"/>
      <c r="D6" s="4"/>
      <c r="E6" s="4"/>
      <c r="F6" s="4"/>
      <c r="G6" s="4"/>
      <c r="H6" s="4"/>
      <c r="I6" s="4"/>
    </row>
    <row r="7" spans="2:9" ht="28" customHeight="1">
      <c r="B7" s="4" t="s">
        <v>3175</v>
      </c>
      <c r="C7" s="4"/>
      <c r="D7" s="4"/>
      <c r="E7" s="4"/>
      <c r="F7" s="4"/>
      <c r="G7" s="4"/>
      <c r="H7" s="4"/>
      <c r="I7" s="4"/>
    </row>
    <row r="8" spans="2:9" ht="28" customHeight="1">
      <c r="B8" s="4" t="s">
        <v>3176</v>
      </c>
      <c r="C8" s="4"/>
      <c r="D8" s="4"/>
      <c r="E8" s="4"/>
      <c r="F8" s="4"/>
      <c r="G8" s="4"/>
      <c r="H8" s="4"/>
      <c r="I8" s="4"/>
    </row>
    <row r="9" spans="2:9" ht="28" customHeight="1">
      <c r="B9" s="4" t="s">
        <v>3177</v>
      </c>
      <c r="C9" s="4"/>
      <c r="D9" s="4"/>
      <c r="E9" s="4"/>
      <c r="F9" s="4"/>
      <c r="G9" s="4"/>
      <c r="H9" s="4"/>
      <c r="I9" s="4"/>
    </row>
    <row r="10" spans="2:9" ht="28" customHeight="1">
      <c r="B10" s="4" t="s">
        <v>3178</v>
      </c>
      <c r="C10" s="4"/>
      <c r="D10" s="4"/>
      <c r="E10" s="4"/>
      <c r="F10" s="4"/>
      <c r="G10" s="4"/>
      <c r="H10" s="4"/>
      <c r="I10" s="4"/>
    </row>
    <row r="12" spans="2:9">
      <c r="B12" s="3" t="s">
        <v>3179</v>
      </c>
      <c r="C12" s="3"/>
      <c r="D12" s="3"/>
      <c r="E12" s="3"/>
      <c r="F12" s="3"/>
      <c r="G12" s="3"/>
      <c r="H12" s="3"/>
      <c r="I12" s="3"/>
    </row>
    <row r="13" spans="2:9">
      <c r="B13" s="5" t="s">
        <v>1018</v>
      </c>
      <c r="C13" s="6" t="s">
        <v>3180</v>
      </c>
      <c r="D13" s="7" t="s">
        <v>3181</v>
      </c>
      <c r="E13" s="8" t="s">
        <v>3182</v>
      </c>
      <c r="F13" s="9" t="s">
        <v>3183</v>
      </c>
      <c r="G13" s="10" t="s">
        <v>3184</v>
      </c>
    </row>
    <row r="14" spans="2:9" ht="28" customHeight="1">
      <c r="B14" s="4" t="s">
        <v>3185</v>
      </c>
      <c r="C14" s="4"/>
      <c r="D14" s="4"/>
      <c r="E14" s="4"/>
      <c r="F14" s="4"/>
      <c r="G14" s="4"/>
      <c r="H14" s="4"/>
      <c r="I14" s="4"/>
    </row>
    <row r="16" spans="2:9">
      <c r="B16" s="3" t="s">
        <v>3186</v>
      </c>
      <c r="C16" s="3"/>
      <c r="D16" s="3"/>
      <c r="E16" s="3"/>
      <c r="F16" s="3"/>
      <c r="G16" s="3"/>
      <c r="H16" s="3"/>
      <c r="I16" s="3"/>
    </row>
    <row r="17" spans="2:9">
      <c r="B17" s="11" t="s">
        <v>1691</v>
      </c>
      <c r="C17" s="11" t="s">
        <v>3187</v>
      </c>
      <c r="D17" s="11" t="s">
        <v>835</v>
      </c>
      <c r="E17" s="11" t="s">
        <v>19</v>
      </c>
      <c r="F17" s="11" t="s">
        <v>3188</v>
      </c>
      <c r="G17" s="11" t="s">
        <v>3189</v>
      </c>
      <c r="H17" s="11" t="s">
        <v>3190</v>
      </c>
      <c r="I17" s="11" t="s">
        <v>3191</v>
      </c>
    </row>
    <row r="18" spans="2:9" ht="60" customHeight="1">
      <c r="B18" s="12" t="s">
        <v>132</v>
      </c>
      <c r="C18" s="13" t="s">
        <v>3192</v>
      </c>
      <c r="D18" s="7" t="s">
        <v>836</v>
      </c>
      <c r="E18" s="7" t="s">
        <v>21</v>
      </c>
      <c r="F18" s="7" t="s">
        <v>3193</v>
      </c>
      <c r="G18" s="14">
        <f>IFERROR(INDIRECT("'C1'!B276"),"—")</f>
        <v>0</v>
      </c>
      <c r="H18" s="13" t="s">
        <v>3194</v>
      </c>
      <c r="I18" s="13" t="s">
        <v>3195</v>
      </c>
    </row>
    <row r="19" spans="2:9" ht="75" customHeight="1">
      <c r="B19" s="12" t="s">
        <v>134</v>
      </c>
      <c r="C19" s="13" t="s">
        <v>3196</v>
      </c>
      <c r="D19" s="7" t="s">
        <v>1174</v>
      </c>
      <c r="E19" s="7" t="s">
        <v>23</v>
      </c>
      <c r="F19" s="7" t="s">
        <v>3197</v>
      </c>
      <c r="G19" s="14">
        <f>IFERROR(INDIRECT("'C2'!B276"),"—")</f>
        <v>0</v>
      </c>
      <c r="H19" s="13" t="s">
        <v>3198</v>
      </c>
      <c r="I19" s="13" t="s">
        <v>3199</v>
      </c>
    </row>
    <row r="20" spans="2:9" ht="75" customHeight="1">
      <c r="B20" s="12" t="s">
        <v>136</v>
      </c>
      <c r="C20" s="13" t="s">
        <v>3200</v>
      </c>
      <c r="D20" s="7" t="s">
        <v>1210</v>
      </c>
      <c r="E20" s="7" t="s">
        <v>41</v>
      </c>
      <c r="F20" s="7" t="s">
        <v>3201</v>
      </c>
      <c r="G20" s="14">
        <f>IFERROR(INDIRECT("'C3'!B276"),"—")</f>
        <v>0</v>
      </c>
      <c r="H20" s="13" t="s">
        <v>3202</v>
      </c>
      <c r="I20" s="13" t="s">
        <v>3203</v>
      </c>
    </row>
    <row r="21" spans="2:9" ht="75" customHeight="1">
      <c r="B21" s="12" t="s">
        <v>1692</v>
      </c>
      <c r="C21" s="13" t="s">
        <v>3204</v>
      </c>
      <c r="D21" s="7" t="s">
        <v>1249</v>
      </c>
      <c r="E21" s="7" t="s">
        <v>39</v>
      </c>
      <c r="F21" s="7" t="s">
        <v>3205</v>
      </c>
      <c r="G21" s="14">
        <f>IFERROR(INDIRECT("'C4A'!B276"),"—")</f>
        <v>0</v>
      </c>
      <c r="H21" s="13" t="s">
        <v>3206</v>
      </c>
      <c r="I21" s="13" t="s">
        <v>3207</v>
      </c>
    </row>
    <row r="22" spans="2:9" ht="60" customHeight="1">
      <c r="B22" s="12" t="s">
        <v>1693</v>
      </c>
      <c r="C22" s="13" t="s">
        <v>3208</v>
      </c>
      <c r="D22" s="7" t="s">
        <v>1249</v>
      </c>
      <c r="E22" s="7" t="s">
        <v>39</v>
      </c>
      <c r="F22" s="7" t="s">
        <v>3205</v>
      </c>
      <c r="G22" s="14">
        <f>IFERROR(INDIRECT("'C4B'!B276"),"—")</f>
        <v>0</v>
      </c>
      <c r="H22" s="13" t="s">
        <v>3209</v>
      </c>
      <c r="I22" s="13" t="s">
        <v>3210</v>
      </c>
    </row>
    <row r="23" spans="2:9" ht="75" customHeight="1">
      <c r="B23" s="12" t="s">
        <v>140</v>
      </c>
      <c r="C23" s="13" t="s">
        <v>3211</v>
      </c>
      <c r="D23" s="7" t="s">
        <v>1312</v>
      </c>
      <c r="E23" s="7" t="s">
        <v>21</v>
      </c>
      <c r="F23" s="7" t="s">
        <v>3193</v>
      </c>
      <c r="G23" s="14">
        <f>IFERROR(INDIRECT("'C5'!B276"),"—")</f>
        <v>0</v>
      </c>
      <c r="H23" s="13" t="s">
        <v>3212</v>
      </c>
      <c r="I23" s="13" t="s">
        <v>3213</v>
      </c>
    </row>
    <row r="24" spans="2:9" ht="60" customHeight="1">
      <c r="B24" s="12" t="s">
        <v>21</v>
      </c>
      <c r="C24" s="13" t="s">
        <v>3214</v>
      </c>
      <c r="D24" s="7" t="s">
        <v>1342</v>
      </c>
      <c r="E24" s="7" t="s">
        <v>21</v>
      </c>
      <c r="F24" s="7" t="s">
        <v>3193</v>
      </c>
      <c r="G24" s="14">
        <f>IFERROR(INDIRECT("'ENR'!B276"),"—")</f>
        <v>0</v>
      </c>
      <c r="H24" s="13" t="s">
        <v>3215</v>
      </c>
      <c r="I24" s="13" t="s">
        <v>3216</v>
      </c>
    </row>
    <row r="25" spans="2:9" ht="60" customHeight="1">
      <c r="B25" s="12" t="s">
        <v>23</v>
      </c>
      <c r="C25" s="13" t="s">
        <v>3217</v>
      </c>
      <c r="D25" s="7" t="s">
        <v>1379</v>
      </c>
      <c r="E25" s="7" t="s">
        <v>23</v>
      </c>
      <c r="F25" s="7" t="s">
        <v>3197</v>
      </c>
      <c r="G25" s="14">
        <f>IFERROR(INDIRECT("'EAU'!B276"),"—")</f>
        <v>0</v>
      </c>
      <c r="H25" s="13" t="s">
        <v>3218</v>
      </c>
      <c r="I25" s="13" t="s">
        <v>3219</v>
      </c>
    </row>
    <row r="26" spans="2:9" ht="60" customHeight="1">
      <c r="B26" s="12" t="s">
        <v>25</v>
      </c>
      <c r="C26" s="13" t="s">
        <v>3220</v>
      </c>
      <c r="D26" s="7" t="s">
        <v>1406</v>
      </c>
      <c r="E26" s="7" t="s">
        <v>25</v>
      </c>
      <c r="F26" s="7" t="s">
        <v>3221</v>
      </c>
      <c r="G26" s="14">
        <f>IFERROR(INDIRECT("'TEL'!B276"),"—")</f>
        <v>0</v>
      </c>
      <c r="H26" s="13" t="s">
        <v>3222</v>
      </c>
      <c r="I26" s="13" t="s">
        <v>3223</v>
      </c>
    </row>
    <row r="27" spans="2:9" ht="60" customHeight="1">
      <c r="B27" s="12" t="s">
        <v>27</v>
      </c>
      <c r="C27" s="13" t="s">
        <v>3224</v>
      </c>
      <c r="D27" s="7" t="s">
        <v>1433</v>
      </c>
      <c r="E27" s="7" t="s">
        <v>27</v>
      </c>
      <c r="F27" s="7" t="s">
        <v>3225</v>
      </c>
      <c r="G27" s="14">
        <f>IFERROR(INDIRECT("'TRA'!B276"),"—")</f>
        <v>0</v>
      </c>
      <c r="H27" s="13" t="s">
        <v>3226</v>
      </c>
      <c r="I27" s="13" t="s">
        <v>3227</v>
      </c>
    </row>
    <row r="28" spans="2:9" ht="60" customHeight="1">
      <c r="B28" s="12" t="s">
        <v>29</v>
      </c>
      <c r="C28" s="13" t="s">
        <v>3228</v>
      </c>
      <c r="D28" s="7" t="s">
        <v>1472</v>
      </c>
      <c r="E28" s="7" t="s">
        <v>29</v>
      </c>
      <c r="F28" s="7" t="s">
        <v>3229</v>
      </c>
      <c r="G28" s="14">
        <f>IFERROR(INDIRECT("'POR'!B276"),"—")</f>
        <v>0</v>
      </c>
      <c r="H28" s="13" t="s">
        <v>3230</v>
      </c>
      <c r="I28" s="13" t="s">
        <v>3231</v>
      </c>
    </row>
    <row r="29" spans="2:9" ht="60" customHeight="1">
      <c r="B29" s="12" t="s">
        <v>31</v>
      </c>
      <c r="C29" s="13" t="s">
        <v>3232</v>
      </c>
      <c r="D29" s="7" t="s">
        <v>1500</v>
      </c>
      <c r="E29" s="7" t="s">
        <v>31</v>
      </c>
      <c r="F29" s="7" t="s">
        <v>3233</v>
      </c>
      <c r="G29" s="14">
        <f>IFERROR(INDIRECT("'SAN'!B276"),"—")</f>
        <v>0</v>
      </c>
      <c r="H29" s="13" t="s">
        <v>3234</v>
      </c>
      <c r="I29" s="13" t="s">
        <v>3235</v>
      </c>
    </row>
    <row r="30" spans="2:9" ht="60" customHeight="1">
      <c r="B30" s="12" t="s">
        <v>33</v>
      </c>
      <c r="C30" s="13" t="s">
        <v>3236</v>
      </c>
      <c r="D30" s="7" t="s">
        <v>1529</v>
      </c>
      <c r="E30" s="7" t="s">
        <v>33</v>
      </c>
      <c r="F30" s="7" t="s">
        <v>3237</v>
      </c>
      <c r="G30" s="14">
        <f>IFERROR(INDIRECT("'ETH'!B276"),"—")</f>
        <v>0</v>
      </c>
      <c r="H30" s="13" t="s">
        <v>3238</v>
      </c>
      <c r="I30" s="13" t="s">
        <v>3239</v>
      </c>
    </row>
    <row r="31" spans="2:9" ht="60" customHeight="1">
      <c r="B31" s="12" t="s">
        <v>1694</v>
      </c>
      <c r="C31" s="13" t="s">
        <v>3240</v>
      </c>
      <c r="D31" s="7" t="s">
        <v>1557</v>
      </c>
      <c r="E31" s="7" t="s">
        <v>35</v>
      </c>
      <c r="F31" s="7" t="s">
        <v>3205</v>
      </c>
      <c r="G31" s="14">
        <f>IFERROR(INDIRECT("'IMMO'!B276"),"—")</f>
        <v>0</v>
      </c>
      <c r="H31" s="13" t="s">
        <v>3241</v>
      </c>
      <c r="I31" s="13" t="s">
        <v>3242</v>
      </c>
    </row>
    <row r="32" spans="2:9" ht="60" customHeight="1">
      <c r="B32" s="12" t="s">
        <v>37</v>
      </c>
      <c r="C32" s="13" t="s">
        <v>3243</v>
      </c>
      <c r="D32" s="7" t="s">
        <v>1582</v>
      </c>
      <c r="E32" s="7" t="s">
        <v>37</v>
      </c>
      <c r="F32" s="7" t="s">
        <v>3221</v>
      </c>
      <c r="G32" s="14">
        <f>IFERROR(INDIRECT("'IND'!B276"),"—")</f>
        <v>0</v>
      </c>
      <c r="H32" s="13" t="s">
        <v>3244</v>
      </c>
      <c r="I32" s="13" t="s">
        <v>3245</v>
      </c>
    </row>
    <row r="33" spans="2:9" ht="60" customHeight="1">
      <c r="B33" s="12" t="s">
        <v>39</v>
      </c>
      <c r="C33" s="13" t="s">
        <v>3246</v>
      </c>
      <c r="D33" s="7" t="s">
        <v>1606</v>
      </c>
      <c r="E33" s="7" t="s">
        <v>39</v>
      </c>
      <c r="F33" s="7" t="s">
        <v>3193</v>
      </c>
      <c r="G33" s="14">
        <f>IFERROR(INDIRECT("'AGR'!B276"),"—")</f>
        <v>0</v>
      </c>
      <c r="H33" s="13" t="s">
        <v>3247</v>
      </c>
      <c r="I33" s="13" t="s">
        <v>3248</v>
      </c>
    </row>
    <row r="34" spans="2:9" ht="60" customHeight="1">
      <c r="B34" s="12" t="s">
        <v>41</v>
      </c>
      <c r="C34" s="13" t="s">
        <v>3249</v>
      </c>
      <c r="D34" s="7" t="s">
        <v>1631</v>
      </c>
      <c r="E34" s="7" t="s">
        <v>41</v>
      </c>
      <c r="F34" s="7" t="s">
        <v>3201</v>
      </c>
      <c r="G34" s="14">
        <f>IFERROR(INDIRECT("'TOU'!B276"),"—")</f>
        <v>0</v>
      </c>
      <c r="H34" s="13" t="s">
        <v>3250</v>
      </c>
      <c r="I34" s="13" t="s">
        <v>3251</v>
      </c>
    </row>
    <row r="35" spans="2:9" ht="75" customHeight="1">
      <c r="B35" s="12" t="s">
        <v>43</v>
      </c>
      <c r="C35" s="13" t="s">
        <v>3252</v>
      </c>
      <c r="D35" s="7" t="s">
        <v>1659</v>
      </c>
      <c r="E35" s="7" t="s">
        <v>43</v>
      </c>
      <c r="F35" s="7" t="s">
        <v>3253</v>
      </c>
      <c r="G35" s="14">
        <f>IFERROR(INDIRECT("'MIN'!B276"),"—")</f>
        <v>0</v>
      </c>
      <c r="H35" s="13" t="s">
        <v>3254</v>
      </c>
      <c r="I35" s="13" t="s">
        <v>3255</v>
      </c>
    </row>
    <row r="37" spans="2:9">
      <c r="B37" s="3" t="s">
        <v>3256</v>
      </c>
      <c r="C37" s="3"/>
      <c r="D37" s="3"/>
      <c r="E37" s="3"/>
      <c r="F37" s="3"/>
      <c r="G37" s="3"/>
      <c r="H37" s="3"/>
      <c r="I37" s="3"/>
    </row>
    <row r="38" spans="2:9">
      <c r="B38" s="11" t="s">
        <v>1691</v>
      </c>
      <c r="C38" s="11" t="s">
        <v>1737</v>
      </c>
      <c r="D38" s="11" t="s">
        <v>835</v>
      </c>
      <c r="E38" s="11" t="s">
        <v>46</v>
      </c>
      <c r="F38" s="11" t="s">
        <v>3189</v>
      </c>
      <c r="G38" s="11" t="s">
        <v>3257</v>
      </c>
      <c r="H38" s="11" t="s">
        <v>817</v>
      </c>
      <c r="I38" s="11"/>
    </row>
    <row r="39" spans="2:9">
      <c r="B39" s="12">
        <f>IF('Synthèse'!$B$4="","",HYPERLINK("#'"&amp;'Synthèse'!$B$4&amp;"'!A1",'Synthèse'!$B$4))</f>
        <v>0</v>
      </c>
      <c r="C39" s="13">
        <f>IF('Synthèse'!$B$4="","",'Synthèse'!$B$5)</f>
        <v>0</v>
      </c>
      <c r="D39" s="7">
        <f>IF('Synthèse'!$B$4="","",'Synthèse'!$B$8)</f>
        <v>0</v>
      </c>
      <c r="E39" s="7">
        <f>IF('Synthèse'!$B$4="","",'Synthèse'!$B$11)</f>
        <v>0</v>
      </c>
      <c r="F39" s="14">
        <f>IF('Synthèse'!$B$4="","",'Synthèse'!$B$24)</f>
        <v>0</v>
      </c>
      <c r="G39" s="15">
        <f>IF('Synthèse'!$B$4="","",'Synthèse'!$B$27)</f>
        <v>0</v>
      </c>
      <c r="H39" s="13">
        <f>IF('Synthèse'!$B$4="","",'Synthèse'!$B$25)</f>
        <v>0</v>
      </c>
      <c r="I39" s="13"/>
    </row>
    <row r="40" spans="2:9">
      <c r="B40" s="12">
        <f>IF('Synthèse'!$C$4="","",HYPERLINK("#'"&amp;'Synthèse'!$C$4&amp;"'!A1",'Synthèse'!$C$4))</f>
        <v>0</v>
      </c>
      <c r="C40" s="13">
        <f>IF('Synthèse'!$C$4="","",'Synthèse'!$C$5)</f>
        <v>0</v>
      </c>
      <c r="D40" s="7">
        <f>IF('Synthèse'!$C$4="","",'Synthèse'!$C$8)</f>
        <v>0</v>
      </c>
      <c r="E40" s="7">
        <f>IF('Synthèse'!$C$4="","",'Synthèse'!$C$11)</f>
        <v>0</v>
      </c>
      <c r="F40" s="14">
        <f>IF('Synthèse'!$C$4="","",'Synthèse'!$C$24)</f>
        <v>0</v>
      </c>
      <c r="G40" s="15">
        <f>IF('Synthèse'!$C$4="","",'Synthèse'!$C$27)</f>
        <v>0</v>
      </c>
      <c r="H40" s="13">
        <f>IF('Synthèse'!$C$4="","",'Synthèse'!$C$25)</f>
        <v>0</v>
      </c>
      <c r="I40" s="13"/>
    </row>
    <row r="41" spans="2:9">
      <c r="B41" s="12">
        <f>IF('Synthèse'!$D$4="","",HYPERLINK("#'"&amp;'Synthèse'!$D$4&amp;"'!A1",'Synthèse'!$D$4))</f>
        <v>0</v>
      </c>
      <c r="C41" s="13">
        <f>IF('Synthèse'!$D$4="","",'Synthèse'!$D$5)</f>
        <v>0</v>
      </c>
      <c r="D41" s="7">
        <f>IF('Synthèse'!$D$4="","",'Synthèse'!$D$8)</f>
        <v>0</v>
      </c>
      <c r="E41" s="7">
        <f>IF('Synthèse'!$D$4="","",'Synthèse'!$D$11)</f>
        <v>0</v>
      </c>
      <c r="F41" s="14">
        <f>IF('Synthèse'!$D$4="","",'Synthèse'!$D$24)</f>
        <v>0</v>
      </c>
      <c r="G41" s="15">
        <f>IF('Synthèse'!$D$4="","",'Synthèse'!$D$27)</f>
        <v>0</v>
      </c>
      <c r="H41" s="13">
        <f>IF('Synthèse'!$D$4="","",'Synthèse'!$D$25)</f>
        <v>0</v>
      </c>
      <c r="I41" s="13"/>
    </row>
    <row r="42" spans="2:9">
      <c r="B42" s="12">
        <f>IF('Synthèse'!$E$4="","",HYPERLINK("#'"&amp;'Synthèse'!$E$4&amp;"'!A1",'Synthèse'!$E$4))</f>
        <v>0</v>
      </c>
      <c r="C42" s="13">
        <f>IF('Synthèse'!$E$4="","",'Synthèse'!$E$5)</f>
        <v>0</v>
      </c>
      <c r="D42" s="7">
        <f>IF('Synthèse'!$E$4="","",'Synthèse'!$E$8)</f>
        <v>0</v>
      </c>
      <c r="E42" s="7">
        <f>IF('Synthèse'!$E$4="","",'Synthèse'!$E$11)</f>
        <v>0</v>
      </c>
      <c r="F42" s="14">
        <f>IF('Synthèse'!$E$4="","",'Synthèse'!$E$24)</f>
        <v>0</v>
      </c>
      <c r="G42" s="15">
        <f>IF('Synthèse'!$E$4="","",'Synthèse'!$E$27)</f>
        <v>0</v>
      </c>
      <c r="H42" s="13">
        <f>IF('Synthèse'!$E$4="","",'Synthèse'!$E$25)</f>
        <v>0</v>
      </c>
      <c r="I42" s="13"/>
    </row>
    <row r="43" spans="2:9">
      <c r="B43" s="12">
        <f>IF('Synthèse'!$F$4="","",HYPERLINK("#'"&amp;'Synthèse'!$F$4&amp;"'!A1",'Synthèse'!$F$4))</f>
        <v>0</v>
      </c>
      <c r="C43" s="13">
        <f>IF('Synthèse'!$F$4="","",'Synthèse'!$F$5)</f>
        <v>0</v>
      </c>
      <c r="D43" s="7">
        <f>IF('Synthèse'!$F$4="","",'Synthèse'!$F$8)</f>
        <v>0</v>
      </c>
      <c r="E43" s="7">
        <f>IF('Synthèse'!$F$4="","",'Synthèse'!$F$11)</f>
        <v>0</v>
      </c>
      <c r="F43" s="14">
        <f>IF('Synthèse'!$F$4="","",'Synthèse'!$F$24)</f>
        <v>0</v>
      </c>
      <c r="G43" s="15">
        <f>IF('Synthèse'!$F$4="","",'Synthèse'!$F$27)</f>
        <v>0</v>
      </c>
      <c r="H43" s="13">
        <f>IF('Synthèse'!$F$4="","",'Synthèse'!$F$25)</f>
        <v>0</v>
      </c>
      <c r="I43" s="13"/>
    </row>
    <row r="44" spans="2:9">
      <c r="B44" s="12">
        <f>IF('Synthèse'!$G$4="","",HYPERLINK("#'"&amp;'Synthèse'!$G$4&amp;"'!A1",'Synthèse'!$G$4))</f>
        <v>0</v>
      </c>
      <c r="C44" s="13">
        <f>IF('Synthèse'!$G$4="","",'Synthèse'!$G$5)</f>
        <v>0</v>
      </c>
      <c r="D44" s="7">
        <f>IF('Synthèse'!$G$4="","",'Synthèse'!$G$8)</f>
        <v>0</v>
      </c>
      <c r="E44" s="7">
        <f>IF('Synthèse'!$G$4="","",'Synthèse'!$G$11)</f>
        <v>0</v>
      </c>
      <c r="F44" s="14">
        <f>IF('Synthèse'!$G$4="","",'Synthèse'!$G$24)</f>
        <v>0</v>
      </c>
      <c r="G44" s="15">
        <f>IF('Synthèse'!$G$4="","",'Synthèse'!$G$27)</f>
        <v>0</v>
      </c>
      <c r="H44" s="13">
        <f>IF('Synthèse'!$G$4="","",'Synthèse'!$G$25)</f>
        <v>0</v>
      </c>
      <c r="I44" s="13"/>
    </row>
    <row r="45" spans="2:9">
      <c r="B45" s="12">
        <f>IF('Synthèse'!$H$4="","",HYPERLINK("#'"&amp;'Synthèse'!$H$4&amp;"'!A1",'Synthèse'!$H$4))</f>
        <v>0</v>
      </c>
      <c r="C45" s="13">
        <f>IF('Synthèse'!$H$4="","",'Synthèse'!$H$5)</f>
        <v>0</v>
      </c>
      <c r="D45" s="7">
        <f>IF('Synthèse'!$H$4="","",'Synthèse'!$H$8)</f>
        <v>0</v>
      </c>
      <c r="E45" s="7">
        <f>IF('Synthèse'!$H$4="","",'Synthèse'!$H$11)</f>
        <v>0</v>
      </c>
      <c r="F45" s="14">
        <f>IF('Synthèse'!$H$4="","",'Synthèse'!$H$24)</f>
        <v>0</v>
      </c>
      <c r="G45" s="15">
        <f>IF('Synthèse'!$H$4="","",'Synthèse'!$H$27)</f>
        <v>0</v>
      </c>
      <c r="H45" s="13">
        <f>IF('Synthèse'!$H$4="","",'Synthèse'!$H$25)</f>
        <v>0</v>
      </c>
      <c r="I45" s="13"/>
    </row>
    <row r="46" spans="2:9">
      <c r="B46" s="12">
        <f>IF('Synthèse'!$I$4="","",HYPERLINK("#'"&amp;'Synthèse'!$I$4&amp;"'!A1",'Synthèse'!$I$4))</f>
        <v>0</v>
      </c>
      <c r="C46" s="13">
        <f>IF('Synthèse'!$I$4="","",'Synthèse'!$I$5)</f>
        <v>0</v>
      </c>
      <c r="D46" s="7">
        <f>IF('Synthèse'!$I$4="","",'Synthèse'!$I$8)</f>
        <v>0</v>
      </c>
      <c r="E46" s="7">
        <f>IF('Synthèse'!$I$4="","",'Synthèse'!$I$11)</f>
        <v>0</v>
      </c>
      <c r="F46" s="14">
        <f>IF('Synthèse'!$I$4="","",'Synthèse'!$I$24)</f>
        <v>0</v>
      </c>
      <c r="G46" s="15">
        <f>IF('Synthèse'!$I$4="","",'Synthèse'!$I$27)</f>
        <v>0</v>
      </c>
      <c r="H46" s="13">
        <f>IF('Synthèse'!$I$4="","",'Synthèse'!$I$25)</f>
        <v>0</v>
      </c>
      <c r="I46" s="13"/>
    </row>
    <row r="47" spans="2:9">
      <c r="B47" s="12">
        <f>IF('Synthèse'!$J$4="","",HYPERLINK("#'"&amp;'Synthèse'!$J$4&amp;"'!A1",'Synthèse'!$J$4))</f>
        <v>0</v>
      </c>
      <c r="C47" s="13">
        <f>IF('Synthèse'!$J$4="","",'Synthèse'!$J$5)</f>
        <v>0</v>
      </c>
      <c r="D47" s="7">
        <f>IF('Synthèse'!$J$4="","",'Synthèse'!$J$8)</f>
        <v>0</v>
      </c>
      <c r="E47" s="7">
        <f>IF('Synthèse'!$J$4="","",'Synthèse'!$J$11)</f>
        <v>0</v>
      </c>
      <c r="F47" s="14">
        <f>IF('Synthèse'!$J$4="","",'Synthèse'!$J$24)</f>
        <v>0</v>
      </c>
      <c r="G47" s="15">
        <f>IF('Synthèse'!$J$4="","",'Synthèse'!$J$27)</f>
        <v>0</v>
      </c>
      <c r="H47" s="13">
        <f>IF('Synthèse'!$J$4="","",'Synthèse'!$J$25)</f>
        <v>0</v>
      </c>
      <c r="I47" s="13"/>
    </row>
    <row r="48" spans="2:9">
      <c r="B48" s="12">
        <f>IF('Synthèse'!$K$4="","",HYPERLINK("#'"&amp;'Synthèse'!$K$4&amp;"'!A1",'Synthèse'!$K$4))</f>
        <v>0</v>
      </c>
      <c r="C48" s="13">
        <f>IF('Synthèse'!$K$4="","",'Synthèse'!$K$5)</f>
        <v>0</v>
      </c>
      <c r="D48" s="7">
        <f>IF('Synthèse'!$K$4="","",'Synthèse'!$K$8)</f>
        <v>0</v>
      </c>
      <c r="E48" s="7">
        <f>IF('Synthèse'!$K$4="","",'Synthèse'!$K$11)</f>
        <v>0</v>
      </c>
      <c r="F48" s="14">
        <f>IF('Synthèse'!$K$4="","",'Synthèse'!$K$24)</f>
        <v>0</v>
      </c>
      <c r="G48" s="15">
        <f>IF('Synthèse'!$K$4="","",'Synthèse'!$K$27)</f>
        <v>0</v>
      </c>
      <c r="H48" s="13">
        <f>IF('Synthèse'!$K$4="","",'Synthèse'!$K$25)</f>
        <v>0</v>
      </c>
      <c r="I48" s="13"/>
    </row>
    <row r="49" spans="2:9">
      <c r="B49" s="12">
        <f>IF('Synthèse'!$L$4="","",HYPERLINK("#'"&amp;'Synthèse'!$L$4&amp;"'!A1",'Synthèse'!$L$4))</f>
        <v>0</v>
      </c>
      <c r="C49" s="13">
        <f>IF('Synthèse'!$L$4="","",'Synthèse'!$L$5)</f>
        <v>0</v>
      </c>
      <c r="D49" s="7">
        <f>IF('Synthèse'!$L$4="","",'Synthèse'!$L$8)</f>
        <v>0</v>
      </c>
      <c r="E49" s="7">
        <f>IF('Synthèse'!$L$4="","",'Synthèse'!$L$11)</f>
        <v>0</v>
      </c>
      <c r="F49" s="14">
        <f>IF('Synthèse'!$L$4="","",'Synthèse'!$L$24)</f>
        <v>0</v>
      </c>
      <c r="G49" s="15">
        <f>IF('Synthèse'!$L$4="","",'Synthèse'!$L$27)</f>
        <v>0</v>
      </c>
      <c r="H49" s="13">
        <f>IF('Synthèse'!$L$4="","",'Synthèse'!$L$25)</f>
        <v>0</v>
      </c>
      <c r="I49" s="13"/>
    </row>
    <row r="50" spans="2:9">
      <c r="B50" s="12">
        <f>IF('Synthèse'!$M$4="","",HYPERLINK("#'"&amp;'Synthèse'!$M$4&amp;"'!A1",'Synthèse'!$M$4))</f>
        <v>0</v>
      </c>
      <c r="C50" s="13">
        <f>IF('Synthèse'!$M$4="","",'Synthèse'!$M$5)</f>
        <v>0</v>
      </c>
      <c r="D50" s="7">
        <f>IF('Synthèse'!$M$4="","",'Synthèse'!$M$8)</f>
        <v>0</v>
      </c>
      <c r="E50" s="7">
        <f>IF('Synthèse'!$M$4="","",'Synthèse'!$M$11)</f>
        <v>0</v>
      </c>
      <c r="F50" s="14">
        <f>IF('Synthèse'!$M$4="","",'Synthèse'!$M$24)</f>
        <v>0</v>
      </c>
      <c r="G50" s="15">
        <f>IF('Synthèse'!$M$4="","",'Synthèse'!$M$27)</f>
        <v>0</v>
      </c>
      <c r="H50" s="13">
        <f>IF('Synthèse'!$M$4="","",'Synthèse'!$M$25)</f>
        <v>0</v>
      </c>
      <c r="I50" s="13"/>
    </row>
    <row r="51" spans="2:9">
      <c r="B51" s="12">
        <f>IF('Synthèse'!$N$4="","",HYPERLINK("#'"&amp;'Synthèse'!$N$4&amp;"'!A1",'Synthèse'!$N$4))</f>
        <v>0</v>
      </c>
      <c r="C51" s="13">
        <f>IF('Synthèse'!$N$4="","",'Synthèse'!$N$5)</f>
        <v>0</v>
      </c>
      <c r="D51" s="7">
        <f>IF('Synthèse'!$N$4="","",'Synthèse'!$N$8)</f>
        <v>0</v>
      </c>
      <c r="E51" s="7">
        <f>IF('Synthèse'!$N$4="","",'Synthèse'!$N$11)</f>
        <v>0</v>
      </c>
      <c r="F51" s="14">
        <f>IF('Synthèse'!$N$4="","",'Synthèse'!$N$24)</f>
        <v>0</v>
      </c>
      <c r="G51" s="15">
        <f>IF('Synthèse'!$N$4="","",'Synthèse'!$N$27)</f>
        <v>0</v>
      </c>
      <c r="H51" s="13">
        <f>IF('Synthèse'!$N$4="","",'Synthèse'!$N$25)</f>
        <v>0</v>
      </c>
      <c r="I51" s="13"/>
    </row>
    <row r="52" spans="2:9">
      <c r="B52" s="12">
        <f>IF('Synthèse'!$O$4="","",HYPERLINK("#'"&amp;'Synthèse'!$O$4&amp;"'!A1",'Synthèse'!$O$4))</f>
        <v>0</v>
      </c>
      <c r="C52" s="13">
        <f>IF('Synthèse'!$O$4="","",'Synthèse'!$O$5)</f>
        <v>0</v>
      </c>
      <c r="D52" s="7">
        <f>IF('Synthèse'!$O$4="","",'Synthèse'!$O$8)</f>
        <v>0</v>
      </c>
      <c r="E52" s="7">
        <f>IF('Synthèse'!$O$4="","",'Synthèse'!$O$11)</f>
        <v>0</v>
      </c>
      <c r="F52" s="14">
        <f>IF('Synthèse'!$O$4="","",'Synthèse'!$O$24)</f>
        <v>0</v>
      </c>
      <c r="G52" s="15">
        <f>IF('Synthèse'!$O$4="","",'Synthèse'!$O$27)</f>
        <v>0</v>
      </c>
      <c r="H52" s="13">
        <f>IF('Synthèse'!$O$4="","",'Synthèse'!$O$25)</f>
        <v>0</v>
      </c>
      <c r="I52" s="13"/>
    </row>
    <row r="53" spans="2:9">
      <c r="B53" s="12">
        <f>IF('Synthèse'!$P$4="","",HYPERLINK("#'"&amp;'Synthèse'!$P$4&amp;"'!A1",'Synthèse'!$P$4))</f>
        <v>0</v>
      </c>
      <c r="C53" s="13">
        <f>IF('Synthèse'!$P$4="","",'Synthèse'!$P$5)</f>
        <v>0</v>
      </c>
      <c r="D53" s="7">
        <f>IF('Synthèse'!$P$4="","",'Synthèse'!$P$8)</f>
        <v>0</v>
      </c>
      <c r="E53" s="7">
        <f>IF('Synthèse'!$P$4="","",'Synthèse'!$P$11)</f>
        <v>0</v>
      </c>
      <c r="F53" s="14">
        <f>IF('Synthèse'!$P$4="","",'Synthèse'!$P$24)</f>
        <v>0</v>
      </c>
      <c r="G53" s="15">
        <f>IF('Synthèse'!$P$4="","",'Synthèse'!$P$27)</f>
        <v>0</v>
      </c>
      <c r="H53" s="13">
        <f>IF('Synthèse'!$P$4="","",'Synthèse'!$P$25)</f>
        <v>0</v>
      </c>
      <c r="I53" s="13"/>
    </row>
    <row r="54" spans="2:9">
      <c r="B54" s="12">
        <f>IF('Synthèse'!$Q$4="","",HYPERLINK("#'"&amp;'Synthèse'!$Q$4&amp;"'!A1",'Synthèse'!$Q$4))</f>
        <v>0</v>
      </c>
      <c r="C54" s="13">
        <f>IF('Synthèse'!$Q$4="","",'Synthèse'!$Q$5)</f>
        <v>0</v>
      </c>
      <c r="D54" s="7">
        <f>IF('Synthèse'!$Q$4="","",'Synthèse'!$Q$8)</f>
        <v>0</v>
      </c>
      <c r="E54" s="7">
        <f>IF('Synthèse'!$Q$4="","",'Synthèse'!$Q$11)</f>
        <v>0</v>
      </c>
      <c r="F54" s="14">
        <f>IF('Synthèse'!$Q$4="","",'Synthèse'!$Q$24)</f>
        <v>0</v>
      </c>
      <c r="G54" s="15">
        <f>IF('Synthèse'!$Q$4="","",'Synthèse'!$Q$27)</f>
        <v>0</v>
      </c>
      <c r="H54" s="13">
        <f>IF('Synthèse'!$Q$4="","",'Synthèse'!$Q$25)</f>
        <v>0</v>
      </c>
      <c r="I54" s="13"/>
    </row>
    <row r="55" spans="2:9">
      <c r="B55" s="12">
        <f>IF('Synthèse'!$R$4="","",HYPERLINK("#'"&amp;'Synthèse'!$R$4&amp;"'!A1",'Synthèse'!$R$4))</f>
        <v>0</v>
      </c>
      <c r="C55" s="13">
        <f>IF('Synthèse'!$R$4="","",'Synthèse'!$R$5)</f>
        <v>0</v>
      </c>
      <c r="D55" s="7">
        <f>IF('Synthèse'!$R$4="","",'Synthèse'!$R$8)</f>
        <v>0</v>
      </c>
      <c r="E55" s="7">
        <f>IF('Synthèse'!$R$4="","",'Synthèse'!$R$11)</f>
        <v>0</v>
      </c>
      <c r="F55" s="14">
        <f>IF('Synthèse'!$R$4="","",'Synthèse'!$R$24)</f>
        <v>0</v>
      </c>
      <c r="G55" s="15">
        <f>IF('Synthèse'!$R$4="","",'Synthèse'!$R$27)</f>
        <v>0</v>
      </c>
      <c r="H55" s="13">
        <f>IF('Synthèse'!$R$4="","",'Synthèse'!$R$25)</f>
        <v>0</v>
      </c>
      <c r="I55" s="13"/>
    </row>
    <row r="56" spans="2:9">
      <c r="B56" s="12">
        <f>IF('Synthèse'!$S$4="","",HYPERLINK("#'"&amp;'Synthèse'!$S$4&amp;"'!A1",'Synthèse'!$S$4))</f>
        <v>0</v>
      </c>
      <c r="C56" s="13">
        <f>IF('Synthèse'!$S$4="","",'Synthèse'!$S$5)</f>
        <v>0</v>
      </c>
      <c r="D56" s="7">
        <f>IF('Synthèse'!$S$4="","",'Synthèse'!$S$8)</f>
        <v>0</v>
      </c>
      <c r="E56" s="7">
        <f>IF('Synthèse'!$S$4="","",'Synthèse'!$S$11)</f>
        <v>0</v>
      </c>
      <c r="F56" s="14">
        <f>IF('Synthèse'!$S$4="","",'Synthèse'!$S$24)</f>
        <v>0</v>
      </c>
      <c r="G56" s="15">
        <f>IF('Synthèse'!$S$4="","",'Synthèse'!$S$27)</f>
        <v>0</v>
      </c>
      <c r="H56" s="13">
        <f>IF('Synthèse'!$S$4="","",'Synthèse'!$S$25)</f>
        <v>0</v>
      </c>
      <c r="I56" s="13"/>
    </row>
    <row r="57" spans="2:9">
      <c r="B57" s="12">
        <f>IF('Synthèse'!$T$4="","",HYPERLINK("#'"&amp;'Synthèse'!$T$4&amp;"'!A1",'Synthèse'!$T$4))</f>
        <v>0</v>
      </c>
      <c r="C57" s="13">
        <f>IF('Synthèse'!$T$4="","",'Synthèse'!$T$5)</f>
        <v>0</v>
      </c>
      <c r="D57" s="7">
        <f>IF('Synthèse'!$T$4="","",'Synthèse'!$T$8)</f>
        <v>0</v>
      </c>
      <c r="E57" s="7">
        <f>IF('Synthèse'!$T$4="","",'Synthèse'!$T$11)</f>
        <v>0</v>
      </c>
      <c r="F57" s="14">
        <f>IF('Synthèse'!$T$4="","",'Synthèse'!$T$24)</f>
        <v>0</v>
      </c>
      <c r="G57" s="15">
        <f>IF('Synthèse'!$T$4="","",'Synthèse'!$T$27)</f>
        <v>0</v>
      </c>
      <c r="H57" s="13">
        <f>IF('Synthèse'!$T$4="","",'Synthèse'!$T$25)</f>
        <v>0</v>
      </c>
      <c r="I57" s="13"/>
    </row>
    <row r="58" spans="2:9">
      <c r="B58" s="12">
        <f>IF('Synthèse'!$U$4="","",HYPERLINK("#'"&amp;'Synthèse'!$U$4&amp;"'!A1",'Synthèse'!$U$4))</f>
        <v>0</v>
      </c>
      <c r="C58" s="13">
        <f>IF('Synthèse'!$U$4="","",'Synthèse'!$U$5)</f>
        <v>0</v>
      </c>
      <c r="D58" s="7">
        <f>IF('Synthèse'!$U$4="","",'Synthèse'!$U$8)</f>
        <v>0</v>
      </c>
      <c r="E58" s="7">
        <f>IF('Synthèse'!$U$4="","",'Synthèse'!$U$11)</f>
        <v>0</v>
      </c>
      <c r="F58" s="14">
        <f>IF('Synthèse'!$U$4="","",'Synthèse'!$U$24)</f>
        <v>0</v>
      </c>
      <c r="G58" s="15">
        <f>IF('Synthèse'!$U$4="","",'Synthèse'!$U$27)</f>
        <v>0</v>
      </c>
      <c r="H58" s="13">
        <f>IF('Synthèse'!$U$4="","",'Synthèse'!$U$25)</f>
        <v>0</v>
      </c>
      <c r="I58" s="13"/>
    </row>
    <row r="59" spans="2:9">
      <c r="B59" s="12">
        <f>IF('Synthèse'!$V$4="","",HYPERLINK("#'"&amp;'Synthèse'!$V$4&amp;"'!A1",'Synthèse'!$V$4))</f>
        <v>0</v>
      </c>
      <c r="C59" s="13">
        <f>IF('Synthèse'!$V$4="","",'Synthèse'!$V$5)</f>
        <v>0</v>
      </c>
      <c r="D59" s="7">
        <f>IF('Synthèse'!$V$4="","",'Synthèse'!$V$8)</f>
        <v>0</v>
      </c>
      <c r="E59" s="7">
        <f>IF('Synthèse'!$V$4="","",'Synthèse'!$V$11)</f>
        <v>0</v>
      </c>
      <c r="F59" s="14">
        <f>IF('Synthèse'!$V$4="","",'Synthèse'!$V$24)</f>
        <v>0</v>
      </c>
      <c r="G59" s="15">
        <f>IF('Synthèse'!$V$4="","",'Synthèse'!$V$27)</f>
        <v>0</v>
      </c>
      <c r="H59" s="13">
        <f>IF('Synthèse'!$V$4="","",'Synthèse'!$V$25)</f>
        <v>0</v>
      </c>
      <c r="I59" s="13"/>
    </row>
    <row r="60" spans="2:9">
      <c r="B60" s="12">
        <f>IF('Synthèse'!$W$4="","",HYPERLINK("#'"&amp;'Synthèse'!$W$4&amp;"'!A1",'Synthèse'!$W$4))</f>
        <v>0</v>
      </c>
      <c r="C60" s="13">
        <f>IF('Synthèse'!$W$4="","",'Synthèse'!$W$5)</f>
        <v>0</v>
      </c>
      <c r="D60" s="7">
        <f>IF('Synthèse'!$W$4="","",'Synthèse'!$W$8)</f>
        <v>0</v>
      </c>
      <c r="E60" s="7">
        <f>IF('Synthèse'!$W$4="","",'Synthèse'!$W$11)</f>
        <v>0</v>
      </c>
      <c r="F60" s="14">
        <f>IF('Synthèse'!$W$4="","",'Synthèse'!$W$24)</f>
        <v>0</v>
      </c>
      <c r="G60" s="15">
        <f>IF('Synthèse'!$W$4="","",'Synthèse'!$W$27)</f>
        <v>0</v>
      </c>
      <c r="H60" s="13">
        <f>IF('Synthèse'!$W$4="","",'Synthèse'!$W$25)</f>
        <v>0</v>
      </c>
      <c r="I60" s="13"/>
    </row>
    <row r="61" spans="2:9">
      <c r="B61" s="12">
        <f>IF('Synthèse'!$X$4="","",HYPERLINK("#'"&amp;'Synthèse'!$X$4&amp;"'!A1",'Synthèse'!$X$4))</f>
        <v>0</v>
      </c>
      <c r="C61" s="13">
        <f>IF('Synthèse'!$X$4="","",'Synthèse'!$X$5)</f>
        <v>0</v>
      </c>
      <c r="D61" s="7">
        <f>IF('Synthèse'!$X$4="","",'Synthèse'!$X$8)</f>
        <v>0</v>
      </c>
      <c r="E61" s="7">
        <f>IF('Synthèse'!$X$4="","",'Synthèse'!$X$11)</f>
        <v>0</v>
      </c>
      <c r="F61" s="14">
        <f>IF('Synthèse'!$X$4="","",'Synthèse'!$X$24)</f>
        <v>0</v>
      </c>
      <c r="G61" s="15">
        <f>IF('Synthèse'!$X$4="","",'Synthèse'!$X$27)</f>
        <v>0</v>
      </c>
      <c r="H61" s="13">
        <f>IF('Synthèse'!$X$4="","",'Synthèse'!$X$25)</f>
        <v>0</v>
      </c>
      <c r="I61" s="13"/>
    </row>
    <row r="62" spans="2:9">
      <c r="B62" s="12">
        <f>IF('Synthèse'!$Y$4="","",HYPERLINK("#'"&amp;'Synthèse'!$Y$4&amp;"'!A1",'Synthèse'!$Y$4))</f>
        <v>0</v>
      </c>
      <c r="C62" s="13">
        <f>IF('Synthèse'!$Y$4="","",'Synthèse'!$Y$5)</f>
        <v>0</v>
      </c>
      <c r="D62" s="7">
        <f>IF('Synthèse'!$Y$4="","",'Synthèse'!$Y$8)</f>
        <v>0</v>
      </c>
      <c r="E62" s="7">
        <f>IF('Synthèse'!$Y$4="","",'Synthèse'!$Y$11)</f>
        <v>0</v>
      </c>
      <c r="F62" s="14">
        <f>IF('Synthèse'!$Y$4="","",'Synthèse'!$Y$24)</f>
        <v>0</v>
      </c>
      <c r="G62" s="15">
        <f>IF('Synthèse'!$Y$4="","",'Synthèse'!$Y$27)</f>
        <v>0</v>
      </c>
      <c r="H62" s="13">
        <f>IF('Synthèse'!$Y$4="","",'Synthèse'!$Y$25)</f>
        <v>0</v>
      </c>
      <c r="I62" s="13"/>
    </row>
    <row r="63" spans="2:9">
      <c r="B63" s="12">
        <f>IF('Synthèse'!$Z$4="","",HYPERLINK("#'"&amp;'Synthèse'!$Z$4&amp;"'!A1",'Synthèse'!$Z$4))</f>
        <v>0</v>
      </c>
      <c r="C63" s="13">
        <f>IF('Synthèse'!$Z$4="","",'Synthèse'!$Z$5)</f>
        <v>0</v>
      </c>
      <c r="D63" s="7">
        <f>IF('Synthèse'!$Z$4="","",'Synthèse'!$Z$8)</f>
        <v>0</v>
      </c>
      <c r="E63" s="7">
        <f>IF('Synthèse'!$Z$4="","",'Synthèse'!$Z$11)</f>
        <v>0</v>
      </c>
      <c r="F63" s="14">
        <f>IF('Synthèse'!$Z$4="","",'Synthèse'!$Z$24)</f>
        <v>0</v>
      </c>
      <c r="G63" s="15">
        <f>IF('Synthèse'!$Z$4="","",'Synthèse'!$Z$27)</f>
        <v>0</v>
      </c>
      <c r="H63" s="13">
        <f>IF('Synthèse'!$Z$4="","",'Synthèse'!$Z$25)</f>
        <v>0</v>
      </c>
      <c r="I63" s="13"/>
    </row>
    <row r="64" spans="2:9">
      <c r="B64" s="12">
        <f>IF('Synthèse'!$AA$4="","",HYPERLINK("#'"&amp;'Synthèse'!$AA$4&amp;"'!A1",'Synthèse'!$AA$4))</f>
        <v>0</v>
      </c>
      <c r="C64" s="13">
        <f>IF('Synthèse'!$AA$4="","",'Synthèse'!$AA$5)</f>
        <v>0</v>
      </c>
      <c r="D64" s="7">
        <f>IF('Synthèse'!$AA$4="","",'Synthèse'!$AA$8)</f>
        <v>0</v>
      </c>
      <c r="E64" s="7">
        <f>IF('Synthèse'!$AA$4="","",'Synthèse'!$AA$11)</f>
        <v>0</v>
      </c>
      <c r="F64" s="14">
        <f>IF('Synthèse'!$AA$4="","",'Synthèse'!$AA$24)</f>
        <v>0</v>
      </c>
      <c r="G64" s="15">
        <f>IF('Synthèse'!$AA$4="","",'Synthèse'!$AA$27)</f>
        <v>0</v>
      </c>
      <c r="H64" s="13">
        <f>IF('Synthèse'!$AA$4="","",'Synthèse'!$AA$25)</f>
        <v>0</v>
      </c>
      <c r="I64" s="13"/>
    </row>
    <row r="65" spans="2:9">
      <c r="B65" s="12">
        <f>IF('Synthèse'!$AB$4="","",HYPERLINK("#'"&amp;'Synthèse'!$AB$4&amp;"'!A1",'Synthèse'!$AB$4))</f>
        <v>0</v>
      </c>
      <c r="C65" s="13">
        <f>IF('Synthèse'!$AB$4="","",'Synthèse'!$AB$5)</f>
        <v>0</v>
      </c>
      <c r="D65" s="7">
        <f>IF('Synthèse'!$AB$4="","",'Synthèse'!$AB$8)</f>
        <v>0</v>
      </c>
      <c r="E65" s="7">
        <f>IF('Synthèse'!$AB$4="","",'Synthèse'!$AB$11)</f>
        <v>0</v>
      </c>
      <c r="F65" s="14">
        <f>IF('Synthèse'!$AB$4="","",'Synthèse'!$AB$24)</f>
        <v>0</v>
      </c>
      <c r="G65" s="15">
        <f>IF('Synthèse'!$AB$4="","",'Synthèse'!$AB$27)</f>
        <v>0</v>
      </c>
      <c r="H65" s="13">
        <f>IF('Synthèse'!$AB$4="","",'Synthèse'!$AB$25)</f>
        <v>0</v>
      </c>
      <c r="I65" s="13"/>
    </row>
    <row r="66" spans="2:9">
      <c r="B66" s="12">
        <f>IF('Synthèse'!$AC$4="","",HYPERLINK("#'"&amp;'Synthèse'!$AC$4&amp;"'!A1",'Synthèse'!$AC$4))</f>
        <v>0</v>
      </c>
      <c r="C66" s="13">
        <f>IF('Synthèse'!$AC$4="","",'Synthèse'!$AC$5)</f>
        <v>0</v>
      </c>
      <c r="D66" s="7">
        <f>IF('Synthèse'!$AC$4="","",'Synthèse'!$AC$8)</f>
        <v>0</v>
      </c>
      <c r="E66" s="7">
        <f>IF('Synthèse'!$AC$4="","",'Synthèse'!$AC$11)</f>
        <v>0</v>
      </c>
      <c r="F66" s="14">
        <f>IF('Synthèse'!$AC$4="","",'Synthèse'!$AC$24)</f>
        <v>0</v>
      </c>
      <c r="G66" s="15">
        <f>IF('Synthèse'!$AC$4="","",'Synthèse'!$AC$27)</f>
        <v>0</v>
      </c>
      <c r="H66" s="13">
        <f>IF('Synthèse'!$AC$4="","",'Synthèse'!$AC$25)</f>
        <v>0</v>
      </c>
      <c r="I66" s="13"/>
    </row>
    <row r="67" spans="2:9">
      <c r="B67" s="12">
        <f>IF('Synthèse'!$AD$4="","",HYPERLINK("#'"&amp;'Synthèse'!$AD$4&amp;"'!A1",'Synthèse'!$AD$4))</f>
        <v>0</v>
      </c>
      <c r="C67" s="13">
        <f>IF('Synthèse'!$AD$4="","",'Synthèse'!$AD$5)</f>
        <v>0</v>
      </c>
      <c r="D67" s="7">
        <f>IF('Synthèse'!$AD$4="","",'Synthèse'!$AD$8)</f>
        <v>0</v>
      </c>
      <c r="E67" s="7">
        <f>IF('Synthèse'!$AD$4="","",'Synthèse'!$AD$11)</f>
        <v>0</v>
      </c>
      <c r="F67" s="14">
        <f>IF('Synthèse'!$AD$4="","",'Synthèse'!$AD$24)</f>
        <v>0</v>
      </c>
      <c r="G67" s="15">
        <f>IF('Synthèse'!$AD$4="","",'Synthèse'!$AD$27)</f>
        <v>0</v>
      </c>
      <c r="H67" s="13">
        <f>IF('Synthèse'!$AD$4="","",'Synthèse'!$AD$25)</f>
        <v>0</v>
      </c>
      <c r="I67" s="13"/>
    </row>
    <row r="68" spans="2:9">
      <c r="B68" s="12">
        <f>IF('Synthèse'!$AE$4="","",HYPERLINK("#'"&amp;'Synthèse'!$AE$4&amp;"'!A1",'Synthèse'!$AE$4))</f>
        <v>0</v>
      </c>
      <c r="C68" s="13">
        <f>IF('Synthèse'!$AE$4="","",'Synthèse'!$AE$5)</f>
        <v>0</v>
      </c>
      <c r="D68" s="7">
        <f>IF('Synthèse'!$AE$4="","",'Synthèse'!$AE$8)</f>
        <v>0</v>
      </c>
      <c r="E68" s="7">
        <f>IF('Synthèse'!$AE$4="","",'Synthèse'!$AE$11)</f>
        <v>0</v>
      </c>
      <c r="F68" s="14">
        <f>IF('Synthèse'!$AE$4="","",'Synthèse'!$AE$24)</f>
        <v>0</v>
      </c>
      <c r="G68" s="15">
        <f>IF('Synthèse'!$AE$4="","",'Synthèse'!$AE$27)</f>
        <v>0</v>
      </c>
      <c r="H68" s="13">
        <f>IF('Synthèse'!$AE$4="","",'Synthèse'!$AE$25)</f>
        <v>0</v>
      </c>
      <c r="I68" s="13"/>
    </row>
    <row r="69" spans="2:9">
      <c r="B69" s="12">
        <f>IF('Synthèse'!$AF$4="","",HYPERLINK("#'"&amp;'Synthèse'!$AF$4&amp;"'!A1",'Synthèse'!$AF$4))</f>
        <v>0</v>
      </c>
      <c r="C69" s="13">
        <f>IF('Synthèse'!$AF$4="","",'Synthèse'!$AF$5)</f>
        <v>0</v>
      </c>
      <c r="D69" s="7">
        <f>IF('Synthèse'!$AF$4="","",'Synthèse'!$AF$8)</f>
        <v>0</v>
      </c>
      <c r="E69" s="7">
        <f>IF('Synthèse'!$AF$4="","",'Synthèse'!$AF$11)</f>
        <v>0</v>
      </c>
      <c r="F69" s="14">
        <f>IF('Synthèse'!$AF$4="","",'Synthèse'!$AF$24)</f>
        <v>0</v>
      </c>
      <c r="G69" s="15">
        <f>IF('Synthèse'!$AF$4="","",'Synthèse'!$AF$27)</f>
        <v>0</v>
      </c>
      <c r="H69" s="13">
        <f>IF('Synthèse'!$AF$4="","",'Synthèse'!$AF$25)</f>
        <v>0</v>
      </c>
      <c r="I69" s="13"/>
    </row>
    <row r="70" spans="2:9">
      <c r="B70" s="12">
        <f>IF('Synthèse'!$AG$4="","",HYPERLINK("#'"&amp;'Synthèse'!$AG$4&amp;"'!A1",'Synthèse'!$AG$4))</f>
        <v>0</v>
      </c>
      <c r="C70" s="13">
        <f>IF('Synthèse'!$AG$4="","",'Synthèse'!$AG$5)</f>
        <v>0</v>
      </c>
      <c r="D70" s="7">
        <f>IF('Synthèse'!$AG$4="","",'Synthèse'!$AG$8)</f>
        <v>0</v>
      </c>
      <c r="E70" s="7">
        <f>IF('Synthèse'!$AG$4="","",'Synthèse'!$AG$11)</f>
        <v>0</v>
      </c>
      <c r="F70" s="14">
        <f>IF('Synthèse'!$AG$4="","",'Synthèse'!$AG$24)</f>
        <v>0</v>
      </c>
      <c r="G70" s="15">
        <f>IF('Synthèse'!$AG$4="","",'Synthèse'!$AG$27)</f>
        <v>0</v>
      </c>
      <c r="H70" s="13">
        <f>IF('Synthèse'!$AG$4="","",'Synthèse'!$AG$25)</f>
        <v>0</v>
      </c>
      <c r="I70" s="13"/>
    </row>
    <row r="71" spans="2:9">
      <c r="B71" s="12">
        <f>IF('Synthèse'!$AH$4="","",HYPERLINK("#'"&amp;'Synthèse'!$AH$4&amp;"'!A1",'Synthèse'!$AH$4))</f>
        <v>0</v>
      </c>
      <c r="C71" s="13">
        <f>IF('Synthèse'!$AH$4="","",'Synthèse'!$AH$5)</f>
        <v>0</v>
      </c>
      <c r="D71" s="7">
        <f>IF('Synthèse'!$AH$4="","",'Synthèse'!$AH$8)</f>
        <v>0</v>
      </c>
      <c r="E71" s="7">
        <f>IF('Synthèse'!$AH$4="","",'Synthèse'!$AH$11)</f>
        <v>0</v>
      </c>
      <c r="F71" s="14">
        <f>IF('Synthèse'!$AH$4="","",'Synthèse'!$AH$24)</f>
        <v>0</v>
      </c>
      <c r="G71" s="15">
        <f>IF('Synthèse'!$AH$4="","",'Synthèse'!$AH$27)</f>
        <v>0</v>
      </c>
      <c r="H71" s="13">
        <f>IF('Synthèse'!$AH$4="","",'Synthèse'!$AH$25)</f>
        <v>0</v>
      </c>
      <c r="I71" s="13"/>
    </row>
    <row r="72" spans="2:9">
      <c r="B72" s="12">
        <f>IF('Synthèse'!$AI$4="","",HYPERLINK("#'"&amp;'Synthèse'!$AI$4&amp;"'!A1",'Synthèse'!$AI$4))</f>
        <v>0</v>
      </c>
      <c r="C72" s="13">
        <f>IF('Synthèse'!$AI$4="","",'Synthèse'!$AI$5)</f>
        <v>0</v>
      </c>
      <c r="D72" s="7">
        <f>IF('Synthèse'!$AI$4="","",'Synthèse'!$AI$8)</f>
        <v>0</v>
      </c>
      <c r="E72" s="7">
        <f>IF('Synthèse'!$AI$4="","",'Synthèse'!$AI$11)</f>
        <v>0</v>
      </c>
      <c r="F72" s="14">
        <f>IF('Synthèse'!$AI$4="","",'Synthèse'!$AI$24)</f>
        <v>0</v>
      </c>
      <c r="G72" s="15">
        <f>IF('Synthèse'!$AI$4="","",'Synthèse'!$AI$27)</f>
        <v>0</v>
      </c>
      <c r="H72" s="13">
        <f>IF('Synthèse'!$AI$4="","",'Synthèse'!$AI$25)</f>
        <v>0</v>
      </c>
      <c r="I72" s="13"/>
    </row>
    <row r="73" spans="2:9">
      <c r="B73" s="12">
        <f>IF('Synthèse'!$AJ$4="","",HYPERLINK("#'"&amp;'Synthèse'!$AJ$4&amp;"'!A1",'Synthèse'!$AJ$4))</f>
        <v>0</v>
      </c>
      <c r="C73" s="13">
        <f>IF('Synthèse'!$AJ$4="","",'Synthèse'!$AJ$5)</f>
        <v>0</v>
      </c>
      <c r="D73" s="7">
        <f>IF('Synthèse'!$AJ$4="","",'Synthèse'!$AJ$8)</f>
        <v>0</v>
      </c>
      <c r="E73" s="7">
        <f>IF('Synthèse'!$AJ$4="","",'Synthèse'!$AJ$11)</f>
        <v>0</v>
      </c>
      <c r="F73" s="14">
        <f>IF('Synthèse'!$AJ$4="","",'Synthèse'!$AJ$24)</f>
        <v>0</v>
      </c>
      <c r="G73" s="15">
        <f>IF('Synthèse'!$AJ$4="","",'Synthèse'!$AJ$27)</f>
        <v>0</v>
      </c>
      <c r="H73" s="13">
        <f>IF('Synthèse'!$AJ$4="","",'Synthèse'!$AJ$25)</f>
        <v>0</v>
      </c>
      <c r="I73" s="13"/>
    </row>
    <row r="74" spans="2:9">
      <c r="B74" s="12">
        <f>IF('Synthèse'!$AK$4="","",HYPERLINK("#'"&amp;'Synthèse'!$AK$4&amp;"'!A1",'Synthèse'!$AK$4))</f>
        <v>0</v>
      </c>
      <c r="C74" s="13">
        <f>IF('Synthèse'!$AK$4="","",'Synthèse'!$AK$5)</f>
        <v>0</v>
      </c>
      <c r="D74" s="7">
        <f>IF('Synthèse'!$AK$4="","",'Synthèse'!$AK$8)</f>
        <v>0</v>
      </c>
      <c r="E74" s="7">
        <f>IF('Synthèse'!$AK$4="","",'Synthèse'!$AK$11)</f>
        <v>0</v>
      </c>
      <c r="F74" s="14">
        <f>IF('Synthèse'!$AK$4="","",'Synthèse'!$AK$24)</f>
        <v>0</v>
      </c>
      <c r="G74" s="15">
        <f>IF('Synthèse'!$AK$4="","",'Synthèse'!$AK$27)</f>
        <v>0</v>
      </c>
      <c r="H74" s="13">
        <f>IF('Synthèse'!$AK$4="","",'Synthèse'!$AK$25)</f>
        <v>0</v>
      </c>
      <c r="I74" s="13"/>
    </row>
    <row r="75" spans="2:9">
      <c r="B75" s="12">
        <f>IF('Synthèse'!$AL$4="","",HYPERLINK("#'"&amp;'Synthèse'!$AL$4&amp;"'!A1",'Synthèse'!$AL$4))</f>
        <v>0</v>
      </c>
      <c r="C75" s="13">
        <f>IF('Synthèse'!$AL$4="","",'Synthèse'!$AL$5)</f>
        <v>0</v>
      </c>
      <c r="D75" s="7">
        <f>IF('Synthèse'!$AL$4="","",'Synthèse'!$AL$8)</f>
        <v>0</v>
      </c>
      <c r="E75" s="7">
        <f>IF('Synthèse'!$AL$4="","",'Synthèse'!$AL$11)</f>
        <v>0</v>
      </c>
      <c r="F75" s="14">
        <f>IF('Synthèse'!$AL$4="","",'Synthèse'!$AL$24)</f>
        <v>0</v>
      </c>
      <c r="G75" s="15">
        <f>IF('Synthèse'!$AL$4="","",'Synthèse'!$AL$27)</f>
        <v>0</v>
      </c>
      <c r="H75" s="13">
        <f>IF('Synthèse'!$AL$4="","",'Synthèse'!$AL$25)</f>
        <v>0</v>
      </c>
      <c r="I75" s="13"/>
    </row>
    <row r="76" spans="2:9">
      <c r="B76" s="12">
        <f>IF('Synthèse'!$AM$4="","",HYPERLINK("#'"&amp;'Synthèse'!$AM$4&amp;"'!A1",'Synthèse'!$AM$4))</f>
        <v>0</v>
      </c>
      <c r="C76" s="13">
        <f>IF('Synthèse'!$AM$4="","",'Synthèse'!$AM$5)</f>
        <v>0</v>
      </c>
      <c r="D76" s="7">
        <f>IF('Synthèse'!$AM$4="","",'Synthèse'!$AM$8)</f>
        <v>0</v>
      </c>
      <c r="E76" s="7">
        <f>IF('Synthèse'!$AM$4="","",'Synthèse'!$AM$11)</f>
        <v>0</v>
      </c>
      <c r="F76" s="14">
        <f>IF('Synthèse'!$AM$4="","",'Synthèse'!$AM$24)</f>
        <v>0</v>
      </c>
      <c r="G76" s="15">
        <f>IF('Synthèse'!$AM$4="","",'Synthèse'!$AM$27)</f>
        <v>0</v>
      </c>
      <c r="H76" s="13">
        <f>IF('Synthèse'!$AM$4="","",'Synthèse'!$AM$25)</f>
        <v>0</v>
      </c>
      <c r="I76" s="13"/>
    </row>
    <row r="77" spans="2:9">
      <c r="B77" s="12">
        <f>IF('Synthèse'!$AN$4="","",HYPERLINK("#'"&amp;'Synthèse'!$AN$4&amp;"'!A1",'Synthèse'!$AN$4))</f>
        <v>0</v>
      </c>
      <c r="C77" s="13">
        <f>IF('Synthèse'!$AN$4="","",'Synthèse'!$AN$5)</f>
        <v>0</v>
      </c>
      <c r="D77" s="7">
        <f>IF('Synthèse'!$AN$4="","",'Synthèse'!$AN$8)</f>
        <v>0</v>
      </c>
      <c r="E77" s="7">
        <f>IF('Synthèse'!$AN$4="","",'Synthèse'!$AN$11)</f>
        <v>0</v>
      </c>
      <c r="F77" s="14">
        <f>IF('Synthèse'!$AN$4="","",'Synthèse'!$AN$24)</f>
        <v>0</v>
      </c>
      <c r="G77" s="15">
        <f>IF('Synthèse'!$AN$4="","",'Synthèse'!$AN$27)</f>
        <v>0</v>
      </c>
      <c r="H77" s="13">
        <f>IF('Synthèse'!$AN$4="","",'Synthèse'!$AN$25)</f>
        <v>0</v>
      </c>
      <c r="I77" s="13"/>
    </row>
    <row r="78" spans="2:9">
      <c r="B78" s="12">
        <f>IF('Synthèse'!$AO$4="","",HYPERLINK("#'"&amp;'Synthèse'!$AO$4&amp;"'!A1",'Synthèse'!$AO$4))</f>
        <v>0</v>
      </c>
      <c r="C78" s="13">
        <f>IF('Synthèse'!$AO$4="","",'Synthèse'!$AO$5)</f>
        <v>0</v>
      </c>
      <c r="D78" s="7">
        <f>IF('Synthèse'!$AO$4="","",'Synthèse'!$AO$8)</f>
        <v>0</v>
      </c>
      <c r="E78" s="7">
        <f>IF('Synthèse'!$AO$4="","",'Synthèse'!$AO$11)</f>
        <v>0</v>
      </c>
      <c r="F78" s="14">
        <f>IF('Synthèse'!$AO$4="","",'Synthèse'!$AO$24)</f>
        <v>0</v>
      </c>
      <c r="G78" s="15">
        <f>IF('Synthèse'!$AO$4="","",'Synthèse'!$AO$27)</f>
        <v>0</v>
      </c>
      <c r="H78" s="13">
        <f>IF('Synthèse'!$AO$4="","",'Synthèse'!$AO$25)</f>
        <v>0</v>
      </c>
      <c r="I78" s="13"/>
    </row>
    <row r="80" spans="2:9">
      <c r="B80" s="3" t="s">
        <v>3258</v>
      </c>
      <c r="C80" s="3"/>
      <c r="D80" s="3"/>
      <c r="E80" s="3"/>
      <c r="F80" s="3"/>
      <c r="G80" s="3"/>
      <c r="H80" s="3"/>
      <c r="I80" s="3"/>
    </row>
    <row r="81" spans="2:9" ht="42" customHeight="1">
      <c r="B81" s="4" t="s">
        <v>3259</v>
      </c>
      <c r="C81" s="4"/>
      <c r="D81" s="4"/>
      <c r="E81" s="4"/>
      <c r="F81" s="4"/>
      <c r="G81" s="4"/>
      <c r="H81" s="4"/>
      <c r="I81" s="4"/>
    </row>
    <row r="82" spans="2:9" ht="42" customHeight="1">
      <c r="B82" s="4" t="s">
        <v>3260</v>
      </c>
      <c r="C82" s="4"/>
      <c r="D82" s="4"/>
      <c r="E82" s="4"/>
      <c r="F82" s="4"/>
      <c r="G82" s="4"/>
      <c r="H82" s="4"/>
      <c r="I82" s="4"/>
    </row>
    <row r="83" spans="2:9" ht="30" customHeight="1">
      <c r="B83" s="4" t="s">
        <v>3261</v>
      </c>
      <c r="C83" s="4"/>
      <c r="D83" s="4"/>
      <c r="E83" s="4"/>
      <c r="F83" s="4"/>
      <c r="G83" s="4"/>
      <c r="H83" s="4"/>
      <c r="I83" s="4"/>
    </row>
    <row r="84" spans="2:9" ht="42" customHeight="1">
      <c r="B84" s="4" t="s">
        <v>3262</v>
      </c>
      <c r="C84" s="4"/>
      <c r="D84" s="4"/>
      <c r="E84" s="4"/>
      <c r="F84" s="4"/>
      <c r="G84" s="4"/>
      <c r="H84" s="4"/>
      <c r="I84" s="4"/>
    </row>
    <row r="85" spans="2:9" ht="42" customHeight="1">
      <c r="B85" s="4" t="s">
        <v>3263</v>
      </c>
      <c r="C85" s="4"/>
      <c r="D85" s="4"/>
      <c r="E85" s="4"/>
      <c r="F85" s="4"/>
      <c r="G85" s="4"/>
      <c r="H85" s="4"/>
      <c r="I85" s="4"/>
    </row>
  </sheetData>
  <sheetProtection sheet="1" objects="1" scenarios="1" formatColumns="0" formatRows="0"/>
  <mergeCells count="57">
    <mergeCell ref="B5:I5"/>
    <mergeCell ref="B6:I6"/>
    <mergeCell ref="B7:I7"/>
    <mergeCell ref="B8:I8"/>
    <mergeCell ref="B9:I9"/>
    <mergeCell ref="B10:I10"/>
    <mergeCell ref="B12:I12"/>
    <mergeCell ref="B14:I14"/>
    <mergeCell ref="B16:I16"/>
    <mergeCell ref="B37:I37"/>
    <mergeCell ref="H38:I38"/>
    <mergeCell ref="H39:I39"/>
    <mergeCell ref="H40:I40"/>
    <mergeCell ref="H41:I41"/>
    <mergeCell ref="H42:I42"/>
    <mergeCell ref="H43:I43"/>
    <mergeCell ref="H44:I44"/>
    <mergeCell ref="H45:I45"/>
    <mergeCell ref="H46:I46"/>
    <mergeCell ref="H47:I47"/>
    <mergeCell ref="H48:I48"/>
    <mergeCell ref="H49:I49"/>
    <mergeCell ref="H50:I50"/>
    <mergeCell ref="H51:I51"/>
    <mergeCell ref="H52:I52"/>
    <mergeCell ref="H53:I53"/>
    <mergeCell ref="H54:I54"/>
    <mergeCell ref="H55:I55"/>
    <mergeCell ref="H56:I56"/>
    <mergeCell ref="H57:I57"/>
    <mergeCell ref="H58:I58"/>
    <mergeCell ref="H59:I59"/>
    <mergeCell ref="H60:I60"/>
    <mergeCell ref="H61:I61"/>
    <mergeCell ref="H62:I62"/>
    <mergeCell ref="H63:I63"/>
    <mergeCell ref="H64:I64"/>
    <mergeCell ref="H65:I65"/>
    <mergeCell ref="H66:I66"/>
    <mergeCell ref="H67:I67"/>
    <mergeCell ref="H68:I68"/>
    <mergeCell ref="H69:I69"/>
    <mergeCell ref="H70:I70"/>
    <mergeCell ref="H71:I71"/>
    <mergeCell ref="H72:I72"/>
    <mergeCell ref="H73:I73"/>
    <mergeCell ref="H74:I74"/>
    <mergeCell ref="H75:I75"/>
    <mergeCell ref="H76:I76"/>
    <mergeCell ref="H77:I77"/>
    <mergeCell ref="H78:I78"/>
    <mergeCell ref="B80:I80"/>
    <mergeCell ref="B81:I81"/>
    <mergeCell ref="B82:I82"/>
    <mergeCell ref="B83:I83"/>
    <mergeCell ref="B84:I84"/>
    <mergeCell ref="B85:I85"/>
  </mergeCells>
  <conditionalFormatting sqref="F39:F78">
    <cfRule type="expression" dxfId="1" priority="4">
      <formula>AND(ISNUMBER(F39),F39&gt;=8)</formula>
    </cfRule>
    <cfRule type="expression" dxfId="3" priority="5">
      <formula>AND(ISNUMBER(F39),F39&gt;=6,F39&lt;8)</formula>
    </cfRule>
    <cfRule type="expression" dxfId="0" priority="6">
      <formula>OR(AND(ISNUMBER(F39),F39&lt;6),F39="—")</formula>
    </cfRule>
  </conditionalFormatting>
  <conditionalFormatting sqref="G18:G35">
    <cfRule type="expression" dxfId="1" priority="1">
      <formula>AND(ISNUMBER(G18),G18&gt;=8)</formula>
    </cfRule>
    <cfRule type="expression" dxfId="3" priority="2">
      <formula>AND(ISNUMBER(G18),G18&gt;=6,G18&lt;8)</formula>
    </cfRule>
    <cfRule type="expression" dxfId="0" priority="3">
      <formula>OR(AND(ISNUMBER(G18),G18&lt;6),G18="—")</formula>
    </cfRule>
  </conditionalFormatting>
  <conditionalFormatting sqref="G39:G78">
    <cfRule type="expression" dxfId="2" priority="7">
      <formula>AND(ISNUMBER(G39),G39&gt;0)</formula>
    </cfRule>
  </conditionalFormatting>
  <hyperlinks>
    <hyperlink ref="B18" location="'C1'!A1" display="C1"/>
    <hyperlink ref="B19" location="'C2'!A1" display="C2"/>
    <hyperlink ref="B20" location="'C3'!A1" display="C3"/>
    <hyperlink ref="B21" location="'C4A'!A1" display="C4A"/>
    <hyperlink ref="B22" location="'C4B'!A1" display="C4B"/>
    <hyperlink ref="B23" location="'C5'!A1" display="C5"/>
    <hyperlink ref="B24" location="'ENR'!A1" display="ENR"/>
    <hyperlink ref="B25" location="'EAU'!A1" display="EAU"/>
    <hyperlink ref="B26" location="'TEL'!A1" display="TEL"/>
    <hyperlink ref="B27" location="'TRA'!A1" display="TRA"/>
    <hyperlink ref="B28" location="'POR'!A1" display="POR"/>
    <hyperlink ref="B29" location="'SAN'!A1" display="SAN"/>
    <hyperlink ref="B30" location="'ETH'!A1" display="ETH"/>
    <hyperlink ref="B31" location="'IMMO'!A1" display="IMMO"/>
    <hyperlink ref="B32" location="'IND'!A1" display="IND"/>
    <hyperlink ref="B33" location="'AGR'!A1" display="AGR"/>
    <hyperlink ref="B34" location="'TOU'!A1" display="TOU"/>
    <hyperlink ref="B35" location="'MIN'!A1" display="MIN"/>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Pr>
    <pageSetUpPr fitToPage="1"/>
  </sheetPr>
  <dimension ref="A1:AQ34"/>
  <sheetViews>
    <sheetView workbookViewId="0">
      <pane xSplit="1" ySplit="4" topLeftCell="B5" activePane="bottomRight" state="frozen"/>
      <selection pane="topRight" activeCell="B1" sqref="B1"/>
      <selection pane="bottomLeft" activeCell="A5" sqref="A5"/>
      <selection pane="bottomRight"/>
    </sheetView>
  </sheetViews>
  <sheetFormatPr defaultRowHeight="15"/>
  <cols>
    <col min="1" max="1" width="36.7109375" customWidth="1"/>
    <col min="2" max="41" width="17.7109375" customWidth="1"/>
    <col min="43" max="43" width="8.7109375" hidden="1" customWidth="1"/>
  </cols>
  <sheetData>
    <row r="1" spans="1:43">
      <c r="A1" s="1" t="s">
        <v>1689</v>
      </c>
    </row>
    <row r="2" spans="1:43">
      <c r="A2" s="2" t="s">
        <v>1690</v>
      </c>
    </row>
    <row r="4" spans="1:43">
      <c r="A4" s="11" t="s">
        <v>1691</v>
      </c>
      <c r="B4" s="16" t="s">
        <v>132</v>
      </c>
      <c r="C4" s="16" t="s">
        <v>134</v>
      </c>
      <c r="D4" s="16" t="s">
        <v>136</v>
      </c>
      <c r="E4" s="16" t="s">
        <v>1692</v>
      </c>
      <c r="F4" s="16" t="s">
        <v>1693</v>
      </c>
      <c r="G4" s="16" t="s">
        <v>140</v>
      </c>
      <c r="H4" s="16" t="s">
        <v>21</v>
      </c>
      <c r="I4" s="16" t="s">
        <v>23</v>
      </c>
      <c r="J4" s="16" t="s">
        <v>25</v>
      </c>
      <c r="K4" s="16" t="s">
        <v>27</v>
      </c>
      <c r="L4" s="16" t="s">
        <v>29</v>
      </c>
      <c r="M4" s="16" t="s">
        <v>31</v>
      </c>
      <c r="N4" s="16" t="s">
        <v>33</v>
      </c>
      <c r="O4" s="16" t="s">
        <v>1694</v>
      </c>
      <c r="P4" s="16" t="s">
        <v>37</v>
      </c>
      <c r="Q4" s="16" t="s">
        <v>39</v>
      </c>
      <c r="R4" s="16" t="s">
        <v>41</v>
      </c>
      <c r="S4" s="16" t="s">
        <v>43</v>
      </c>
      <c r="T4" s="16"/>
      <c r="U4" s="16"/>
      <c r="V4" s="16"/>
      <c r="W4" s="16"/>
      <c r="X4" s="16"/>
      <c r="Y4" s="16"/>
      <c r="Z4" s="16"/>
      <c r="AA4" s="16"/>
      <c r="AB4" s="16"/>
      <c r="AC4" s="16"/>
      <c r="AD4" s="16"/>
      <c r="AE4" s="16"/>
      <c r="AF4" s="16"/>
      <c r="AG4" s="16"/>
      <c r="AH4" s="16"/>
      <c r="AI4" s="16"/>
      <c r="AJ4" s="16"/>
      <c r="AK4" s="16"/>
      <c r="AL4" s="16"/>
      <c r="AM4" s="16"/>
      <c r="AN4" s="16"/>
      <c r="AO4" s="16"/>
    </row>
    <row r="5" spans="1:43" ht="45" customHeight="1">
      <c r="A5" s="17" t="s">
        <v>1695</v>
      </c>
      <c r="B5" s="13">
        <f>IF(B$4="","",IFERROR(INDIRECT("'"&amp;B$4&amp;"'!"&amp;$AQ5),""))</f>
        <v>0</v>
      </c>
      <c r="C5" s="13">
        <f>IF(C$4="","",IFERROR(INDIRECT("'"&amp;C$4&amp;"'!"&amp;$AQ5),""))</f>
        <v>0</v>
      </c>
      <c r="D5" s="13">
        <f>IF(D$4="","",IFERROR(INDIRECT("'"&amp;D$4&amp;"'!"&amp;$AQ5),""))</f>
        <v>0</v>
      </c>
      <c r="E5" s="13">
        <f>IF(E$4="","",IFERROR(INDIRECT("'"&amp;E$4&amp;"'!"&amp;$AQ5),""))</f>
        <v>0</v>
      </c>
      <c r="F5" s="13">
        <f>IF(F$4="","",IFERROR(INDIRECT("'"&amp;F$4&amp;"'!"&amp;$AQ5),""))</f>
        <v>0</v>
      </c>
      <c r="G5" s="13">
        <f>IF(G$4="","",IFERROR(INDIRECT("'"&amp;G$4&amp;"'!"&amp;$AQ5),""))</f>
        <v>0</v>
      </c>
      <c r="H5" s="13">
        <f>IF(H$4="","",IFERROR(INDIRECT("'"&amp;H$4&amp;"'!"&amp;$AQ5),""))</f>
        <v>0</v>
      </c>
      <c r="I5" s="13">
        <f>IF(I$4="","",IFERROR(INDIRECT("'"&amp;I$4&amp;"'!"&amp;$AQ5),""))</f>
        <v>0</v>
      </c>
      <c r="J5" s="13">
        <f>IF(J$4="","",IFERROR(INDIRECT("'"&amp;J$4&amp;"'!"&amp;$AQ5),""))</f>
        <v>0</v>
      </c>
      <c r="K5" s="13">
        <f>IF(K$4="","",IFERROR(INDIRECT("'"&amp;K$4&amp;"'!"&amp;$AQ5),""))</f>
        <v>0</v>
      </c>
      <c r="L5" s="13">
        <f>IF(L$4="","",IFERROR(INDIRECT("'"&amp;L$4&amp;"'!"&amp;$AQ5),""))</f>
        <v>0</v>
      </c>
      <c r="M5" s="13">
        <f>IF(M$4="","",IFERROR(INDIRECT("'"&amp;M$4&amp;"'!"&amp;$AQ5),""))</f>
        <v>0</v>
      </c>
      <c r="N5" s="13">
        <f>IF(N$4="","",IFERROR(INDIRECT("'"&amp;N$4&amp;"'!"&amp;$AQ5),""))</f>
        <v>0</v>
      </c>
      <c r="O5" s="13">
        <f>IF(O$4="","",IFERROR(INDIRECT("'"&amp;O$4&amp;"'!"&amp;$AQ5),""))</f>
        <v>0</v>
      </c>
      <c r="P5" s="13">
        <f>IF(P$4="","",IFERROR(INDIRECT("'"&amp;P$4&amp;"'!"&amp;$AQ5),""))</f>
        <v>0</v>
      </c>
      <c r="Q5" s="13">
        <f>IF(Q$4="","",IFERROR(INDIRECT("'"&amp;Q$4&amp;"'!"&amp;$AQ5),""))</f>
        <v>0</v>
      </c>
      <c r="R5" s="13">
        <f>IF(R$4="","",IFERROR(INDIRECT("'"&amp;R$4&amp;"'!"&amp;$AQ5),""))</f>
        <v>0</v>
      </c>
      <c r="S5" s="13">
        <f>IF(S$4="","",IFERROR(INDIRECT("'"&amp;S$4&amp;"'!"&amp;$AQ5),""))</f>
        <v>0</v>
      </c>
      <c r="T5" s="13">
        <f>IF(T$4="","",IFERROR(INDIRECT("'"&amp;T$4&amp;"'!"&amp;$AQ5),""))</f>
        <v>0</v>
      </c>
      <c r="U5" s="13">
        <f>IF(U$4="","",IFERROR(INDIRECT("'"&amp;U$4&amp;"'!"&amp;$AQ5),""))</f>
        <v>0</v>
      </c>
      <c r="V5" s="13">
        <f>IF(V$4="","",IFERROR(INDIRECT("'"&amp;V$4&amp;"'!"&amp;$AQ5),""))</f>
        <v>0</v>
      </c>
      <c r="W5" s="13">
        <f>IF(W$4="","",IFERROR(INDIRECT("'"&amp;W$4&amp;"'!"&amp;$AQ5),""))</f>
        <v>0</v>
      </c>
      <c r="X5" s="13">
        <f>IF(X$4="","",IFERROR(INDIRECT("'"&amp;X$4&amp;"'!"&amp;$AQ5),""))</f>
        <v>0</v>
      </c>
      <c r="Y5" s="13">
        <f>IF(Y$4="","",IFERROR(INDIRECT("'"&amp;Y$4&amp;"'!"&amp;$AQ5),""))</f>
        <v>0</v>
      </c>
      <c r="Z5" s="13">
        <f>IF(Z$4="","",IFERROR(INDIRECT("'"&amp;Z$4&amp;"'!"&amp;$AQ5),""))</f>
        <v>0</v>
      </c>
      <c r="AA5" s="13">
        <f>IF(AA$4="","",IFERROR(INDIRECT("'"&amp;AA$4&amp;"'!"&amp;$AQ5),""))</f>
        <v>0</v>
      </c>
      <c r="AB5" s="13">
        <f>IF(AB$4="","",IFERROR(INDIRECT("'"&amp;AB$4&amp;"'!"&amp;$AQ5),""))</f>
        <v>0</v>
      </c>
      <c r="AC5" s="13">
        <f>IF(AC$4="","",IFERROR(INDIRECT("'"&amp;AC$4&amp;"'!"&amp;$AQ5),""))</f>
        <v>0</v>
      </c>
      <c r="AD5" s="13">
        <f>IF(AD$4="","",IFERROR(INDIRECT("'"&amp;AD$4&amp;"'!"&amp;$AQ5),""))</f>
        <v>0</v>
      </c>
      <c r="AE5" s="13">
        <f>IF(AE$4="","",IFERROR(INDIRECT("'"&amp;AE$4&amp;"'!"&amp;$AQ5),""))</f>
        <v>0</v>
      </c>
      <c r="AF5" s="13">
        <f>IF(AF$4="","",IFERROR(INDIRECT("'"&amp;AF$4&amp;"'!"&amp;$AQ5),""))</f>
        <v>0</v>
      </c>
      <c r="AG5" s="13">
        <f>IF(AG$4="","",IFERROR(INDIRECT("'"&amp;AG$4&amp;"'!"&amp;$AQ5),""))</f>
        <v>0</v>
      </c>
      <c r="AH5" s="13">
        <f>IF(AH$4="","",IFERROR(INDIRECT("'"&amp;AH$4&amp;"'!"&amp;$AQ5),""))</f>
        <v>0</v>
      </c>
      <c r="AI5" s="13">
        <f>IF(AI$4="","",IFERROR(INDIRECT("'"&amp;AI$4&amp;"'!"&amp;$AQ5),""))</f>
        <v>0</v>
      </c>
      <c r="AJ5" s="13">
        <f>IF(AJ$4="","",IFERROR(INDIRECT("'"&amp;AJ$4&amp;"'!"&amp;$AQ5),""))</f>
        <v>0</v>
      </c>
      <c r="AK5" s="13">
        <f>IF(AK$4="","",IFERROR(INDIRECT("'"&amp;AK$4&amp;"'!"&amp;$AQ5),""))</f>
        <v>0</v>
      </c>
      <c r="AL5" s="13">
        <f>IF(AL$4="","",IFERROR(INDIRECT("'"&amp;AL$4&amp;"'!"&amp;$AQ5),""))</f>
        <v>0</v>
      </c>
      <c r="AM5" s="13">
        <f>IF(AM$4="","",IFERROR(INDIRECT("'"&amp;AM$4&amp;"'!"&amp;$AQ5),""))</f>
        <v>0</v>
      </c>
      <c r="AN5" s="13">
        <f>IF(AN$4="","",IFERROR(INDIRECT("'"&amp;AN$4&amp;"'!"&amp;$AQ5),""))</f>
        <v>0</v>
      </c>
      <c r="AO5" s="13">
        <f>IF(AO$4="","",IFERROR(INDIRECT("'"&amp;AO$4&amp;"'!"&amp;$AQ5),""))</f>
        <v>0</v>
      </c>
      <c r="AQ5" t="s">
        <v>1696</v>
      </c>
    </row>
    <row r="6" spans="1:43">
      <c r="A6" s="17" t="s">
        <v>1697</v>
      </c>
      <c r="B6" s="7">
        <f>IF(B$4="","",IFERROR(INDIRECT("'"&amp;B$4&amp;"'!"&amp;$AQ6),""))</f>
        <v>0</v>
      </c>
      <c r="C6" s="7">
        <f>IF(C$4="","",IFERROR(INDIRECT("'"&amp;C$4&amp;"'!"&amp;$AQ6),""))</f>
        <v>0</v>
      </c>
      <c r="D6" s="7">
        <f>IF(D$4="","",IFERROR(INDIRECT("'"&amp;D$4&amp;"'!"&amp;$AQ6),""))</f>
        <v>0</v>
      </c>
      <c r="E6" s="7">
        <f>IF(E$4="","",IFERROR(INDIRECT("'"&amp;E$4&amp;"'!"&amp;$AQ6),""))</f>
        <v>0</v>
      </c>
      <c r="F6" s="7">
        <f>IF(F$4="","",IFERROR(INDIRECT("'"&amp;F$4&amp;"'!"&amp;$AQ6),""))</f>
        <v>0</v>
      </c>
      <c r="G6" s="7">
        <f>IF(G$4="","",IFERROR(INDIRECT("'"&amp;G$4&amp;"'!"&amp;$AQ6),""))</f>
        <v>0</v>
      </c>
      <c r="H6" s="7">
        <f>IF(H$4="","",IFERROR(INDIRECT("'"&amp;H$4&amp;"'!"&amp;$AQ6),""))</f>
        <v>0</v>
      </c>
      <c r="I6" s="7">
        <f>IF(I$4="","",IFERROR(INDIRECT("'"&amp;I$4&amp;"'!"&amp;$AQ6),""))</f>
        <v>0</v>
      </c>
      <c r="J6" s="7">
        <f>IF(J$4="","",IFERROR(INDIRECT("'"&amp;J$4&amp;"'!"&amp;$AQ6),""))</f>
        <v>0</v>
      </c>
      <c r="K6" s="7">
        <f>IF(K$4="","",IFERROR(INDIRECT("'"&amp;K$4&amp;"'!"&amp;$AQ6),""))</f>
        <v>0</v>
      </c>
      <c r="L6" s="7">
        <f>IF(L$4="","",IFERROR(INDIRECT("'"&amp;L$4&amp;"'!"&amp;$AQ6),""))</f>
        <v>0</v>
      </c>
      <c r="M6" s="7">
        <f>IF(M$4="","",IFERROR(INDIRECT("'"&amp;M$4&amp;"'!"&amp;$AQ6),""))</f>
        <v>0</v>
      </c>
      <c r="N6" s="7">
        <f>IF(N$4="","",IFERROR(INDIRECT("'"&amp;N$4&amp;"'!"&amp;$AQ6),""))</f>
        <v>0</v>
      </c>
      <c r="O6" s="7">
        <f>IF(O$4="","",IFERROR(INDIRECT("'"&amp;O$4&amp;"'!"&amp;$AQ6),""))</f>
        <v>0</v>
      </c>
      <c r="P6" s="7">
        <f>IF(P$4="","",IFERROR(INDIRECT("'"&amp;P$4&amp;"'!"&amp;$AQ6),""))</f>
        <v>0</v>
      </c>
      <c r="Q6" s="7">
        <f>IF(Q$4="","",IFERROR(INDIRECT("'"&amp;Q$4&amp;"'!"&amp;$AQ6),""))</f>
        <v>0</v>
      </c>
      <c r="R6" s="7">
        <f>IF(R$4="","",IFERROR(INDIRECT("'"&amp;R$4&amp;"'!"&amp;$AQ6),""))</f>
        <v>0</v>
      </c>
      <c r="S6" s="7">
        <f>IF(S$4="","",IFERROR(INDIRECT("'"&amp;S$4&amp;"'!"&amp;$AQ6),""))</f>
        <v>0</v>
      </c>
      <c r="T6" s="7">
        <f>IF(T$4="","",IFERROR(INDIRECT("'"&amp;T$4&amp;"'!"&amp;$AQ6),""))</f>
        <v>0</v>
      </c>
      <c r="U6" s="7">
        <f>IF(U$4="","",IFERROR(INDIRECT("'"&amp;U$4&amp;"'!"&amp;$AQ6),""))</f>
        <v>0</v>
      </c>
      <c r="V6" s="7">
        <f>IF(V$4="","",IFERROR(INDIRECT("'"&amp;V$4&amp;"'!"&amp;$AQ6),""))</f>
        <v>0</v>
      </c>
      <c r="W6" s="7">
        <f>IF(W$4="","",IFERROR(INDIRECT("'"&amp;W$4&amp;"'!"&amp;$AQ6),""))</f>
        <v>0</v>
      </c>
      <c r="X6" s="7">
        <f>IF(X$4="","",IFERROR(INDIRECT("'"&amp;X$4&amp;"'!"&amp;$AQ6),""))</f>
        <v>0</v>
      </c>
      <c r="Y6" s="7">
        <f>IF(Y$4="","",IFERROR(INDIRECT("'"&amp;Y$4&amp;"'!"&amp;$AQ6),""))</f>
        <v>0</v>
      </c>
      <c r="Z6" s="7">
        <f>IF(Z$4="","",IFERROR(INDIRECT("'"&amp;Z$4&amp;"'!"&amp;$AQ6),""))</f>
        <v>0</v>
      </c>
      <c r="AA6" s="7">
        <f>IF(AA$4="","",IFERROR(INDIRECT("'"&amp;AA$4&amp;"'!"&amp;$AQ6),""))</f>
        <v>0</v>
      </c>
      <c r="AB6" s="7">
        <f>IF(AB$4="","",IFERROR(INDIRECT("'"&amp;AB$4&amp;"'!"&amp;$AQ6),""))</f>
        <v>0</v>
      </c>
      <c r="AC6" s="7">
        <f>IF(AC$4="","",IFERROR(INDIRECT("'"&amp;AC$4&amp;"'!"&amp;$AQ6),""))</f>
        <v>0</v>
      </c>
      <c r="AD6" s="7">
        <f>IF(AD$4="","",IFERROR(INDIRECT("'"&amp;AD$4&amp;"'!"&amp;$AQ6),""))</f>
        <v>0</v>
      </c>
      <c r="AE6" s="7">
        <f>IF(AE$4="","",IFERROR(INDIRECT("'"&amp;AE$4&amp;"'!"&amp;$AQ6),""))</f>
        <v>0</v>
      </c>
      <c r="AF6" s="7">
        <f>IF(AF$4="","",IFERROR(INDIRECT("'"&amp;AF$4&amp;"'!"&amp;$AQ6),""))</f>
        <v>0</v>
      </c>
      <c r="AG6" s="7">
        <f>IF(AG$4="","",IFERROR(INDIRECT("'"&amp;AG$4&amp;"'!"&amp;$AQ6),""))</f>
        <v>0</v>
      </c>
      <c r="AH6" s="7">
        <f>IF(AH$4="","",IFERROR(INDIRECT("'"&amp;AH$4&amp;"'!"&amp;$AQ6),""))</f>
        <v>0</v>
      </c>
      <c r="AI6" s="7">
        <f>IF(AI$4="","",IFERROR(INDIRECT("'"&amp;AI$4&amp;"'!"&amp;$AQ6),""))</f>
        <v>0</v>
      </c>
      <c r="AJ6" s="7">
        <f>IF(AJ$4="","",IFERROR(INDIRECT("'"&amp;AJ$4&amp;"'!"&amp;$AQ6),""))</f>
        <v>0</v>
      </c>
      <c r="AK6" s="7">
        <f>IF(AK$4="","",IFERROR(INDIRECT("'"&amp;AK$4&amp;"'!"&amp;$AQ6),""))</f>
        <v>0</v>
      </c>
      <c r="AL6" s="7">
        <f>IF(AL$4="","",IFERROR(INDIRECT("'"&amp;AL$4&amp;"'!"&amp;$AQ6),""))</f>
        <v>0</v>
      </c>
      <c r="AM6" s="7">
        <f>IF(AM$4="","",IFERROR(INDIRECT("'"&amp;AM$4&amp;"'!"&amp;$AQ6),""))</f>
        <v>0</v>
      </c>
      <c r="AN6" s="7">
        <f>IF(AN$4="","",IFERROR(INDIRECT("'"&amp;AN$4&amp;"'!"&amp;$AQ6),""))</f>
        <v>0</v>
      </c>
      <c r="AO6" s="7">
        <f>IF(AO$4="","",IFERROR(INDIRECT("'"&amp;AO$4&amp;"'!"&amp;$AQ6),""))</f>
        <v>0</v>
      </c>
      <c r="AQ6" t="s">
        <v>1073</v>
      </c>
    </row>
    <row r="7" spans="1:43">
      <c r="A7" s="17" t="s">
        <v>1698</v>
      </c>
      <c r="B7" s="7">
        <f>IF(B$4="","",IFERROR(INDIRECT("'"&amp;B$4&amp;"'!"&amp;$AQ7),""))</f>
        <v>0</v>
      </c>
      <c r="C7" s="7">
        <f>IF(C$4="","",IFERROR(INDIRECT("'"&amp;C$4&amp;"'!"&amp;$AQ7),""))</f>
        <v>0</v>
      </c>
      <c r="D7" s="7">
        <f>IF(D$4="","",IFERROR(INDIRECT("'"&amp;D$4&amp;"'!"&amp;$AQ7),""))</f>
        <v>0</v>
      </c>
      <c r="E7" s="7">
        <f>IF(E$4="","",IFERROR(INDIRECT("'"&amp;E$4&amp;"'!"&amp;$AQ7),""))</f>
        <v>0</v>
      </c>
      <c r="F7" s="7">
        <f>IF(F$4="","",IFERROR(INDIRECT("'"&amp;F$4&amp;"'!"&amp;$AQ7),""))</f>
        <v>0</v>
      </c>
      <c r="G7" s="7">
        <f>IF(G$4="","",IFERROR(INDIRECT("'"&amp;G$4&amp;"'!"&amp;$AQ7),""))</f>
        <v>0</v>
      </c>
      <c r="H7" s="7">
        <f>IF(H$4="","",IFERROR(INDIRECT("'"&amp;H$4&amp;"'!"&amp;$AQ7),""))</f>
        <v>0</v>
      </c>
      <c r="I7" s="7">
        <f>IF(I$4="","",IFERROR(INDIRECT("'"&amp;I$4&amp;"'!"&amp;$AQ7),""))</f>
        <v>0</v>
      </c>
      <c r="J7" s="7">
        <f>IF(J$4="","",IFERROR(INDIRECT("'"&amp;J$4&amp;"'!"&amp;$AQ7),""))</f>
        <v>0</v>
      </c>
      <c r="K7" s="7">
        <f>IF(K$4="","",IFERROR(INDIRECT("'"&amp;K$4&amp;"'!"&amp;$AQ7),""))</f>
        <v>0</v>
      </c>
      <c r="L7" s="7">
        <f>IF(L$4="","",IFERROR(INDIRECT("'"&amp;L$4&amp;"'!"&amp;$AQ7),""))</f>
        <v>0</v>
      </c>
      <c r="M7" s="7">
        <f>IF(M$4="","",IFERROR(INDIRECT("'"&amp;M$4&amp;"'!"&amp;$AQ7),""))</f>
        <v>0</v>
      </c>
      <c r="N7" s="7">
        <f>IF(N$4="","",IFERROR(INDIRECT("'"&amp;N$4&amp;"'!"&amp;$AQ7),""))</f>
        <v>0</v>
      </c>
      <c r="O7" s="7">
        <f>IF(O$4="","",IFERROR(INDIRECT("'"&amp;O$4&amp;"'!"&amp;$AQ7),""))</f>
        <v>0</v>
      </c>
      <c r="P7" s="7">
        <f>IF(P$4="","",IFERROR(INDIRECT("'"&amp;P$4&amp;"'!"&amp;$AQ7),""))</f>
        <v>0</v>
      </c>
      <c r="Q7" s="7">
        <f>IF(Q$4="","",IFERROR(INDIRECT("'"&amp;Q$4&amp;"'!"&amp;$AQ7),""))</f>
        <v>0</v>
      </c>
      <c r="R7" s="7">
        <f>IF(R$4="","",IFERROR(INDIRECT("'"&amp;R$4&amp;"'!"&amp;$AQ7),""))</f>
        <v>0</v>
      </c>
      <c r="S7" s="7">
        <f>IF(S$4="","",IFERROR(INDIRECT("'"&amp;S$4&amp;"'!"&amp;$AQ7),""))</f>
        <v>0</v>
      </c>
      <c r="T7" s="7">
        <f>IF(T$4="","",IFERROR(INDIRECT("'"&amp;T$4&amp;"'!"&amp;$AQ7),""))</f>
        <v>0</v>
      </c>
      <c r="U7" s="7">
        <f>IF(U$4="","",IFERROR(INDIRECT("'"&amp;U$4&amp;"'!"&amp;$AQ7),""))</f>
        <v>0</v>
      </c>
      <c r="V7" s="7">
        <f>IF(V$4="","",IFERROR(INDIRECT("'"&amp;V$4&amp;"'!"&amp;$AQ7),""))</f>
        <v>0</v>
      </c>
      <c r="W7" s="7">
        <f>IF(W$4="","",IFERROR(INDIRECT("'"&amp;W$4&amp;"'!"&amp;$AQ7),""))</f>
        <v>0</v>
      </c>
      <c r="X7" s="7">
        <f>IF(X$4="","",IFERROR(INDIRECT("'"&amp;X$4&amp;"'!"&amp;$AQ7),""))</f>
        <v>0</v>
      </c>
      <c r="Y7" s="7">
        <f>IF(Y$4="","",IFERROR(INDIRECT("'"&amp;Y$4&amp;"'!"&amp;$AQ7),""))</f>
        <v>0</v>
      </c>
      <c r="Z7" s="7">
        <f>IF(Z$4="","",IFERROR(INDIRECT("'"&amp;Z$4&amp;"'!"&amp;$AQ7),""))</f>
        <v>0</v>
      </c>
      <c r="AA7" s="7">
        <f>IF(AA$4="","",IFERROR(INDIRECT("'"&amp;AA$4&amp;"'!"&amp;$AQ7),""))</f>
        <v>0</v>
      </c>
      <c r="AB7" s="7">
        <f>IF(AB$4="","",IFERROR(INDIRECT("'"&amp;AB$4&amp;"'!"&amp;$AQ7),""))</f>
        <v>0</v>
      </c>
      <c r="AC7" s="7">
        <f>IF(AC$4="","",IFERROR(INDIRECT("'"&amp;AC$4&amp;"'!"&amp;$AQ7),""))</f>
        <v>0</v>
      </c>
      <c r="AD7" s="7">
        <f>IF(AD$4="","",IFERROR(INDIRECT("'"&amp;AD$4&amp;"'!"&amp;$AQ7),""))</f>
        <v>0</v>
      </c>
      <c r="AE7" s="7">
        <f>IF(AE$4="","",IFERROR(INDIRECT("'"&amp;AE$4&amp;"'!"&amp;$AQ7),""))</f>
        <v>0</v>
      </c>
      <c r="AF7" s="7">
        <f>IF(AF$4="","",IFERROR(INDIRECT("'"&amp;AF$4&amp;"'!"&amp;$AQ7),""))</f>
        <v>0</v>
      </c>
      <c r="AG7" s="7">
        <f>IF(AG$4="","",IFERROR(INDIRECT("'"&amp;AG$4&amp;"'!"&amp;$AQ7),""))</f>
        <v>0</v>
      </c>
      <c r="AH7" s="7">
        <f>IF(AH$4="","",IFERROR(INDIRECT("'"&amp;AH$4&amp;"'!"&amp;$AQ7),""))</f>
        <v>0</v>
      </c>
      <c r="AI7" s="7">
        <f>IF(AI$4="","",IFERROR(INDIRECT("'"&amp;AI$4&amp;"'!"&amp;$AQ7),""))</f>
        <v>0</v>
      </c>
      <c r="AJ7" s="7">
        <f>IF(AJ$4="","",IFERROR(INDIRECT("'"&amp;AJ$4&amp;"'!"&amp;$AQ7),""))</f>
        <v>0</v>
      </c>
      <c r="AK7" s="7">
        <f>IF(AK$4="","",IFERROR(INDIRECT("'"&amp;AK$4&amp;"'!"&amp;$AQ7),""))</f>
        <v>0</v>
      </c>
      <c r="AL7" s="7">
        <f>IF(AL$4="","",IFERROR(INDIRECT("'"&amp;AL$4&amp;"'!"&amp;$AQ7),""))</f>
        <v>0</v>
      </c>
      <c r="AM7" s="7">
        <f>IF(AM$4="","",IFERROR(INDIRECT("'"&amp;AM$4&amp;"'!"&amp;$AQ7),""))</f>
        <v>0</v>
      </c>
      <c r="AN7" s="7">
        <f>IF(AN$4="","",IFERROR(INDIRECT("'"&amp;AN$4&amp;"'!"&amp;$AQ7),""))</f>
        <v>0</v>
      </c>
      <c r="AO7" s="7">
        <f>IF(AO$4="","",IFERROR(INDIRECT("'"&amp;AO$4&amp;"'!"&amp;$AQ7),""))</f>
        <v>0</v>
      </c>
      <c r="AQ7" t="s">
        <v>1075</v>
      </c>
    </row>
    <row r="8" spans="1:43">
      <c r="A8" s="17" t="s">
        <v>835</v>
      </c>
      <c r="B8" s="7">
        <f>IF(B$4="","",IFERROR(INDIRECT("'"&amp;B$4&amp;"'!"&amp;$AQ8),""))</f>
        <v>0</v>
      </c>
      <c r="C8" s="7">
        <f>IF(C$4="","",IFERROR(INDIRECT("'"&amp;C$4&amp;"'!"&amp;$AQ8),""))</f>
        <v>0</v>
      </c>
      <c r="D8" s="7">
        <f>IF(D$4="","",IFERROR(INDIRECT("'"&amp;D$4&amp;"'!"&amp;$AQ8),""))</f>
        <v>0</v>
      </c>
      <c r="E8" s="7">
        <f>IF(E$4="","",IFERROR(INDIRECT("'"&amp;E$4&amp;"'!"&amp;$AQ8),""))</f>
        <v>0</v>
      </c>
      <c r="F8" s="7">
        <f>IF(F$4="","",IFERROR(INDIRECT("'"&amp;F$4&amp;"'!"&amp;$AQ8),""))</f>
        <v>0</v>
      </c>
      <c r="G8" s="7">
        <f>IF(G$4="","",IFERROR(INDIRECT("'"&amp;G$4&amp;"'!"&amp;$AQ8),""))</f>
        <v>0</v>
      </c>
      <c r="H8" s="7">
        <f>IF(H$4="","",IFERROR(INDIRECT("'"&amp;H$4&amp;"'!"&amp;$AQ8),""))</f>
        <v>0</v>
      </c>
      <c r="I8" s="7">
        <f>IF(I$4="","",IFERROR(INDIRECT("'"&amp;I$4&amp;"'!"&amp;$AQ8),""))</f>
        <v>0</v>
      </c>
      <c r="J8" s="7">
        <f>IF(J$4="","",IFERROR(INDIRECT("'"&amp;J$4&amp;"'!"&amp;$AQ8),""))</f>
        <v>0</v>
      </c>
      <c r="K8" s="7">
        <f>IF(K$4="","",IFERROR(INDIRECT("'"&amp;K$4&amp;"'!"&amp;$AQ8),""))</f>
        <v>0</v>
      </c>
      <c r="L8" s="7">
        <f>IF(L$4="","",IFERROR(INDIRECT("'"&amp;L$4&amp;"'!"&amp;$AQ8),""))</f>
        <v>0</v>
      </c>
      <c r="M8" s="7">
        <f>IF(M$4="","",IFERROR(INDIRECT("'"&amp;M$4&amp;"'!"&amp;$AQ8),""))</f>
        <v>0</v>
      </c>
      <c r="N8" s="7">
        <f>IF(N$4="","",IFERROR(INDIRECT("'"&amp;N$4&amp;"'!"&amp;$AQ8),""))</f>
        <v>0</v>
      </c>
      <c r="O8" s="7">
        <f>IF(O$4="","",IFERROR(INDIRECT("'"&amp;O$4&amp;"'!"&amp;$AQ8),""))</f>
        <v>0</v>
      </c>
      <c r="P8" s="7">
        <f>IF(P$4="","",IFERROR(INDIRECT("'"&amp;P$4&amp;"'!"&amp;$AQ8),""))</f>
        <v>0</v>
      </c>
      <c r="Q8" s="7">
        <f>IF(Q$4="","",IFERROR(INDIRECT("'"&amp;Q$4&amp;"'!"&amp;$AQ8),""))</f>
        <v>0</v>
      </c>
      <c r="R8" s="7">
        <f>IF(R$4="","",IFERROR(INDIRECT("'"&amp;R$4&amp;"'!"&amp;$AQ8),""))</f>
        <v>0</v>
      </c>
      <c r="S8" s="7">
        <f>IF(S$4="","",IFERROR(INDIRECT("'"&amp;S$4&amp;"'!"&amp;$AQ8),""))</f>
        <v>0</v>
      </c>
      <c r="T8" s="7">
        <f>IF(T$4="","",IFERROR(INDIRECT("'"&amp;T$4&amp;"'!"&amp;$AQ8),""))</f>
        <v>0</v>
      </c>
      <c r="U8" s="7">
        <f>IF(U$4="","",IFERROR(INDIRECT("'"&amp;U$4&amp;"'!"&amp;$AQ8),""))</f>
        <v>0</v>
      </c>
      <c r="V8" s="7">
        <f>IF(V$4="","",IFERROR(INDIRECT("'"&amp;V$4&amp;"'!"&amp;$AQ8),""))</f>
        <v>0</v>
      </c>
      <c r="W8" s="7">
        <f>IF(W$4="","",IFERROR(INDIRECT("'"&amp;W$4&amp;"'!"&amp;$AQ8),""))</f>
        <v>0</v>
      </c>
      <c r="X8" s="7">
        <f>IF(X$4="","",IFERROR(INDIRECT("'"&amp;X$4&amp;"'!"&amp;$AQ8),""))</f>
        <v>0</v>
      </c>
      <c r="Y8" s="7">
        <f>IF(Y$4="","",IFERROR(INDIRECT("'"&amp;Y$4&amp;"'!"&amp;$AQ8),""))</f>
        <v>0</v>
      </c>
      <c r="Z8" s="7">
        <f>IF(Z$4="","",IFERROR(INDIRECT("'"&amp;Z$4&amp;"'!"&amp;$AQ8),""))</f>
        <v>0</v>
      </c>
      <c r="AA8" s="7">
        <f>IF(AA$4="","",IFERROR(INDIRECT("'"&amp;AA$4&amp;"'!"&amp;$AQ8),""))</f>
        <v>0</v>
      </c>
      <c r="AB8" s="7">
        <f>IF(AB$4="","",IFERROR(INDIRECT("'"&amp;AB$4&amp;"'!"&amp;$AQ8),""))</f>
        <v>0</v>
      </c>
      <c r="AC8" s="7">
        <f>IF(AC$4="","",IFERROR(INDIRECT("'"&amp;AC$4&amp;"'!"&amp;$AQ8),""))</f>
        <v>0</v>
      </c>
      <c r="AD8" s="7">
        <f>IF(AD$4="","",IFERROR(INDIRECT("'"&amp;AD$4&amp;"'!"&amp;$AQ8),""))</f>
        <v>0</v>
      </c>
      <c r="AE8" s="7">
        <f>IF(AE$4="","",IFERROR(INDIRECT("'"&amp;AE$4&amp;"'!"&amp;$AQ8),""))</f>
        <v>0</v>
      </c>
      <c r="AF8" s="7">
        <f>IF(AF$4="","",IFERROR(INDIRECT("'"&amp;AF$4&amp;"'!"&amp;$AQ8),""))</f>
        <v>0</v>
      </c>
      <c r="AG8" s="7">
        <f>IF(AG$4="","",IFERROR(INDIRECT("'"&amp;AG$4&amp;"'!"&amp;$AQ8),""))</f>
        <v>0</v>
      </c>
      <c r="AH8" s="7">
        <f>IF(AH$4="","",IFERROR(INDIRECT("'"&amp;AH$4&amp;"'!"&amp;$AQ8),""))</f>
        <v>0</v>
      </c>
      <c r="AI8" s="7">
        <f>IF(AI$4="","",IFERROR(INDIRECT("'"&amp;AI$4&amp;"'!"&amp;$AQ8),""))</f>
        <v>0</v>
      </c>
      <c r="AJ8" s="7">
        <f>IF(AJ$4="","",IFERROR(INDIRECT("'"&amp;AJ$4&amp;"'!"&amp;$AQ8),""))</f>
        <v>0</v>
      </c>
      <c r="AK8" s="7">
        <f>IF(AK$4="","",IFERROR(INDIRECT("'"&amp;AK$4&amp;"'!"&amp;$AQ8),""))</f>
        <v>0</v>
      </c>
      <c r="AL8" s="7">
        <f>IF(AL$4="","",IFERROR(INDIRECT("'"&amp;AL$4&amp;"'!"&amp;$AQ8),""))</f>
        <v>0</v>
      </c>
      <c r="AM8" s="7">
        <f>IF(AM$4="","",IFERROR(INDIRECT("'"&amp;AM$4&amp;"'!"&amp;$AQ8),""))</f>
        <v>0</v>
      </c>
      <c r="AN8" s="7">
        <f>IF(AN$4="","",IFERROR(INDIRECT("'"&amp;AN$4&amp;"'!"&amp;$AQ8),""))</f>
        <v>0</v>
      </c>
      <c r="AO8" s="7">
        <f>IF(AO$4="","",IFERROR(INDIRECT("'"&amp;AO$4&amp;"'!"&amp;$AQ8),""))</f>
        <v>0</v>
      </c>
      <c r="AQ8" t="s">
        <v>1077</v>
      </c>
    </row>
    <row r="9" spans="1:43">
      <c r="A9" s="17" t="s">
        <v>1699</v>
      </c>
      <c r="B9" s="7">
        <f>IF(B$4="","",IFERROR(INDIRECT("'"&amp;B$4&amp;"'!"&amp;$AQ9),""))</f>
        <v>0</v>
      </c>
      <c r="C9" s="7">
        <f>IF(C$4="","",IFERROR(INDIRECT("'"&amp;C$4&amp;"'!"&amp;$AQ9),""))</f>
        <v>0</v>
      </c>
      <c r="D9" s="7">
        <f>IF(D$4="","",IFERROR(INDIRECT("'"&amp;D$4&amp;"'!"&amp;$AQ9),""))</f>
        <v>0</v>
      </c>
      <c r="E9" s="7">
        <f>IF(E$4="","",IFERROR(INDIRECT("'"&amp;E$4&amp;"'!"&amp;$AQ9),""))</f>
        <v>0</v>
      </c>
      <c r="F9" s="7">
        <f>IF(F$4="","",IFERROR(INDIRECT("'"&amp;F$4&amp;"'!"&amp;$AQ9),""))</f>
        <v>0</v>
      </c>
      <c r="G9" s="7">
        <f>IF(G$4="","",IFERROR(INDIRECT("'"&amp;G$4&amp;"'!"&amp;$AQ9),""))</f>
        <v>0</v>
      </c>
      <c r="H9" s="7">
        <f>IF(H$4="","",IFERROR(INDIRECT("'"&amp;H$4&amp;"'!"&amp;$AQ9),""))</f>
        <v>0</v>
      </c>
      <c r="I9" s="7">
        <f>IF(I$4="","",IFERROR(INDIRECT("'"&amp;I$4&amp;"'!"&amp;$AQ9),""))</f>
        <v>0</v>
      </c>
      <c r="J9" s="7">
        <f>IF(J$4="","",IFERROR(INDIRECT("'"&amp;J$4&amp;"'!"&amp;$AQ9),""))</f>
        <v>0</v>
      </c>
      <c r="K9" s="7">
        <f>IF(K$4="","",IFERROR(INDIRECT("'"&amp;K$4&amp;"'!"&amp;$AQ9),""))</f>
        <v>0</v>
      </c>
      <c r="L9" s="7">
        <f>IF(L$4="","",IFERROR(INDIRECT("'"&amp;L$4&amp;"'!"&amp;$AQ9),""))</f>
        <v>0</v>
      </c>
      <c r="M9" s="7">
        <f>IF(M$4="","",IFERROR(INDIRECT("'"&amp;M$4&amp;"'!"&amp;$AQ9),""))</f>
        <v>0</v>
      </c>
      <c r="N9" s="7">
        <f>IF(N$4="","",IFERROR(INDIRECT("'"&amp;N$4&amp;"'!"&amp;$AQ9),""))</f>
        <v>0</v>
      </c>
      <c r="O9" s="7">
        <f>IF(O$4="","",IFERROR(INDIRECT("'"&amp;O$4&amp;"'!"&amp;$AQ9),""))</f>
        <v>0</v>
      </c>
      <c r="P9" s="7">
        <f>IF(P$4="","",IFERROR(INDIRECT("'"&amp;P$4&amp;"'!"&amp;$AQ9),""))</f>
        <v>0</v>
      </c>
      <c r="Q9" s="7">
        <f>IF(Q$4="","",IFERROR(INDIRECT("'"&amp;Q$4&amp;"'!"&amp;$AQ9),""))</f>
        <v>0</v>
      </c>
      <c r="R9" s="7">
        <f>IF(R$4="","",IFERROR(INDIRECT("'"&amp;R$4&amp;"'!"&amp;$AQ9),""))</f>
        <v>0</v>
      </c>
      <c r="S9" s="7">
        <f>IF(S$4="","",IFERROR(INDIRECT("'"&amp;S$4&amp;"'!"&amp;$AQ9),""))</f>
        <v>0</v>
      </c>
      <c r="T9" s="7">
        <f>IF(T$4="","",IFERROR(INDIRECT("'"&amp;T$4&amp;"'!"&amp;$AQ9),""))</f>
        <v>0</v>
      </c>
      <c r="U9" s="7">
        <f>IF(U$4="","",IFERROR(INDIRECT("'"&amp;U$4&amp;"'!"&amp;$AQ9),""))</f>
        <v>0</v>
      </c>
      <c r="V9" s="7">
        <f>IF(V$4="","",IFERROR(INDIRECT("'"&amp;V$4&amp;"'!"&amp;$AQ9),""))</f>
        <v>0</v>
      </c>
      <c r="W9" s="7">
        <f>IF(W$4="","",IFERROR(INDIRECT("'"&amp;W$4&amp;"'!"&amp;$AQ9),""))</f>
        <v>0</v>
      </c>
      <c r="X9" s="7">
        <f>IF(X$4="","",IFERROR(INDIRECT("'"&amp;X$4&amp;"'!"&amp;$AQ9),""))</f>
        <v>0</v>
      </c>
      <c r="Y9" s="7">
        <f>IF(Y$4="","",IFERROR(INDIRECT("'"&amp;Y$4&amp;"'!"&amp;$AQ9),""))</f>
        <v>0</v>
      </c>
      <c r="Z9" s="7">
        <f>IF(Z$4="","",IFERROR(INDIRECT("'"&amp;Z$4&amp;"'!"&amp;$AQ9),""))</f>
        <v>0</v>
      </c>
      <c r="AA9" s="7">
        <f>IF(AA$4="","",IFERROR(INDIRECT("'"&amp;AA$4&amp;"'!"&amp;$AQ9),""))</f>
        <v>0</v>
      </c>
      <c r="AB9" s="7">
        <f>IF(AB$4="","",IFERROR(INDIRECT("'"&amp;AB$4&amp;"'!"&amp;$AQ9),""))</f>
        <v>0</v>
      </c>
      <c r="AC9" s="7">
        <f>IF(AC$4="","",IFERROR(INDIRECT("'"&amp;AC$4&amp;"'!"&amp;$AQ9),""))</f>
        <v>0</v>
      </c>
      <c r="AD9" s="7">
        <f>IF(AD$4="","",IFERROR(INDIRECT("'"&amp;AD$4&amp;"'!"&amp;$AQ9),""))</f>
        <v>0</v>
      </c>
      <c r="AE9" s="7">
        <f>IF(AE$4="","",IFERROR(INDIRECT("'"&amp;AE$4&amp;"'!"&amp;$AQ9),""))</f>
        <v>0</v>
      </c>
      <c r="AF9" s="7">
        <f>IF(AF$4="","",IFERROR(INDIRECT("'"&amp;AF$4&amp;"'!"&amp;$AQ9),""))</f>
        <v>0</v>
      </c>
      <c r="AG9" s="7">
        <f>IF(AG$4="","",IFERROR(INDIRECT("'"&amp;AG$4&amp;"'!"&amp;$AQ9),""))</f>
        <v>0</v>
      </c>
      <c r="AH9" s="7">
        <f>IF(AH$4="","",IFERROR(INDIRECT("'"&amp;AH$4&amp;"'!"&amp;$AQ9),""))</f>
        <v>0</v>
      </c>
      <c r="AI9" s="7">
        <f>IF(AI$4="","",IFERROR(INDIRECT("'"&amp;AI$4&amp;"'!"&amp;$AQ9),""))</f>
        <v>0</v>
      </c>
      <c r="AJ9" s="7">
        <f>IF(AJ$4="","",IFERROR(INDIRECT("'"&amp;AJ$4&amp;"'!"&amp;$AQ9),""))</f>
        <v>0</v>
      </c>
      <c r="AK9" s="7">
        <f>IF(AK$4="","",IFERROR(INDIRECT("'"&amp;AK$4&amp;"'!"&amp;$AQ9),""))</f>
        <v>0</v>
      </c>
      <c r="AL9" s="7">
        <f>IF(AL$4="","",IFERROR(INDIRECT("'"&amp;AL$4&amp;"'!"&amp;$AQ9),""))</f>
        <v>0</v>
      </c>
      <c r="AM9" s="7">
        <f>IF(AM$4="","",IFERROR(INDIRECT("'"&amp;AM$4&amp;"'!"&amp;$AQ9),""))</f>
        <v>0</v>
      </c>
      <c r="AN9" s="7">
        <f>IF(AN$4="","",IFERROR(INDIRECT("'"&amp;AN$4&amp;"'!"&amp;$AQ9),""))</f>
        <v>0</v>
      </c>
      <c r="AO9" s="7">
        <f>IF(AO$4="","",IFERROR(INDIRECT("'"&amp;AO$4&amp;"'!"&amp;$AQ9),""))</f>
        <v>0</v>
      </c>
      <c r="AQ9" t="s">
        <v>1079</v>
      </c>
    </row>
    <row r="10" spans="1:43">
      <c r="A10" s="17" t="s">
        <v>19</v>
      </c>
      <c r="B10" s="7">
        <f>IF(B$4="","",IFERROR(INDIRECT("'"&amp;B$4&amp;"'!"&amp;$AQ10),""))</f>
        <v>0</v>
      </c>
      <c r="C10" s="7">
        <f>IF(C$4="","",IFERROR(INDIRECT("'"&amp;C$4&amp;"'!"&amp;$AQ10),""))</f>
        <v>0</v>
      </c>
      <c r="D10" s="7">
        <f>IF(D$4="","",IFERROR(INDIRECT("'"&amp;D$4&amp;"'!"&amp;$AQ10),""))</f>
        <v>0</v>
      </c>
      <c r="E10" s="7">
        <f>IF(E$4="","",IFERROR(INDIRECT("'"&amp;E$4&amp;"'!"&amp;$AQ10),""))</f>
        <v>0</v>
      </c>
      <c r="F10" s="7">
        <f>IF(F$4="","",IFERROR(INDIRECT("'"&amp;F$4&amp;"'!"&amp;$AQ10),""))</f>
        <v>0</v>
      </c>
      <c r="G10" s="7">
        <f>IF(G$4="","",IFERROR(INDIRECT("'"&amp;G$4&amp;"'!"&amp;$AQ10),""))</f>
        <v>0</v>
      </c>
      <c r="H10" s="7">
        <f>IF(H$4="","",IFERROR(INDIRECT("'"&amp;H$4&amp;"'!"&amp;$AQ10),""))</f>
        <v>0</v>
      </c>
      <c r="I10" s="7">
        <f>IF(I$4="","",IFERROR(INDIRECT("'"&amp;I$4&amp;"'!"&amp;$AQ10),""))</f>
        <v>0</v>
      </c>
      <c r="J10" s="7">
        <f>IF(J$4="","",IFERROR(INDIRECT("'"&amp;J$4&amp;"'!"&amp;$AQ10),""))</f>
        <v>0</v>
      </c>
      <c r="K10" s="7">
        <f>IF(K$4="","",IFERROR(INDIRECT("'"&amp;K$4&amp;"'!"&amp;$AQ10),""))</f>
        <v>0</v>
      </c>
      <c r="L10" s="7">
        <f>IF(L$4="","",IFERROR(INDIRECT("'"&amp;L$4&amp;"'!"&amp;$AQ10),""))</f>
        <v>0</v>
      </c>
      <c r="M10" s="7">
        <f>IF(M$4="","",IFERROR(INDIRECT("'"&amp;M$4&amp;"'!"&amp;$AQ10),""))</f>
        <v>0</v>
      </c>
      <c r="N10" s="7">
        <f>IF(N$4="","",IFERROR(INDIRECT("'"&amp;N$4&amp;"'!"&amp;$AQ10),""))</f>
        <v>0</v>
      </c>
      <c r="O10" s="7">
        <f>IF(O$4="","",IFERROR(INDIRECT("'"&amp;O$4&amp;"'!"&amp;$AQ10),""))</f>
        <v>0</v>
      </c>
      <c r="P10" s="7">
        <f>IF(P$4="","",IFERROR(INDIRECT("'"&amp;P$4&amp;"'!"&amp;$AQ10),""))</f>
        <v>0</v>
      </c>
      <c r="Q10" s="7">
        <f>IF(Q$4="","",IFERROR(INDIRECT("'"&amp;Q$4&amp;"'!"&amp;$AQ10),""))</f>
        <v>0</v>
      </c>
      <c r="R10" s="7">
        <f>IF(R$4="","",IFERROR(INDIRECT("'"&amp;R$4&amp;"'!"&amp;$AQ10),""))</f>
        <v>0</v>
      </c>
      <c r="S10" s="7">
        <f>IF(S$4="","",IFERROR(INDIRECT("'"&amp;S$4&amp;"'!"&amp;$AQ10),""))</f>
        <v>0</v>
      </c>
      <c r="T10" s="7">
        <f>IF(T$4="","",IFERROR(INDIRECT("'"&amp;T$4&amp;"'!"&amp;$AQ10),""))</f>
        <v>0</v>
      </c>
      <c r="U10" s="7">
        <f>IF(U$4="","",IFERROR(INDIRECT("'"&amp;U$4&amp;"'!"&amp;$AQ10),""))</f>
        <v>0</v>
      </c>
      <c r="V10" s="7">
        <f>IF(V$4="","",IFERROR(INDIRECT("'"&amp;V$4&amp;"'!"&amp;$AQ10),""))</f>
        <v>0</v>
      </c>
      <c r="W10" s="7">
        <f>IF(W$4="","",IFERROR(INDIRECT("'"&amp;W$4&amp;"'!"&amp;$AQ10),""))</f>
        <v>0</v>
      </c>
      <c r="X10" s="7">
        <f>IF(X$4="","",IFERROR(INDIRECT("'"&amp;X$4&amp;"'!"&amp;$AQ10),""))</f>
        <v>0</v>
      </c>
      <c r="Y10" s="7">
        <f>IF(Y$4="","",IFERROR(INDIRECT("'"&amp;Y$4&amp;"'!"&amp;$AQ10),""))</f>
        <v>0</v>
      </c>
      <c r="Z10" s="7">
        <f>IF(Z$4="","",IFERROR(INDIRECT("'"&amp;Z$4&amp;"'!"&amp;$AQ10),""))</f>
        <v>0</v>
      </c>
      <c r="AA10" s="7">
        <f>IF(AA$4="","",IFERROR(INDIRECT("'"&amp;AA$4&amp;"'!"&amp;$AQ10),""))</f>
        <v>0</v>
      </c>
      <c r="AB10" s="7">
        <f>IF(AB$4="","",IFERROR(INDIRECT("'"&amp;AB$4&amp;"'!"&amp;$AQ10),""))</f>
        <v>0</v>
      </c>
      <c r="AC10" s="7">
        <f>IF(AC$4="","",IFERROR(INDIRECT("'"&amp;AC$4&amp;"'!"&amp;$AQ10),""))</f>
        <v>0</v>
      </c>
      <c r="AD10" s="7">
        <f>IF(AD$4="","",IFERROR(INDIRECT("'"&amp;AD$4&amp;"'!"&amp;$AQ10),""))</f>
        <v>0</v>
      </c>
      <c r="AE10" s="7">
        <f>IF(AE$4="","",IFERROR(INDIRECT("'"&amp;AE$4&amp;"'!"&amp;$AQ10),""))</f>
        <v>0</v>
      </c>
      <c r="AF10" s="7">
        <f>IF(AF$4="","",IFERROR(INDIRECT("'"&amp;AF$4&amp;"'!"&amp;$AQ10),""))</f>
        <v>0</v>
      </c>
      <c r="AG10" s="7">
        <f>IF(AG$4="","",IFERROR(INDIRECT("'"&amp;AG$4&amp;"'!"&amp;$AQ10),""))</f>
        <v>0</v>
      </c>
      <c r="AH10" s="7">
        <f>IF(AH$4="","",IFERROR(INDIRECT("'"&amp;AH$4&amp;"'!"&amp;$AQ10),""))</f>
        <v>0</v>
      </c>
      <c r="AI10" s="7">
        <f>IF(AI$4="","",IFERROR(INDIRECT("'"&amp;AI$4&amp;"'!"&amp;$AQ10),""))</f>
        <v>0</v>
      </c>
      <c r="AJ10" s="7">
        <f>IF(AJ$4="","",IFERROR(INDIRECT("'"&amp;AJ$4&amp;"'!"&amp;$AQ10),""))</f>
        <v>0</v>
      </c>
      <c r="AK10" s="7">
        <f>IF(AK$4="","",IFERROR(INDIRECT("'"&amp;AK$4&amp;"'!"&amp;$AQ10),""))</f>
        <v>0</v>
      </c>
      <c r="AL10" s="7">
        <f>IF(AL$4="","",IFERROR(INDIRECT("'"&amp;AL$4&amp;"'!"&amp;$AQ10),""))</f>
        <v>0</v>
      </c>
      <c r="AM10" s="7">
        <f>IF(AM$4="","",IFERROR(INDIRECT("'"&amp;AM$4&amp;"'!"&amp;$AQ10),""))</f>
        <v>0</v>
      </c>
      <c r="AN10" s="7">
        <f>IF(AN$4="","",IFERROR(INDIRECT("'"&amp;AN$4&amp;"'!"&amp;$AQ10),""))</f>
        <v>0</v>
      </c>
      <c r="AO10" s="7">
        <f>IF(AO$4="","",IFERROR(INDIRECT("'"&amp;AO$4&amp;"'!"&amp;$AQ10),""))</f>
        <v>0</v>
      </c>
      <c r="AQ10" t="s">
        <v>1081</v>
      </c>
    </row>
    <row r="11" spans="1:43">
      <c r="A11" s="17" t="s">
        <v>46</v>
      </c>
      <c r="B11" s="7">
        <f>IF(B$4="","",IFERROR(INDIRECT("'"&amp;B$4&amp;"'!"&amp;$AQ11),""))</f>
        <v>0</v>
      </c>
      <c r="C11" s="7">
        <f>IF(C$4="","",IFERROR(INDIRECT("'"&amp;C$4&amp;"'!"&amp;$AQ11),""))</f>
        <v>0</v>
      </c>
      <c r="D11" s="7">
        <f>IF(D$4="","",IFERROR(INDIRECT("'"&amp;D$4&amp;"'!"&amp;$AQ11),""))</f>
        <v>0</v>
      </c>
      <c r="E11" s="7">
        <f>IF(E$4="","",IFERROR(INDIRECT("'"&amp;E$4&amp;"'!"&amp;$AQ11),""))</f>
        <v>0</v>
      </c>
      <c r="F11" s="7">
        <f>IF(F$4="","",IFERROR(INDIRECT("'"&amp;F$4&amp;"'!"&amp;$AQ11),""))</f>
        <v>0</v>
      </c>
      <c r="G11" s="7">
        <f>IF(G$4="","",IFERROR(INDIRECT("'"&amp;G$4&amp;"'!"&amp;$AQ11),""))</f>
        <v>0</v>
      </c>
      <c r="H11" s="7">
        <f>IF(H$4="","",IFERROR(INDIRECT("'"&amp;H$4&amp;"'!"&amp;$AQ11),""))</f>
        <v>0</v>
      </c>
      <c r="I11" s="7">
        <f>IF(I$4="","",IFERROR(INDIRECT("'"&amp;I$4&amp;"'!"&amp;$AQ11),""))</f>
        <v>0</v>
      </c>
      <c r="J11" s="7">
        <f>IF(J$4="","",IFERROR(INDIRECT("'"&amp;J$4&amp;"'!"&amp;$AQ11),""))</f>
        <v>0</v>
      </c>
      <c r="K11" s="7">
        <f>IF(K$4="","",IFERROR(INDIRECT("'"&amp;K$4&amp;"'!"&amp;$AQ11),""))</f>
        <v>0</v>
      </c>
      <c r="L11" s="7">
        <f>IF(L$4="","",IFERROR(INDIRECT("'"&amp;L$4&amp;"'!"&amp;$AQ11),""))</f>
        <v>0</v>
      </c>
      <c r="M11" s="7">
        <f>IF(M$4="","",IFERROR(INDIRECT("'"&amp;M$4&amp;"'!"&amp;$AQ11),""))</f>
        <v>0</v>
      </c>
      <c r="N11" s="7">
        <f>IF(N$4="","",IFERROR(INDIRECT("'"&amp;N$4&amp;"'!"&amp;$AQ11),""))</f>
        <v>0</v>
      </c>
      <c r="O11" s="7">
        <f>IF(O$4="","",IFERROR(INDIRECT("'"&amp;O$4&amp;"'!"&amp;$AQ11),""))</f>
        <v>0</v>
      </c>
      <c r="P11" s="7">
        <f>IF(P$4="","",IFERROR(INDIRECT("'"&amp;P$4&amp;"'!"&amp;$AQ11),""))</f>
        <v>0</v>
      </c>
      <c r="Q11" s="7">
        <f>IF(Q$4="","",IFERROR(INDIRECT("'"&amp;Q$4&amp;"'!"&amp;$AQ11),""))</f>
        <v>0</v>
      </c>
      <c r="R11" s="7">
        <f>IF(R$4="","",IFERROR(INDIRECT("'"&amp;R$4&amp;"'!"&amp;$AQ11),""))</f>
        <v>0</v>
      </c>
      <c r="S11" s="7">
        <f>IF(S$4="","",IFERROR(INDIRECT("'"&amp;S$4&amp;"'!"&amp;$AQ11),""))</f>
        <v>0</v>
      </c>
      <c r="T11" s="7">
        <f>IF(T$4="","",IFERROR(INDIRECT("'"&amp;T$4&amp;"'!"&amp;$AQ11),""))</f>
        <v>0</v>
      </c>
      <c r="U11" s="7">
        <f>IF(U$4="","",IFERROR(INDIRECT("'"&amp;U$4&amp;"'!"&amp;$AQ11),""))</f>
        <v>0</v>
      </c>
      <c r="V11" s="7">
        <f>IF(V$4="","",IFERROR(INDIRECT("'"&amp;V$4&amp;"'!"&amp;$AQ11),""))</f>
        <v>0</v>
      </c>
      <c r="W11" s="7">
        <f>IF(W$4="","",IFERROR(INDIRECT("'"&amp;W$4&amp;"'!"&amp;$AQ11),""))</f>
        <v>0</v>
      </c>
      <c r="X11" s="7">
        <f>IF(X$4="","",IFERROR(INDIRECT("'"&amp;X$4&amp;"'!"&amp;$AQ11),""))</f>
        <v>0</v>
      </c>
      <c r="Y11" s="7">
        <f>IF(Y$4="","",IFERROR(INDIRECT("'"&amp;Y$4&amp;"'!"&amp;$AQ11),""))</f>
        <v>0</v>
      </c>
      <c r="Z11" s="7">
        <f>IF(Z$4="","",IFERROR(INDIRECT("'"&amp;Z$4&amp;"'!"&amp;$AQ11),""))</f>
        <v>0</v>
      </c>
      <c r="AA11" s="7">
        <f>IF(AA$4="","",IFERROR(INDIRECT("'"&amp;AA$4&amp;"'!"&amp;$AQ11),""))</f>
        <v>0</v>
      </c>
      <c r="AB11" s="7">
        <f>IF(AB$4="","",IFERROR(INDIRECT("'"&amp;AB$4&amp;"'!"&amp;$AQ11),""))</f>
        <v>0</v>
      </c>
      <c r="AC11" s="7">
        <f>IF(AC$4="","",IFERROR(INDIRECT("'"&amp;AC$4&amp;"'!"&amp;$AQ11),""))</f>
        <v>0</v>
      </c>
      <c r="AD11" s="7">
        <f>IF(AD$4="","",IFERROR(INDIRECT("'"&amp;AD$4&amp;"'!"&amp;$AQ11),""))</f>
        <v>0</v>
      </c>
      <c r="AE11" s="7">
        <f>IF(AE$4="","",IFERROR(INDIRECT("'"&amp;AE$4&amp;"'!"&amp;$AQ11),""))</f>
        <v>0</v>
      </c>
      <c r="AF11" s="7">
        <f>IF(AF$4="","",IFERROR(INDIRECT("'"&amp;AF$4&amp;"'!"&amp;$AQ11),""))</f>
        <v>0</v>
      </c>
      <c r="AG11" s="7">
        <f>IF(AG$4="","",IFERROR(INDIRECT("'"&amp;AG$4&amp;"'!"&amp;$AQ11),""))</f>
        <v>0</v>
      </c>
      <c r="AH11" s="7">
        <f>IF(AH$4="","",IFERROR(INDIRECT("'"&amp;AH$4&amp;"'!"&amp;$AQ11),""))</f>
        <v>0</v>
      </c>
      <c r="AI11" s="7">
        <f>IF(AI$4="","",IFERROR(INDIRECT("'"&amp;AI$4&amp;"'!"&amp;$AQ11),""))</f>
        <v>0</v>
      </c>
      <c r="AJ11" s="7">
        <f>IF(AJ$4="","",IFERROR(INDIRECT("'"&amp;AJ$4&amp;"'!"&amp;$AQ11),""))</f>
        <v>0</v>
      </c>
      <c r="AK11" s="7">
        <f>IF(AK$4="","",IFERROR(INDIRECT("'"&amp;AK$4&amp;"'!"&amp;$AQ11),""))</f>
        <v>0</v>
      </c>
      <c r="AL11" s="7">
        <f>IF(AL$4="","",IFERROR(INDIRECT("'"&amp;AL$4&amp;"'!"&amp;$AQ11),""))</f>
        <v>0</v>
      </c>
      <c r="AM11" s="7">
        <f>IF(AM$4="","",IFERROR(INDIRECT("'"&amp;AM$4&amp;"'!"&amp;$AQ11),""))</f>
        <v>0</v>
      </c>
      <c r="AN11" s="7">
        <f>IF(AN$4="","",IFERROR(INDIRECT("'"&amp;AN$4&amp;"'!"&amp;$AQ11),""))</f>
        <v>0</v>
      </c>
      <c r="AO11" s="7">
        <f>IF(AO$4="","",IFERROR(INDIRECT("'"&amp;AO$4&amp;"'!"&amp;$AQ11),""))</f>
        <v>0</v>
      </c>
      <c r="AQ11" t="s">
        <v>1083</v>
      </c>
    </row>
    <row r="12" spans="1:43">
      <c r="A12" s="17" t="s">
        <v>823</v>
      </c>
      <c r="B12" s="7">
        <f>IF(B$4="","",IFERROR(INDIRECT("'"&amp;B$4&amp;"'!"&amp;$AQ12),""))</f>
        <v>0</v>
      </c>
      <c r="C12" s="7">
        <f>IF(C$4="","",IFERROR(INDIRECT("'"&amp;C$4&amp;"'!"&amp;$AQ12),""))</f>
        <v>0</v>
      </c>
      <c r="D12" s="7">
        <f>IF(D$4="","",IFERROR(INDIRECT("'"&amp;D$4&amp;"'!"&amp;$AQ12),""))</f>
        <v>0</v>
      </c>
      <c r="E12" s="7">
        <f>IF(E$4="","",IFERROR(INDIRECT("'"&amp;E$4&amp;"'!"&amp;$AQ12),""))</f>
        <v>0</v>
      </c>
      <c r="F12" s="7">
        <f>IF(F$4="","",IFERROR(INDIRECT("'"&amp;F$4&amp;"'!"&amp;$AQ12),""))</f>
        <v>0</v>
      </c>
      <c r="G12" s="7">
        <f>IF(G$4="","",IFERROR(INDIRECT("'"&amp;G$4&amp;"'!"&amp;$AQ12),""))</f>
        <v>0</v>
      </c>
      <c r="H12" s="7">
        <f>IF(H$4="","",IFERROR(INDIRECT("'"&amp;H$4&amp;"'!"&amp;$AQ12),""))</f>
        <v>0</v>
      </c>
      <c r="I12" s="7">
        <f>IF(I$4="","",IFERROR(INDIRECT("'"&amp;I$4&amp;"'!"&amp;$AQ12),""))</f>
        <v>0</v>
      </c>
      <c r="J12" s="7">
        <f>IF(J$4="","",IFERROR(INDIRECT("'"&amp;J$4&amp;"'!"&amp;$AQ12),""))</f>
        <v>0</v>
      </c>
      <c r="K12" s="7">
        <f>IF(K$4="","",IFERROR(INDIRECT("'"&amp;K$4&amp;"'!"&amp;$AQ12),""))</f>
        <v>0</v>
      </c>
      <c r="L12" s="7">
        <f>IF(L$4="","",IFERROR(INDIRECT("'"&amp;L$4&amp;"'!"&amp;$AQ12),""))</f>
        <v>0</v>
      </c>
      <c r="M12" s="7">
        <f>IF(M$4="","",IFERROR(INDIRECT("'"&amp;M$4&amp;"'!"&amp;$AQ12),""))</f>
        <v>0</v>
      </c>
      <c r="N12" s="7">
        <f>IF(N$4="","",IFERROR(INDIRECT("'"&amp;N$4&amp;"'!"&amp;$AQ12),""))</f>
        <v>0</v>
      </c>
      <c r="O12" s="7">
        <f>IF(O$4="","",IFERROR(INDIRECT("'"&amp;O$4&amp;"'!"&amp;$AQ12),""))</f>
        <v>0</v>
      </c>
      <c r="P12" s="7">
        <f>IF(P$4="","",IFERROR(INDIRECT("'"&amp;P$4&amp;"'!"&amp;$AQ12),""))</f>
        <v>0</v>
      </c>
      <c r="Q12" s="7">
        <f>IF(Q$4="","",IFERROR(INDIRECT("'"&amp;Q$4&amp;"'!"&amp;$AQ12),""))</f>
        <v>0</v>
      </c>
      <c r="R12" s="7">
        <f>IF(R$4="","",IFERROR(INDIRECT("'"&amp;R$4&amp;"'!"&amp;$AQ12),""))</f>
        <v>0</v>
      </c>
      <c r="S12" s="7">
        <f>IF(S$4="","",IFERROR(INDIRECT("'"&amp;S$4&amp;"'!"&amp;$AQ12),""))</f>
        <v>0</v>
      </c>
      <c r="T12" s="7">
        <f>IF(T$4="","",IFERROR(INDIRECT("'"&amp;T$4&amp;"'!"&amp;$AQ12),""))</f>
        <v>0</v>
      </c>
      <c r="U12" s="7">
        <f>IF(U$4="","",IFERROR(INDIRECT("'"&amp;U$4&amp;"'!"&amp;$AQ12),""))</f>
        <v>0</v>
      </c>
      <c r="V12" s="7">
        <f>IF(V$4="","",IFERROR(INDIRECT("'"&amp;V$4&amp;"'!"&amp;$AQ12),""))</f>
        <v>0</v>
      </c>
      <c r="W12" s="7">
        <f>IF(W$4="","",IFERROR(INDIRECT("'"&amp;W$4&amp;"'!"&amp;$AQ12),""))</f>
        <v>0</v>
      </c>
      <c r="X12" s="7">
        <f>IF(X$4="","",IFERROR(INDIRECT("'"&amp;X$4&amp;"'!"&amp;$AQ12),""))</f>
        <v>0</v>
      </c>
      <c r="Y12" s="7">
        <f>IF(Y$4="","",IFERROR(INDIRECT("'"&amp;Y$4&amp;"'!"&amp;$AQ12),""))</f>
        <v>0</v>
      </c>
      <c r="Z12" s="7">
        <f>IF(Z$4="","",IFERROR(INDIRECT("'"&amp;Z$4&amp;"'!"&amp;$AQ12),""))</f>
        <v>0</v>
      </c>
      <c r="AA12" s="7">
        <f>IF(AA$4="","",IFERROR(INDIRECT("'"&amp;AA$4&amp;"'!"&amp;$AQ12),""))</f>
        <v>0</v>
      </c>
      <c r="AB12" s="7">
        <f>IF(AB$4="","",IFERROR(INDIRECT("'"&amp;AB$4&amp;"'!"&amp;$AQ12),""))</f>
        <v>0</v>
      </c>
      <c r="AC12" s="7">
        <f>IF(AC$4="","",IFERROR(INDIRECT("'"&amp;AC$4&amp;"'!"&amp;$AQ12),""))</f>
        <v>0</v>
      </c>
      <c r="AD12" s="7">
        <f>IF(AD$4="","",IFERROR(INDIRECT("'"&amp;AD$4&amp;"'!"&amp;$AQ12),""))</f>
        <v>0</v>
      </c>
      <c r="AE12" s="7">
        <f>IF(AE$4="","",IFERROR(INDIRECT("'"&amp;AE$4&amp;"'!"&amp;$AQ12),""))</f>
        <v>0</v>
      </c>
      <c r="AF12" s="7">
        <f>IF(AF$4="","",IFERROR(INDIRECT("'"&amp;AF$4&amp;"'!"&amp;$AQ12),""))</f>
        <v>0</v>
      </c>
      <c r="AG12" s="7">
        <f>IF(AG$4="","",IFERROR(INDIRECT("'"&amp;AG$4&amp;"'!"&amp;$AQ12),""))</f>
        <v>0</v>
      </c>
      <c r="AH12" s="7">
        <f>IF(AH$4="","",IFERROR(INDIRECT("'"&amp;AH$4&amp;"'!"&amp;$AQ12),""))</f>
        <v>0</v>
      </c>
      <c r="AI12" s="7">
        <f>IF(AI$4="","",IFERROR(INDIRECT("'"&amp;AI$4&amp;"'!"&amp;$AQ12),""))</f>
        <v>0</v>
      </c>
      <c r="AJ12" s="7">
        <f>IF(AJ$4="","",IFERROR(INDIRECT("'"&amp;AJ$4&amp;"'!"&amp;$AQ12),""))</f>
        <v>0</v>
      </c>
      <c r="AK12" s="7">
        <f>IF(AK$4="","",IFERROR(INDIRECT("'"&amp;AK$4&amp;"'!"&amp;$AQ12),""))</f>
        <v>0</v>
      </c>
      <c r="AL12" s="7">
        <f>IF(AL$4="","",IFERROR(INDIRECT("'"&amp;AL$4&amp;"'!"&amp;$AQ12),""))</f>
        <v>0</v>
      </c>
      <c r="AM12" s="7">
        <f>IF(AM$4="","",IFERROR(INDIRECT("'"&amp;AM$4&amp;"'!"&amp;$AQ12),""))</f>
        <v>0</v>
      </c>
      <c r="AN12" s="7">
        <f>IF(AN$4="","",IFERROR(INDIRECT("'"&amp;AN$4&amp;"'!"&amp;$AQ12),""))</f>
        <v>0</v>
      </c>
      <c r="AO12" s="7">
        <f>IF(AO$4="","",IFERROR(INDIRECT("'"&amp;AO$4&amp;"'!"&amp;$AQ12),""))</f>
        <v>0</v>
      </c>
      <c r="AQ12" t="s">
        <v>1700</v>
      </c>
    </row>
    <row r="13" spans="1:43">
      <c r="A13" s="17" t="s">
        <v>1701</v>
      </c>
      <c r="B13" s="18">
        <f>IF(B$4="","",IFERROR(INDIRECT("'"&amp;B$4&amp;"'!"&amp;$AQ13),""))</f>
        <v>0</v>
      </c>
      <c r="C13" s="18">
        <f>IF(C$4="","",IFERROR(INDIRECT("'"&amp;C$4&amp;"'!"&amp;$AQ13),""))</f>
        <v>0</v>
      </c>
      <c r="D13" s="18">
        <f>IF(D$4="","",IFERROR(INDIRECT("'"&amp;D$4&amp;"'!"&amp;$AQ13),""))</f>
        <v>0</v>
      </c>
      <c r="E13" s="18">
        <f>IF(E$4="","",IFERROR(INDIRECT("'"&amp;E$4&amp;"'!"&amp;$AQ13),""))</f>
        <v>0</v>
      </c>
      <c r="F13" s="18">
        <f>IF(F$4="","",IFERROR(INDIRECT("'"&amp;F$4&amp;"'!"&amp;$AQ13),""))</f>
        <v>0</v>
      </c>
      <c r="G13" s="18">
        <f>IF(G$4="","",IFERROR(INDIRECT("'"&amp;G$4&amp;"'!"&amp;$AQ13),""))</f>
        <v>0</v>
      </c>
      <c r="H13" s="18">
        <f>IF(H$4="","",IFERROR(INDIRECT("'"&amp;H$4&amp;"'!"&amp;$AQ13),""))</f>
        <v>0</v>
      </c>
      <c r="I13" s="18">
        <f>IF(I$4="","",IFERROR(INDIRECT("'"&amp;I$4&amp;"'!"&amp;$AQ13),""))</f>
        <v>0</v>
      </c>
      <c r="J13" s="18">
        <f>IF(J$4="","",IFERROR(INDIRECT("'"&amp;J$4&amp;"'!"&amp;$AQ13),""))</f>
        <v>0</v>
      </c>
      <c r="K13" s="18">
        <f>IF(K$4="","",IFERROR(INDIRECT("'"&amp;K$4&amp;"'!"&amp;$AQ13),""))</f>
        <v>0</v>
      </c>
      <c r="L13" s="18">
        <f>IF(L$4="","",IFERROR(INDIRECT("'"&amp;L$4&amp;"'!"&amp;$AQ13),""))</f>
        <v>0</v>
      </c>
      <c r="M13" s="18">
        <f>IF(M$4="","",IFERROR(INDIRECT("'"&amp;M$4&amp;"'!"&amp;$AQ13),""))</f>
        <v>0</v>
      </c>
      <c r="N13" s="18">
        <f>IF(N$4="","",IFERROR(INDIRECT("'"&amp;N$4&amp;"'!"&amp;$AQ13),""))</f>
        <v>0</v>
      </c>
      <c r="O13" s="18">
        <f>IF(O$4="","",IFERROR(INDIRECT("'"&amp;O$4&amp;"'!"&amp;$AQ13),""))</f>
        <v>0</v>
      </c>
      <c r="P13" s="18">
        <f>IF(P$4="","",IFERROR(INDIRECT("'"&amp;P$4&amp;"'!"&amp;$AQ13),""))</f>
        <v>0</v>
      </c>
      <c r="Q13" s="18">
        <f>IF(Q$4="","",IFERROR(INDIRECT("'"&amp;Q$4&amp;"'!"&amp;$AQ13),""))</f>
        <v>0</v>
      </c>
      <c r="R13" s="18">
        <f>IF(R$4="","",IFERROR(INDIRECT("'"&amp;R$4&amp;"'!"&amp;$AQ13),""))</f>
        <v>0</v>
      </c>
      <c r="S13" s="18">
        <f>IF(S$4="","",IFERROR(INDIRECT("'"&amp;S$4&amp;"'!"&amp;$AQ13),""))</f>
        <v>0</v>
      </c>
      <c r="T13" s="18">
        <f>IF(T$4="","",IFERROR(INDIRECT("'"&amp;T$4&amp;"'!"&amp;$AQ13),""))</f>
        <v>0</v>
      </c>
      <c r="U13" s="18">
        <f>IF(U$4="","",IFERROR(INDIRECT("'"&amp;U$4&amp;"'!"&amp;$AQ13),""))</f>
        <v>0</v>
      </c>
      <c r="V13" s="18">
        <f>IF(V$4="","",IFERROR(INDIRECT("'"&amp;V$4&amp;"'!"&amp;$AQ13),""))</f>
        <v>0</v>
      </c>
      <c r="W13" s="18">
        <f>IF(W$4="","",IFERROR(INDIRECT("'"&amp;W$4&amp;"'!"&amp;$AQ13),""))</f>
        <v>0</v>
      </c>
      <c r="X13" s="18">
        <f>IF(X$4="","",IFERROR(INDIRECT("'"&amp;X$4&amp;"'!"&amp;$AQ13),""))</f>
        <v>0</v>
      </c>
      <c r="Y13" s="18">
        <f>IF(Y$4="","",IFERROR(INDIRECT("'"&amp;Y$4&amp;"'!"&amp;$AQ13),""))</f>
        <v>0</v>
      </c>
      <c r="Z13" s="18">
        <f>IF(Z$4="","",IFERROR(INDIRECT("'"&amp;Z$4&amp;"'!"&amp;$AQ13),""))</f>
        <v>0</v>
      </c>
      <c r="AA13" s="18">
        <f>IF(AA$4="","",IFERROR(INDIRECT("'"&amp;AA$4&amp;"'!"&amp;$AQ13),""))</f>
        <v>0</v>
      </c>
      <c r="AB13" s="18">
        <f>IF(AB$4="","",IFERROR(INDIRECT("'"&amp;AB$4&amp;"'!"&amp;$AQ13),""))</f>
        <v>0</v>
      </c>
      <c r="AC13" s="18">
        <f>IF(AC$4="","",IFERROR(INDIRECT("'"&amp;AC$4&amp;"'!"&amp;$AQ13),""))</f>
        <v>0</v>
      </c>
      <c r="AD13" s="18">
        <f>IF(AD$4="","",IFERROR(INDIRECT("'"&amp;AD$4&amp;"'!"&amp;$AQ13),""))</f>
        <v>0</v>
      </c>
      <c r="AE13" s="18">
        <f>IF(AE$4="","",IFERROR(INDIRECT("'"&amp;AE$4&amp;"'!"&amp;$AQ13),""))</f>
        <v>0</v>
      </c>
      <c r="AF13" s="18">
        <f>IF(AF$4="","",IFERROR(INDIRECT("'"&amp;AF$4&amp;"'!"&amp;$AQ13),""))</f>
        <v>0</v>
      </c>
      <c r="AG13" s="18">
        <f>IF(AG$4="","",IFERROR(INDIRECT("'"&amp;AG$4&amp;"'!"&amp;$AQ13),""))</f>
        <v>0</v>
      </c>
      <c r="AH13" s="18">
        <f>IF(AH$4="","",IFERROR(INDIRECT("'"&amp;AH$4&amp;"'!"&amp;$AQ13),""))</f>
        <v>0</v>
      </c>
      <c r="AI13" s="18">
        <f>IF(AI$4="","",IFERROR(INDIRECT("'"&amp;AI$4&amp;"'!"&amp;$AQ13),""))</f>
        <v>0</v>
      </c>
      <c r="AJ13" s="18">
        <f>IF(AJ$4="","",IFERROR(INDIRECT("'"&amp;AJ$4&amp;"'!"&amp;$AQ13),""))</f>
        <v>0</v>
      </c>
      <c r="AK13" s="18">
        <f>IF(AK$4="","",IFERROR(INDIRECT("'"&amp;AK$4&amp;"'!"&amp;$AQ13),""))</f>
        <v>0</v>
      </c>
      <c r="AL13" s="18">
        <f>IF(AL$4="","",IFERROR(INDIRECT("'"&amp;AL$4&amp;"'!"&amp;$AQ13),""))</f>
        <v>0</v>
      </c>
      <c r="AM13" s="18">
        <f>IF(AM$4="","",IFERROR(INDIRECT("'"&amp;AM$4&amp;"'!"&amp;$AQ13),""))</f>
        <v>0</v>
      </c>
      <c r="AN13" s="18">
        <f>IF(AN$4="","",IFERROR(INDIRECT("'"&amp;AN$4&amp;"'!"&amp;$AQ13),""))</f>
        <v>0</v>
      </c>
      <c r="AO13" s="18">
        <f>IF(AO$4="","",IFERROR(INDIRECT("'"&amp;AO$4&amp;"'!"&amp;$AQ13),""))</f>
        <v>0</v>
      </c>
      <c r="AQ13" t="s">
        <v>1702</v>
      </c>
    </row>
    <row r="14" spans="1:43">
      <c r="A14" s="17" t="s">
        <v>1703</v>
      </c>
      <c r="B14" s="19">
        <f>IF(B$4="","",IFERROR(INDIRECT("'"&amp;B$4&amp;"'!"&amp;$AQ14),""))</f>
        <v>0</v>
      </c>
      <c r="C14" s="19">
        <f>IF(C$4="","",IFERROR(INDIRECT("'"&amp;C$4&amp;"'!"&amp;$AQ14),""))</f>
        <v>0</v>
      </c>
      <c r="D14" s="19">
        <f>IF(D$4="","",IFERROR(INDIRECT("'"&amp;D$4&amp;"'!"&amp;$AQ14),""))</f>
        <v>0</v>
      </c>
      <c r="E14" s="19">
        <f>IF(E$4="","",IFERROR(INDIRECT("'"&amp;E$4&amp;"'!"&amp;$AQ14),""))</f>
        <v>0</v>
      </c>
      <c r="F14" s="19">
        <f>IF(F$4="","",IFERROR(INDIRECT("'"&amp;F$4&amp;"'!"&amp;$AQ14),""))</f>
        <v>0</v>
      </c>
      <c r="G14" s="19">
        <f>IF(G$4="","",IFERROR(INDIRECT("'"&amp;G$4&amp;"'!"&amp;$AQ14),""))</f>
        <v>0</v>
      </c>
      <c r="H14" s="19">
        <f>IF(H$4="","",IFERROR(INDIRECT("'"&amp;H$4&amp;"'!"&amp;$AQ14),""))</f>
        <v>0</v>
      </c>
      <c r="I14" s="19">
        <f>IF(I$4="","",IFERROR(INDIRECT("'"&amp;I$4&amp;"'!"&amp;$AQ14),""))</f>
        <v>0</v>
      </c>
      <c r="J14" s="19">
        <f>IF(J$4="","",IFERROR(INDIRECT("'"&amp;J$4&amp;"'!"&amp;$AQ14),""))</f>
        <v>0</v>
      </c>
      <c r="K14" s="19">
        <f>IF(K$4="","",IFERROR(INDIRECT("'"&amp;K$4&amp;"'!"&amp;$AQ14),""))</f>
        <v>0</v>
      </c>
      <c r="L14" s="19">
        <f>IF(L$4="","",IFERROR(INDIRECT("'"&amp;L$4&amp;"'!"&amp;$AQ14),""))</f>
        <v>0</v>
      </c>
      <c r="M14" s="19">
        <f>IF(M$4="","",IFERROR(INDIRECT("'"&amp;M$4&amp;"'!"&amp;$AQ14),""))</f>
        <v>0</v>
      </c>
      <c r="N14" s="19">
        <f>IF(N$4="","",IFERROR(INDIRECT("'"&amp;N$4&amp;"'!"&amp;$AQ14),""))</f>
        <v>0</v>
      </c>
      <c r="O14" s="19">
        <f>IF(O$4="","",IFERROR(INDIRECT("'"&amp;O$4&amp;"'!"&amp;$AQ14),""))</f>
        <v>0</v>
      </c>
      <c r="P14" s="19">
        <f>IF(P$4="","",IFERROR(INDIRECT("'"&amp;P$4&amp;"'!"&amp;$AQ14),""))</f>
        <v>0</v>
      </c>
      <c r="Q14" s="19">
        <f>IF(Q$4="","",IFERROR(INDIRECT("'"&amp;Q$4&amp;"'!"&amp;$AQ14),""))</f>
        <v>0</v>
      </c>
      <c r="R14" s="19">
        <f>IF(R$4="","",IFERROR(INDIRECT("'"&amp;R$4&amp;"'!"&amp;$AQ14),""))</f>
        <v>0</v>
      </c>
      <c r="S14" s="19">
        <f>IF(S$4="","",IFERROR(INDIRECT("'"&amp;S$4&amp;"'!"&amp;$AQ14),""))</f>
        <v>0</v>
      </c>
      <c r="T14" s="19">
        <f>IF(T$4="","",IFERROR(INDIRECT("'"&amp;T$4&amp;"'!"&amp;$AQ14),""))</f>
        <v>0</v>
      </c>
      <c r="U14" s="19">
        <f>IF(U$4="","",IFERROR(INDIRECT("'"&amp;U$4&amp;"'!"&amp;$AQ14),""))</f>
        <v>0</v>
      </c>
      <c r="V14" s="19">
        <f>IF(V$4="","",IFERROR(INDIRECT("'"&amp;V$4&amp;"'!"&amp;$AQ14),""))</f>
        <v>0</v>
      </c>
      <c r="W14" s="19">
        <f>IF(W$4="","",IFERROR(INDIRECT("'"&amp;W$4&amp;"'!"&amp;$AQ14),""))</f>
        <v>0</v>
      </c>
      <c r="X14" s="19">
        <f>IF(X$4="","",IFERROR(INDIRECT("'"&amp;X$4&amp;"'!"&amp;$AQ14),""))</f>
        <v>0</v>
      </c>
      <c r="Y14" s="19">
        <f>IF(Y$4="","",IFERROR(INDIRECT("'"&amp;Y$4&amp;"'!"&amp;$AQ14),""))</f>
        <v>0</v>
      </c>
      <c r="Z14" s="19">
        <f>IF(Z$4="","",IFERROR(INDIRECT("'"&amp;Z$4&amp;"'!"&amp;$AQ14),""))</f>
        <v>0</v>
      </c>
      <c r="AA14" s="19">
        <f>IF(AA$4="","",IFERROR(INDIRECT("'"&amp;AA$4&amp;"'!"&amp;$AQ14),""))</f>
        <v>0</v>
      </c>
      <c r="AB14" s="19">
        <f>IF(AB$4="","",IFERROR(INDIRECT("'"&amp;AB$4&amp;"'!"&amp;$AQ14),""))</f>
        <v>0</v>
      </c>
      <c r="AC14" s="19">
        <f>IF(AC$4="","",IFERROR(INDIRECT("'"&amp;AC$4&amp;"'!"&amp;$AQ14),""))</f>
        <v>0</v>
      </c>
      <c r="AD14" s="19">
        <f>IF(AD$4="","",IFERROR(INDIRECT("'"&amp;AD$4&amp;"'!"&amp;$AQ14),""))</f>
        <v>0</v>
      </c>
      <c r="AE14" s="19">
        <f>IF(AE$4="","",IFERROR(INDIRECT("'"&amp;AE$4&amp;"'!"&amp;$AQ14),""))</f>
        <v>0</v>
      </c>
      <c r="AF14" s="19">
        <f>IF(AF$4="","",IFERROR(INDIRECT("'"&amp;AF$4&amp;"'!"&amp;$AQ14),""))</f>
        <v>0</v>
      </c>
      <c r="AG14" s="19">
        <f>IF(AG$4="","",IFERROR(INDIRECT("'"&amp;AG$4&amp;"'!"&amp;$AQ14),""))</f>
        <v>0</v>
      </c>
      <c r="AH14" s="19">
        <f>IF(AH$4="","",IFERROR(INDIRECT("'"&amp;AH$4&amp;"'!"&amp;$AQ14),""))</f>
        <v>0</v>
      </c>
      <c r="AI14" s="19">
        <f>IF(AI$4="","",IFERROR(INDIRECT("'"&amp;AI$4&amp;"'!"&amp;$AQ14),""))</f>
        <v>0</v>
      </c>
      <c r="AJ14" s="19">
        <f>IF(AJ$4="","",IFERROR(INDIRECT("'"&amp;AJ$4&amp;"'!"&amp;$AQ14),""))</f>
        <v>0</v>
      </c>
      <c r="AK14" s="19">
        <f>IF(AK$4="","",IFERROR(INDIRECT("'"&amp;AK$4&amp;"'!"&amp;$AQ14),""))</f>
        <v>0</v>
      </c>
      <c r="AL14" s="19">
        <f>IF(AL$4="","",IFERROR(INDIRECT("'"&amp;AL$4&amp;"'!"&amp;$AQ14),""))</f>
        <v>0</v>
      </c>
      <c r="AM14" s="19">
        <f>IF(AM$4="","",IFERROR(INDIRECT("'"&amp;AM$4&amp;"'!"&amp;$AQ14),""))</f>
        <v>0</v>
      </c>
      <c r="AN14" s="19">
        <f>IF(AN$4="","",IFERROR(INDIRECT("'"&amp;AN$4&amp;"'!"&amp;$AQ14),""))</f>
        <v>0</v>
      </c>
      <c r="AO14" s="19">
        <f>IF(AO$4="","",IFERROR(INDIRECT("'"&amp;AO$4&amp;"'!"&amp;$AQ14),""))</f>
        <v>0</v>
      </c>
      <c r="AQ14" t="s">
        <v>1704</v>
      </c>
    </row>
    <row r="15" spans="1:43">
      <c r="A15" s="17" t="s">
        <v>1705</v>
      </c>
      <c r="B15" s="19">
        <f>IF(B$4="","",IFERROR(INDIRECT("'"&amp;B$4&amp;"'!"&amp;$AQ15),""))</f>
        <v>0</v>
      </c>
      <c r="C15" s="19">
        <f>IF(C$4="","",IFERROR(INDIRECT("'"&amp;C$4&amp;"'!"&amp;$AQ15),""))</f>
        <v>0</v>
      </c>
      <c r="D15" s="19">
        <f>IF(D$4="","",IFERROR(INDIRECT("'"&amp;D$4&amp;"'!"&amp;$AQ15),""))</f>
        <v>0</v>
      </c>
      <c r="E15" s="19">
        <f>IF(E$4="","",IFERROR(INDIRECT("'"&amp;E$4&amp;"'!"&amp;$AQ15),""))</f>
        <v>0</v>
      </c>
      <c r="F15" s="19">
        <f>IF(F$4="","",IFERROR(INDIRECT("'"&amp;F$4&amp;"'!"&amp;$AQ15),""))</f>
        <v>0</v>
      </c>
      <c r="G15" s="19">
        <f>IF(G$4="","",IFERROR(INDIRECT("'"&amp;G$4&amp;"'!"&amp;$AQ15),""))</f>
        <v>0</v>
      </c>
      <c r="H15" s="19">
        <f>IF(H$4="","",IFERROR(INDIRECT("'"&amp;H$4&amp;"'!"&amp;$AQ15),""))</f>
        <v>0</v>
      </c>
      <c r="I15" s="19">
        <f>IF(I$4="","",IFERROR(INDIRECT("'"&amp;I$4&amp;"'!"&amp;$AQ15),""))</f>
        <v>0</v>
      </c>
      <c r="J15" s="19">
        <f>IF(J$4="","",IFERROR(INDIRECT("'"&amp;J$4&amp;"'!"&amp;$AQ15),""))</f>
        <v>0</v>
      </c>
      <c r="K15" s="19">
        <f>IF(K$4="","",IFERROR(INDIRECT("'"&amp;K$4&amp;"'!"&amp;$AQ15),""))</f>
        <v>0</v>
      </c>
      <c r="L15" s="19">
        <f>IF(L$4="","",IFERROR(INDIRECT("'"&amp;L$4&amp;"'!"&amp;$AQ15),""))</f>
        <v>0</v>
      </c>
      <c r="M15" s="19">
        <f>IF(M$4="","",IFERROR(INDIRECT("'"&amp;M$4&amp;"'!"&amp;$AQ15),""))</f>
        <v>0</v>
      </c>
      <c r="N15" s="19">
        <f>IF(N$4="","",IFERROR(INDIRECT("'"&amp;N$4&amp;"'!"&amp;$AQ15),""))</f>
        <v>0</v>
      </c>
      <c r="O15" s="19">
        <f>IF(O$4="","",IFERROR(INDIRECT("'"&amp;O$4&amp;"'!"&amp;$AQ15),""))</f>
        <v>0</v>
      </c>
      <c r="P15" s="19">
        <f>IF(P$4="","",IFERROR(INDIRECT("'"&amp;P$4&amp;"'!"&amp;$AQ15),""))</f>
        <v>0</v>
      </c>
      <c r="Q15" s="19">
        <f>IF(Q$4="","",IFERROR(INDIRECT("'"&amp;Q$4&amp;"'!"&amp;$AQ15),""))</f>
        <v>0</v>
      </c>
      <c r="R15" s="19">
        <f>IF(R$4="","",IFERROR(INDIRECT("'"&amp;R$4&amp;"'!"&amp;$AQ15),""))</f>
        <v>0</v>
      </c>
      <c r="S15" s="19">
        <f>IF(S$4="","",IFERROR(INDIRECT("'"&amp;S$4&amp;"'!"&amp;$AQ15),""))</f>
        <v>0</v>
      </c>
      <c r="T15" s="19">
        <f>IF(T$4="","",IFERROR(INDIRECT("'"&amp;T$4&amp;"'!"&amp;$AQ15),""))</f>
        <v>0</v>
      </c>
      <c r="U15" s="19">
        <f>IF(U$4="","",IFERROR(INDIRECT("'"&amp;U$4&amp;"'!"&amp;$AQ15),""))</f>
        <v>0</v>
      </c>
      <c r="V15" s="19">
        <f>IF(V$4="","",IFERROR(INDIRECT("'"&amp;V$4&amp;"'!"&amp;$AQ15),""))</f>
        <v>0</v>
      </c>
      <c r="W15" s="19">
        <f>IF(W$4="","",IFERROR(INDIRECT("'"&amp;W$4&amp;"'!"&amp;$AQ15),""))</f>
        <v>0</v>
      </c>
      <c r="X15" s="19">
        <f>IF(X$4="","",IFERROR(INDIRECT("'"&amp;X$4&amp;"'!"&amp;$AQ15),""))</f>
        <v>0</v>
      </c>
      <c r="Y15" s="19">
        <f>IF(Y$4="","",IFERROR(INDIRECT("'"&amp;Y$4&amp;"'!"&amp;$AQ15),""))</f>
        <v>0</v>
      </c>
      <c r="Z15" s="19">
        <f>IF(Z$4="","",IFERROR(INDIRECT("'"&amp;Z$4&amp;"'!"&amp;$AQ15),""))</f>
        <v>0</v>
      </c>
      <c r="AA15" s="19">
        <f>IF(AA$4="","",IFERROR(INDIRECT("'"&amp;AA$4&amp;"'!"&amp;$AQ15),""))</f>
        <v>0</v>
      </c>
      <c r="AB15" s="19">
        <f>IF(AB$4="","",IFERROR(INDIRECT("'"&amp;AB$4&amp;"'!"&amp;$AQ15),""))</f>
        <v>0</v>
      </c>
      <c r="AC15" s="19">
        <f>IF(AC$4="","",IFERROR(INDIRECT("'"&amp;AC$4&amp;"'!"&amp;$AQ15),""))</f>
        <v>0</v>
      </c>
      <c r="AD15" s="19">
        <f>IF(AD$4="","",IFERROR(INDIRECT("'"&amp;AD$4&amp;"'!"&amp;$AQ15),""))</f>
        <v>0</v>
      </c>
      <c r="AE15" s="19">
        <f>IF(AE$4="","",IFERROR(INDIRECT("'"&amp;AE$4&amp;"'!"&amp;$AQ15),""))</f>
        <v>0</v>
      </c>
      <c r="AF15" s="19">
        <f>IF(AF$4="","",IFERROR(INDIRECT("'"&amp;AF$4&amp;"'!"&amp;$AQ15),""))</f>
        <v>0</v>
      </c>
      <c r="AG15" s="19">
        <f>IF(AG$4="","",IFERROR(INDIRECT("'"&amp;AG$4&amp;"'!"&amp;$AQ15),""))</f>
        <v>0</v>
      </c>
      <c r="AH15" s="19">
        <f>IF(AH$4="","",IFERROR(INDIRECT("'"&amp;AH$4&amp;"'!"&amp;$AQ15),""))</f>
        <v>0</v>
      </c>
      <c r="AI15" s="19">
        <f>IF(AI$4="","",IFERROR(INDIRECT("'"&amp;AI$4&amp;"'!"&amp;$AQ15),""))</f>
        <v>0</v>
      </c>
      <c r="AJ15" s="19">
        <f>IF(AJ$4="","",IFERROR(INDIRECT("'"&amp;AJ$4&amp;"'!"&amp;$AQ15),""))</f>
        <v>0</v>
      </c>
      <c r="AK15" s="19">
        <f>IF(AK$4="","",IFERROR(INDIRECT("'"&amp;AK$4&amp;"'!"&amp;$AQ15),""))</f>
        <v>0</v>
      </c>
      <c r="AL15" s="19">
        <f>IF(AL$4="","",IFERROR(INDIRECT("'"&amp;AL$4&amp;"'!"&amp;$AQ15),""))</f>
        <v>0</v>
      </c>
      <c r="AM15" s="19">
        <f>IF(AM$4="","",IFERROR(INDIRECT("'"&amp;AM$4&amp;"'!"&amp;$AQ15),""))</f>
        <v>0</v>
      </c>
      <c r="AN15" s="19">
        <f>IF(AN$4="","",IFERROR(INDIRECT("'"&amp;AN$4&amp;"'!"&amp;$AQ15),""))</f>
        <v>0</v>
      </c>
      <c r="AO15" s="19">
        <f>IF(AO$4="","",IFERROR(INDIRECT("'"&amp;AO$4&amp;"'!"&amp;$AQ15),""))</f>
        <v>0</v>
      </c>
      <c r="AQ15" t="s">
        <v>1706</v>
      </c>
    </row>
    <row r="16" spans="1:43">
      <c r="A16" s="17" t="s">
        <v>1707</v>
      </c>
      <c r="B16" s="19">
        <f>IF(B$4="","",IFERROR(INDIRECT("'"&amp;B$4&amp;"'!"&amp;$AQ16),""))</f>
        <v>0</v>
      </c>
      <c r="C16" s="19">
        <f>IF(C$4="","",IFERROR(INDIRECT("'"&amp;C$4&amp;"'!"&amp;$AQ16),""))</f>
        <v>0</v>
      </c>
      <c r="D16" s="19">
        <f>IF(D$4="","",IFERROR(INDIRECT("'"&amp;D$4&amp;"'!"&amp;$AQ16),""))</f>
        <v>0</v>
      </c>
      <c r="E16" s="19">
        <f>IF(E$4="","",IFERROR(INDIRECT("'"&amp;E$4&amp;"'!"&amp;$AQ16),""))</f>
        <v>0</v>
      </c>
      <c r="F16" s="19">
        <f>IF(F$4="","",IFERROR(INDIRECT("'"&amp;F$4&amp;"'!"&amp;$AQ16),""))</f>
        <v>0</v>
      </c>
      <c r="G16" s="19">
        <f>IF(G$4="","",IFERROR(INDIRECT("'"&amp;G$4&amp;"'!"&amp;$AQ16),""))</f>
        <v>0</v>
      </c>
      <c r="H16" s="19">
        <f>IF(H$4="","",IFERROR(INDIRECT("'"&amp;H$4&amp;"'!"&amp;$AQ16),""))</f>
        <v>0</v>
      </c>
      <c r="I16" s="19">
        <f>IF(I$4="","",IFERROR(INDIRECT("'"&amp;I$4&amp;"'!"&amp;$AQ16),""))</f>
        <v>0</v>
      </c>
      <c r="J16" s="19">
        <f>IF(J$4="","",IFERROR(INDIRECT("'"&amp;J$4&amp;"'!"&amp;$AQ16),""))</f>
        <v>0</v>
      </c>
      <c r="K16" s="19">
        <f>IF(K$4="","",IFERROR(INDIRECT("'"&amp;K$4&amp;"'!"&amp;$AQ16),""))</f>
        <v>0</v>
      </c>
      <c r="L16" s="19">
        <f>IF(L$4="","",IFERROR(INDIRECT("'"&amp;L$4&amp;"'!"&amp;$AQ16),""))</f>
        <v>0</v>
      </c>
      <c r="M16" s="19">
        <f>IF(M$4="","",IFERROR(INDIRECT("'"&amp;M$4&amp;"'!"&amp;$AQ16),""))</f>
        <v>0</v>
      </c>
      <c r="N16" s="19">
        <f>IF(N$4="","",IFERROR(INDIRECT("'"&amp;N$4&amp;"'!"&amp;$AQ16),""))</f>
        <v>0</v>
      </c>
      <c r="O16" s="19">
        <f>IF(O$4="","",IFERROR(INDIRECT("'"&amp;O$4&amp;"'!"&amp;$AQ16),""))</f>
        <v>0</v>
      </c>
      <c r="P16" s="19">
        <f>IF(P$4="","",IFERROR(INDIRECT("'"&amp;P$4&amp;"'!"&amp;$AQ16),""))</f>
        <v>0</v>
      </c>
      <c r="Q16" s="19">
        <f>IF(Q$4="","",IFERROR(INDIRECT("'"&amp;Q$4&amp;"'!"&amp;$AQ16),""))</f>
        <v>0</v>
      </c>
      <c r="R16" s="19">
        <f>IF(R$4="","",IFERROR(INDIRECT("'"&amp;R$4&amp;"'!"&amp;$AQ16),""))</f>
        <v>0</v>
      </c>
      <c r="S16" s="19">
        <f>IF(S$4="","",IFERROR(INDIRECT("'"&amp;S$4&amp;"'!"&amp;$AQ16),""))</f>
        <v>0</v>
      </c>
      <c r="T16" s="19">
        <f>IF(T$4="","",IFERROR(INDIRECT("'"&amp;T$4&amp;"'!"&amp;$AQ16),""))</f>
        <v>0</v>
      </c>
      <c r="U16" s="19">
        <f>IF(U$4="","",IFERROR(INDIRECT("'"&amp;U$4&amp;"'!"&amp;$AQ16),""))</f>
        <v>0</v>
      </c>
      <c r="V16" s="19">
        <f>IF(V$4="","",IFERROR(INDIRECT("'"&amp;V$4&amp;"'!"&amp;$AQ16),""))</f>
        <v>0</v>
      </c>
      <c r="W16" s="19">
        <f>IF(W$4="","",IFERROR(INDIRECT("'"&amp;W$4&amp;"'!"&amp;$AQ16),""))</f>
        <v>0</v>
      </c>
      <c r="X16" s="19">
        <f>IF(X$4="","",IFERROR(INDIRECT("'"&amp;X$4&amp;"'!"&amp;$AQ16),""))</f>
        <v>0</v>
      </c>
      <c r="Y16" s="19">
        <f>IF(Y$4="","",IFERROR(INDIRECT("'"&amp;Y$4&amp;"'!"&amp;$AQ16),""))</f>
        <v>0</v>
      </c>
      <c r="Z16" s="19">
        <f>IF(Z$4="","",IFERROR(INDIRECT("'"&amp;Z$4&amp;"'!"&amp;$AQ16),""))</f>
        <v>0</v>
      </c>
      <c r="AA16" s="19">
        <f>IF(AA$4="","",IFERROR(INDIRECT("'"&amp;AA$4&amp;"'!"&amp;$AQ16),""))</f>
        <v>0</v>
      </c>
      <c r="AB16" s="19">
        <f>IF(AB$4="","",IFERROR(INDIRECT("'"&amp;AB$4&amp;"'!"&amp;$AQ16),""))</f>
        <v>0</v>
      </c>
      <c r="AC16" s="19">
        <f>IF(AC$4="","",IFERROR(INDIRECT("'"&amp;AC$4&amp;"'!"&amp;$AQ16),""))</f>
        <v>0</v>
      </c>
      <c r="AD16" s="19">
        <f>IF(AD$4="","",IFERROR(INDIRECT("'"&amp;AD$4&amp;"'!"&amp;$AQ16),""))</f>
        <v>0</v>
      </c>
      <c r="AE16" s="19">
        <f>IF(AE$4="","",IFERROR(INDIRECT("'"&amp;AE$4&amp;"'!"&amp;$AQ16),""))</f>
        <v>0</v>
      </c>
      <c r="AF16" s="19">
        <f>IF(AF$4="","",IFERROR(INDIRECT("'"&amp;AF$4&amp;"'!"&amp;$AQ16),""))</f>
        <v>0</v>
      </c>
      <c r="AG16" s="19">
        <f>IF(AG$4="","",IFERROR(INDIRECT("'"&amp;AG$4&amp;"'!"&amp;$AQ16),""))</f>
        <v>0</v>
      </c>
      <c r="AH16" s="19">
        <f>IF(AH$4="","",IFERROR(INDIRECT("'"&amp;AH$4&amp;"'!"&amp;$AQ16),""))</f>
        <v>0</v>
      </c>
      <c r="AI16" s="19">
        <f>IF(AI$4="","",IFERROR(INDIRECT("'"&amp;AI$4&amp;"'!"&amp;$AQ16),""))</f>
        <v>0</v>
      </c>
      <c r="AJ16" s="19">
        <f>IF(AJ$4="","",IFERROR(INDIRECT("'"&amp;AJ$4&amp;"'!"&amp;$AQ16),""))</f>
        <v>0</v>
      </c>
      <c r="AK16" s="19">
        <f>IF(AK$4="","",IFERROR(INDIRECT("'"&amp;AK$4&amp;"'!"&amp;$AQ16),""))</f>
        <v>0</v>
      </c>
      <c r="AL16" s="19">
        <f>IF(AL$4="","",IFERROR(INDIRECT("'"&amp;AL$4&amp;"'!"&amp;$AQ16),""))</f>
        <v>0</v>
      </c>
      <c r="AM16" s="19">
        <f>IF(AM$4="","",IFERROR(INDIRECT("'"&amp;AM$4&amp;"'!"&amp;$AQ16),""))</f>
        <v>0</v>
      </c>
      <c r="AN16" s="19">
        <f>IF(AN$4="","",IFERROR(INDIRECT("'"&amp;AN$4&amp;"'!"&amp;$AQ16),""))</f>
        <v>0</v>
      </c>
      <c r="AO16" s="19">
        <f>IF(AO$4="","",IFERROR(INDIRECT("'"&amp;AO$4&amp;"'!"&amp;$AQ16),""))</f>
        <v>0</v>
      </c>
      <c r="AQ16" t="s">
        <v>1708</v>
      </c>
    </row>
    <row r="17" spans="1:43">
      <c r="A17" s="17" t="s">
        <v>1709</v>
      </c>
      <c r="B17" s="19">
        <f>IF(B$4="","",IFERROR(INDIRECT("'"&amp;B$4&amp;"'!"&amp;$AQ17),""))</f>
        <v>0</v>
      </c>
      <c r="C17" s="19">
        <f>IF(C$4="","",IFERROR(INDIRECT("'"&amp;C$4&amp;"'!"&amp;$AQ17),""))</f>
        <v>0</v>
      </c>
      <c r="D17" s="19">
        <f>IF(D$4="","",IFERROR(INDIRECT("'"&amp;D$4&amp;"'!"&amp;$AQ17),""))</f>
        <v>0</v>
      </c>
      <c r="E17" s="19">
        <f>IF(E$4="","",IFERROR(INDIRECT("'"&amp;E$4&amp;"'!"&amp;$AQ17),""))</f>
        <v>0</v>
      </c>
      <c r="F17" s="19">
        <f>IF(F$4="","",IFERROR(INDIRECT("'"&amp;F$4&amp;"'!"&amp;$AQ17),""))</f>
        <v>0</v>
      </c>
      <c r="G17" s="19">
        <f>IF(G$4="","",IFERROR(INDIRECT("'"&amp;G$4&amp;"'!"&amp;$AQ17),""))</f>
        <v>0</v>
      </c>
      <c r="H17" s="19">
        <f>IF(H$4="","",IFERROR(INDIRECT("'"&amp;H$4&amp;"'!"&amp;$AQ17),""))</f>
        <v>0</v>
      </c>
      <c r="I17" s="19">
        <f>IF(I$4="","",IFERROR(INDIRECT("'"&amp;I$4&amp;"'!"&amp;$AQ17),""))</f>
        <v>0</v>
      </c>
      <c r="J17" s="19">
        <f>IF(J$4="","",IFERROR(INDIRECT("'"&amp;J$4&amp;"'!"&amp;$AQ17),""))</f>
        <v>0</v>
      </c>
      <c r="K17" s="19">
        <f>IF(K$4="","",IFERROR(INDIRECT("'"&amp;K$4&amp;"'!"&amp;$AQ17),""))</f>
        <v>0</v>
      </c>
      <c r="L17" s="19">
        <f>IF(L$4="","",IFERROR(INDIRECT("'"&amp;L$4&amp;"'!"&amp;$AQ17),""))</f>
        <v>0</v>
      </c>
      <c r="M17" s="19">
        <f>IF(M$4="","",IFERROR(INDIRECT("'"&amp;M$4&amp;"'!"&amp;$AQ17),""))</f>
        <v>0</v>
      </c>
      <c r="N17" s="19">
        <f>IF(N$4="","",IFERROR(INDIRECT("'"&amp;N$4&amp;"'!"&amp;$AQ17),""))</f>
        <v>0</v>
      </c>
      <c r="O17" s="19">
        <f>IF(O$4="","",IFERROR(INDIRECT("'"&amp;O$4&amp;"'!"&amp;$AQ17),""))</f>
        <v>0</v>
      </c>
      <c r="P17" s="19">
        <f>IF(P$4="","",IFERROR(INDIRECT("'"&amp;P$4&amp;"'!"&amp;$AQ17),""))</f>
        <v>0</v>
      </c>
      <c r="Q17" s="19">
        <f>IF(Q$4="","",IFERROR(INDIRECT("'"&amp;Q$4&amp;"'!"&amp;$AQ17),""))</f>
        <v>0</v>
      </c>
      <c r="R17" s="19">
        <f>IF(R$4="","",IFERROR(INDIRECT("'"&amp;R$4&amp;"'!"&amp;$AQ17),""))</f>
        <v>0</v>
      </c>
      <c r="S17" s="19">
        <f>IF(S$4="","",IFERROR(INDIRECT("'"&amp;S$4&amp;"'!"&amp;$AQ17),""))</f>
        <v>0</v>
      </c>
      <c r="T17" s="19">
        <f>IF(T$4="","",IFERROR(INDIRECT("'"&amp;T$4&amp;"'!"&amp;$AQ17),""))</f>
        <v>0</v>
      </c>
      <c r="U17" s="19">
        <f>IF(U$4="","",IFERROR(INDIRECT("'"&amp;U$4&amp;"'!"&amp;$AQ17),""))</f>
        <v>0</v>
      </c>
      <c r="V17" s="19">
        <f>IF(V$4="","",IFERROR(INDIRECT("'"&amp;V$4&amp;"'!"&amp;$AQ17),""))</f>
        <v>0</v>
      </c>
      <c r="W17" s="19">
        <f>IF(W$4="","",IFERROR(INDIRECT("'"&amp;W$4&amp;"'!"&amp;$AQ17),""))</f>
        <v>0</v>
      </c>
      <c r="X17" s="19">
        <f>IF(X$4="","",IFERROR(INDIRECT("'"&amp;X$4&amp;"'!"&amp;$AQ17),""))</f>
        <v>0</v>
      </c>
      <c r="Y17" s="19">
        <f>IF(Y$4="","",IFERROR(INDIRECT("'"&amp;Y$4&amp;"'!"&amp;$AQ17),""))</f>
        <v>0</v>
      </c>
      <c r="Z17" s="19">
        <f>IF(Z$4="","",IFERROR(INDIRECT("'"&amp;Z$4&amp;"'!"&amp;$AQ17),""))</f>
        <v>0</v>
      </c>
      <c r="AA17" s="19">
        <f>IF(AA$4="","",IFERROR(INDIRECT("'"&amp;AA$4&amp;"'!"&amp;$AQ17),""))</f>
        <v>0</v>
      </c>
      <c r="AB17" s="19">
        <f>IF(AB$4="","",IFERROR(INDIRECT("'"&amp;AB$4&amp;"'!"&amp;$AQ17),""))</f>
        <v>0</v>
      </c>
      <c r="AC17" s="19">
        <f>IF(AC$4="","",IFERROR(INDIRECT("'"&amp;AC$4&amp;"'!"&amp;$AQ17),""))</f>
        <v>0</v>
      </c>
      <c r="AD17" s="19">
        <f>IF(AD$4="","",IFERROR(INDIRECT("'"&amp;AD$4&amp;"'!"&amp;$AQ17),""))</f>
        <v>0</v>
      </c>
      <c r="AE17" s="19">
        <f>IF(AE$4="","",IFERROR(INDIRECT("'"&amp;AE$4&amp;"'!"&amp;$AQ17),""))</f>
        <v>0</v>
      </c>
      <c r="AF17" s="19">
        <f>IF(AF$4="","",IFERROR(INDIRECT("'"&amp;AF$4&amp;"'!"&amp;$AQ17),""))</f>
        <v>0</v>
      </c>
      <c r="AG17" s="19">
        <f>IF(AG$4="","",IFERROR(INDIRECT("'"&amp;AG$4&amp;"'!"&amp;$AQ17),""))</f>
        <v>0</v>
      </c>
      <c r="AH17" s="19">
        <f>IF(AH$4="","",IFERROR(INDIRECT("'"&amp;AH$4&amp;"'!"&amp;$AQ17),""))</f>
        <v>0</v>
      </c>
      <c r="AI17" s="19">
        <f>IF(AI$4="","",IFERROR(INDIRECT("'"&amp;AI$4&amp;"'!"&amp;$AQ17),""))</f>
        <v>0</v>
      </c>
      <c r="AJ17" s="19">
        <f>IF(AJ$4="","",IFERROR(INDIRECT("'"&amp;AJ$4&amp;"'!"&amp;$AQ17),""))</f>
        <v>0</v>
      </c>
      <c r="AK17" s="19">
        <f>IF(AK$4="","",IFERROR(INDIRECT("'"&amp;AK$4&amp;"'!"&amp;$AQ17),""))</f>
        <v>0</v>
      </c>
      <c r="AL17" s="19">
        <f>IF(AL$4="","",IFERROR(INDIRECT("'"&amp;AL$4&amp;"'!"&amp;$AQ17),""))</f>
        <v>0</v>
      </c>
      <c r="AM17" s="19">
        <f>IF(AM$4="","",IFERROR(INDIRECT("'"&amp;AM$4&amp;"'!"&amp;$AQ17),""))</f>
        <v>0</v>
      </c>
      <c r="AN17" s="19">
        <f>IF(AN$4="","",IFERROR(INDIRECT("'"&amp;AN$4&amp;"'!"&amp;$AQ17),""))</f>
        <v>0</v>
      </c>
      <c r="AO17" s="19">
        <f>IF(AO$4="","",IFERROR(INDIRECT("'"&amp;AO$4&amp;"'!"&amp;$AQ17),""))</f>
        <v>0</v>
      </c>
      <c r="AQ17" t="s">
        <v>1710</v>
      </c>
    </row>
    <row r="18" spans="1:43">
      <c r="A18" s="17" t="s">
        <v>1711</v>
      </c>
      <c r="B18" s="20">
        <f>IF(B$4="","",IFERROR(INDIRECT("'"&amp;B$4&amp;"'!"&amp;$AQ18),""))</f>
        <v>0</v>
      </c>
      <c r="C18" s="20">
        <f>IF(C$4="","",IFERROR(INDIRECT("'"&amp;C$4&amp;"'!"&amp;$AQ18),""))</f>
        <v>0</v>
      </c>
      <c r="D18" s="20">
        <f>IF(D$4="","",IFERROR(INDIRECT("'"&amp;D$4&amp;"'!"&amp;$AQ18),""))</f>
        <v>0</v>
      </c>
      <c r="E18" s="20">
        <f>IF(E$4="","",IFERROR(INDIRECT("'"&amp;E$4&amp;"'!"&amp;$AQ18),""))</f>
        <v>0</v>
      </c>
      <c r="F18" s="20">
        <f>IF(F$4="","",IFERROR(INDIRECT("'"&amp;F$4&amp;"'!"&amp;$AQ18),""))</f>
        <v>0</v>
      </c>
      <c r="G18" s="20">
        <f>IF(G$4="","",IFERROR(INDIRECT("'"&amp;G$4&amp;"'!"&amp;$AQ18),""))</f>
        <v>0</v>
      </c>
      <c r="H18" s="20">
        <f>IF(H$4="","",IFERROR(INDIRECT("'"&amp;H$4&amp;"'!"&amp;$AQ18),""))</f>
        <v>0</v>
      </c>
      <c r="I18" s="20">
        <f>IF(I$4="","",IFERROR(INDIRECT("'"&amp;I$4&amp;"'!"&amp;$AQ18),""))</f>
        <v>0</v>
      </c>
      <c r="J18" s="20">
        <f>IF(J$4="","",IFERROR(INDIRECT("'"&amp;J$4&amp;"'!"&amp;$AQ18),""))</f>
        <v>0</v>
      </c>
      <c r="K18" s="20">
        <f>IF(K$4="","",IFERROR(INDIRECT("'"&amp;K$4&amp;"'!"&amp;$AQ18),""))</f>
        <v>0</v>
      </c>
      <c r="L18" s="20">
        <f>IF(L$4="","",IFERROR(INDIRECT("'"&amp;L$4&amp;"'!"&amp;$AQ18),""))</f>
        <v>0</v>
      </c>
      <c r="M18" s="20">
        <f>IF(M$4="","",IFERROR(INDIRECT("'"&amp;M$4&amp;"'!"&amp;$AQ18),""))</f>
        <v>0</v>
      </c>
      <c r="N18" s="20">
        <f>IF(N$4="","",IFERROR(INDIRECT("'"&amp;N$4&amp;"'!"&amp;$AQ18),""))</f>
        <v>0</v>
      </c>
      <c r="O18" s="20">
        <f>IF(O$4="","",IFERROR(INDIRECT("'"&amp;O$4&amp;"'!"&amp;$AQ18),""))</f>
        <v>0</v>
      </c>
      <c r="P18" s="20">
        <f>IF(P$4="","",IFERROR(INDIRECT("'"&amp;P$4&amp;"'!"&amp;$AQ18),""))</f>
        <v>0</v>
      </c>
      <c r="Q18" s="20">
        <f>IF(Q$4="","",IFERROR(INDIRECT("'"&amp;Q$4&amp;"'!"&amp;$AQ18),""))</f>
        <v>0</v>
      </c>
      <c r="R18" s="20">
        <f>IF(R$4="","",IFERROR(INDIRECT("'"&amp;R$4&amp;"'!"&amp;$AQ18),""))</f>
        <v>0</v>
      </c>
      <c r="S18" s="20">
        <f>IF(S$4="","",IFERROR(INDIRECT("'"&amp;S$4&amp;"'!"&amp;$AQ18),""))</f>
        <v>0</v>
      </c>
      <c r="T18" s="20">
        <f>IF(T$4="","",IFERROR(INDIRECT("'"&amp;T$4&amp;"'!"&amp;$AQ18),""))</f>
        <v>0</v>
      </c>
      <c r="U18" s="20">
        <f>IF(U$4="","",IFERROR(INDIRECT("'"&amp;U$4&amp;"'!"&amp;$AQ18),""))</f>
        <v>0</v>
      </c>
      <c r="V18" s="20">
        <f>IF(V$4="","",IFERROR(INDIRECT("'"&amp;V$4&amp;"'!"&amp;$AQ18),""))</f>
        <v>0</v>
      </c>
      <c r="W18" s="20">
        <f>IF(W$4="","",IFERROR(INDIRECT("'"&amp;W$4&amp;"'!"&amp;$AQ18),""))</f>
        <v>0</v>
      </c>
      <c r="X18" s="20">
        <f>IF(X$4="","",IFERROR(INDIRECT("'"&amp;X$4&amp;"'!"&amp;$AQ18),""))</f>
        <v>0</v>
      </c>
      <c r="Y18" s="20">
        <f>IF(Y$4="","",IFERROR(INDIRECT("'"&amp;Y$4&amp;"'!"&amp;$AQ18),""))</f>
        <v>0</v>
      </c>
      <c r="Z18" s="20">
        <f>IF(Z$4="","",IFERROR(INDIRECT("'"&amp;Z$4&amp;"'!"&amp;$AQ18),""))</f>
        <v>0</v>
      </c>
      <c r="AA18" s="20">
        <f>IF(AA$4="","",IFERROR(INDIRECT("'"&amp;AA$4&amp;"'!"&amp;$AQ18),""))</f>
        <v>0</v>
      </c>
      <c r="AB18" s="20">
        <f>IF(AB$4="","",IFERROR(INDIRECT("'"&amp;AB$4&amp;"'!"&amp;$AQ18),""))</f>
        <v>0</v>
      </c>
      <c r="AC18" s="20">
        <f>IF(AC$4="","",IFERROR(INDIRECT("'"&amp;AC$4&amp;"'!"&amp;$AQ18),""))</f>
        <v>0</v>
      </c>
      <c r="AD18" s="20">
        <f>IF(AD$4="","",IFERROR(INDIRECT("'"&amp;AD$4&amp;"'!"&amp;$AQ18),""))</f>
        <v>0</v>
      </c>
      <c r="AE18" s="20">
        <f>IF(AE$4="","",IFERROR(INDIRECT("'"&amp;AE$4&amp;"'!"&amp;$AQ18),""))</f>
        <v>0</v>
      </c>
      <c r="AF18" s="20">
        <f>IF(AF$4="","",IFERROR(INDIRECT("'"&amp;AF$4&amp;"'!"&amp;$AQ18),""))</f>
        <v>0</v>
      </c>
      <c r="AG18" s="20">
        <f>IF(AG$4="","",IFERROR(INDIRECT("'"&amp;AG$4&amp;"'!"&amp;$AQ18),""))</f>
        <v>0</v>
      </c>
      <c r="AH18" s="20">
        <f>IF(AH$4="","",IFERROR(INDIRECT("'"&amp;AH$4&amp;"'!"&amp;$AQ18),""))</f>
        <v>0</v>
      </c>
      <c r="AI18" s="20">
        <f>IF(AI$4="","",IFERROR(INDIRECT("'"&amp;AI$4&amp;"'!"&amp;$AQ18),""))</f>
        <v>0</v>
      </c>
      <c r="AJ18" s="20">
        <f>IF(AJ$4="","",IFERROR(INDIRECT("'"&amp;AJ$4&amp;"'!"&amp;$AQ18),""))</f>
        <v>0</v>
      </c>
      <c r="AK18" s="20">
        <f>IF(AK$4="","",IFERROR(INDIRECT("'"&amp;AK$4&amp;"'!"&amp;$AQ18),""))</f>
        <v>0</v>
      </c>
      <c r="AL18" s="20">
        <f>IF(AL$4="","",IFERROR(INDIRECT("'"&amp;AL$4&amp;"'!"&amp;$AQ18),""))</f>
        <v>0</v>
      </c>
      <c r="AM18" s="20">
        <f>IF(AM$4="","",IFERROR(INDIRECT("'"&amp;AM$4&amp;"'!"&amp;$AQ18),""))</f>
        <v>0</v>
      </c>
      <c r="AN18" s="20">
        <f>IF(AN$4="","",IFERROR(INDIRECT("'"&amp;AN$4&amp;"'!"&amp;$AQ18),""))</f>
        <v>0</v>
      </c>
      <c r="AO18" s="20">
        <f>IF(AO$4="","",IFERROR(INDIRECT("'"&amp;AO$4&amp;"'!"&amp;$AQ18),""))</f>
        <v>0</v>
      </c>
      <c r="AQ18" t="s">
        <v>1712</v>
      </c>
    </row>
    <row r="19" spans="1:43">
      <c r="A19" s="17" t="s">
        <v>1713</v>
      </c>
      <c r="B19" s="20">
        <f>IF(B$4="","",IFERROR(INDIRECT("'"&amp;B$4&amp;"'!"&amp;$AQ19),""))</f>
        <v>0</v>
      </c>
      <c r="C19" s="20">
        <f>IF(C$4="","",IFERROR(INDIRECT("'"&amp;C$4&amp;"'!"&amp;$AQ19),""))</f>
        <v>0</v>
      </c>
      <c r="D19" s="20">
        <f>IF(D$4="","",IFERROR(INDIRECT("'"&amp;D$4&amp;"'!"&amp;$AQ19),""))</f>
        <v>0</v>
      </c>
      <c r="E19" s="20">
        <f>IF(E$4="","",IFERROR(INDIRECT("'"&amp;E$4&amp;"'!"&amp;$AQ19),""))</f>
        <v>0</v>
      </c>
      <c r="F19" s="20">
        <f>IF(F$4="","",IFERROR(INDIRECT("'"&amp;F$4&amp;"'!"&amp;$AQ19),""))</f>
        <v>0</v>
      </c>
      <c r="G19" s="20">
        <f>IF(G$4="","",IFERROR(INDIRECT("'"&amp;G$4&amp;"'!"&amp;$AQ19),""))</f>
        <v>0</v>
      </c>
      <c r="H19" s="20">
        <f>IF(H$4="","",IFERROR(INDIRECT("'"&amp;H$4&amp;"'!"&amp;$AQ19),""))</f>
        <v>0</v>
      </c>
      <c r="I19" s="20">
        <f>IF(I$4="","",IFERROR(INDIRECT("'"&amp;I$4&amp;"'!"&amp;$AQ19),""))</f>
        <v>0</v>
      </c>
      <c r="J19" s="20">
        <f>IF(J$4="","",IFERROR(INDIRECT("'"&amp;J$4&amp;"'!"&amp;$AQ19),""))</f>
        <v>0</v>
      </c>
      <c r="K19" s="20">
        <f>IF(K$4="","",IFERROR(INDIRECT("'"&amp;K$4&amp;"'!"&amp;$AQ19),""))</f>
        <v>0</v>
      </c>
      <c r="L19" s="20">
        <f>IF(L$4="","",IFERROR(INDIRECT("'"&amp;L$4&amp;"'!"&amp;$AQ19),""))</f>
        <v>0</v>
      </c>
      <c r="M19" s="20">
        <f>IF(M$4="","",IFERROR(INDIRECT("'"&amp;M$4&amp;"'!"&amp;$AQ19),""))</f>
        <v>0</v>
      </c>
      <c r="N19" s="20">
        <f>IF(N$4="","",IFERROR(INDIRECT("'"&amp;N$4&amp;"'!"&amp;$AQ19),""))</f>
        <v>0</v>
      </c>
      <c r="O19" s="20">
        <f>IF(O$4="","",IFERROR(INDIRECT("'"&amp;O$4&amp;"'!"&amp;$AQ19),""))</f>
        <v>0</v>
      </c>
      <c r="P19" s="20">
        <f>IF(P$4="","",IFERROR(INDIRECT("'"&amp;P$4&amp;"'!"&amp;$AQ19),""))</f>
        <v>0</v>
      </c>
      <c r="Q19" s="20">
        <f>IF(Q$4="","",IFERROR(INDIRECT("'"&amp;Q$4&amp;"'!"&amp;$AQ19),""))</f>
        <v>0</v>
      </c>
      <c r="R19" s="20">
        <f>IF(R$4="","",IFERROR(INDIRECT("'"&amp;R$4&amp;"'!"&amp;$AQ19),""))</f>
        <v>0</v>
      </c>
      <c r="S19" s="20">
        <f>IF(S$4="","",IFERROR(INDIRECT("'"&amp;S$4&amp;"'!"&amp;$AQ19),""))</f>
        <v>0</v>
      </c>
      <c r="T19" s="20">
        <f>IF(T$4="","",IFERROR(INDIRECT("'"&amp;T$4&amp;"'!"&amp;$AQ19),""))</f>
        <v>0</v>
      </c>
      <c r="U19" s="20">
        <f>IF(U$4="","",IFERROR(INDIRECT("'"&amp;U$4&amp;"'!"&amp;$AQ19),""))</f>
        <v>0</v>
      </c>
      <c r="V19" s="20">
        <f>IF(V$4="","",IFERROR(INDIRECT("'"&amp;V$4&amp;"'!"&amp;$AQ19),""))</f>
        <v>0</v>
      </c>
      <c r="W19" s="20">
        <f>IF(W$4="","",IFERROR(INDIRECT("'"&amp;W$4&amp;"'!"&amp;$AQ19),""))</f>
        <v>0</v>
      </c>
      <c r="X19" s="20">
        <f>IF(X$4="","",IFERROR(INDIRECT("'"&amp;X$4&amp;"'!"&amp;$AQ19),""))</f>
        <v>0</v>
      </c>
      <c r="Y19" s="20">
        <f>IF(Y$4="","",IFERROR(INDIRECT("'"&amp;Y$4&amp;"'!"&amp;$AQ19),""))</f>
        <v>0</v>
      </c>
      <c r="Z19" s="20">
        <f>IF(Z$4="","",IFERROR(INDIRECT("'"&amp;Z$4&amp;"'!"&amp;$AQ19),""))</f>
        <v>0</v>
      </c>
      <c r="AA19" s="20">
        <f>IF(AA$4="","",IFERROR(INDIRECT("'"&amp;AA$4&amp;"'!"&amp;$AQ19),""))</f>
        <v>0</v>
      </c>
      <c r="AB19" s="20">
        <f>IF(AB$4="","",IFERROR(INDIRECT("'"&amp;AB$4&amp;"'!"&amp;$AQ19),""))</f>
        <v>0</v>
      </c>
      <c r="AC19" s="20">
        <f>IF(AC$4="","",IFERROR(INDIRECT("'"&amp;AC$4&amp;"'!"&amp;$AQ19),""))</f>
        <v>0</v>
      </c>
      <c r="AD19" s="20">
        <f>IF(AD$4="","",IFERROR(INDIRECT("'"&amp;AD$4&amp;"'!"&amp;$AQ19),""))</f>
        <v>0</v>
      </c>
      <c r="AE19" s="20">
        <f>IF(AE$4="","",IFERROR(INDIRECT("'"&amp;AE$4&amp;"'!"&amp;$AQ19),""))</f>
        <v>0</v>
      </c>
      <c r="AF19" s="20">
        <f>IF(AF$4="","",IFERROR(INDIRECT("'"&amp;AF$4&amp;"'!"&amp;$AQ19),""))</f>
        <v>0</v>
      </c>
      <c r="AG19" s="20">
        <f>IF(AG$4="","",IFERROR(INDIRECT("'"&amp;AG$4&amp;"'!"&amp;$AQ19),""))</f>
        <v>0</v>
      </c>
      <c r="AH19" s="20">
        <f>IF(AH$4="","",IFERROR(INDIRECT("'"&amp;AH$4&amp;"'!"&amp;$AQ19),""))</f>
        <v>0</v>
      </c>
      <c r="AI19" s="20">
        <f>IF(AI$4="","",IFERROR(INDIRECT("'"&amp;AI$4&amp;"'!"&amp;$AQ19),""))</f>
        <v>0</v>
      </c>
      <c r="AJ19" s="20">
        <f>IF(AJ$4="","",IFERROR(INDIRECT("'"&amp;AJ$4&amp;"'!"&amp;$AQ19),""))</f>
        <v>0</v>
      </c>
      <c r="AK19" s="20">
        <f>IF(AK$4="","",IFERROR(INDIRECT("'"&amp;AK$4&amp;"'!"&amp;$AQ19),""))</f>
        <v>0</v>
      </c>
      <c r="AL19" s="20">
        <f>IF(AL$4="","",IFERROR(INDIRECT("'"&amp;AL$4&amp;"'!"&amp;$AQ19),""))</f>
        <v>0</v>
      </c>
      <c r="AM19" s="20">
        <f>IF(AM$4="","",IFERROR(INDIRECT("'"&amp;AM$4&amp;"'!"&amp;$AQ19),""))</f>
        <v>0</v>
      </c>
      <c r="AN19" s="20">
        <f>IF(AN$4="","",IFERROR(INDIRECT("'"&amp;AN$4&amp;"'!"&amp;$AQ19),""))</f>
        <v>0</v>
      </c>
      <c r="AO19" s="20">
        <f>IF(AO$4="","",IFERROR(INDIRECT("'"&amp;AO$4&amp;"'!"&amp;$AQ19),""))</f>
        <v>0</v>
      </c>
      <c r="AQ19" t="s">
        <v>1714</v>
      </c>
    </row>
    <row r="20" spans="1:43">
      <c r="A20" s="17" t="s">
        <v>819</v>
      </c>
      <c r="B20" s="15">
        <f>IF(B$4="","",IFERROR(INDIRECT("'"&amp;B$4&amp;"'!"&amp;$AQ20),""))</f>
        <v>0</v>
      </c>
      <c r="C20" s="15">
        <f>IF(C$4="","",IFERROR(INDIRECT("'"&amp;C$4&amp;"'!"&amp;$AQ20),""))</f>
        <v>0</v>
      </c>
      <c r="D20" s="15">
        <f>IF(D$4="","",IFERROR(INDIRECT("'"&amp;D$4&amp;"'!"&amp;$AQ20),""))</f>
        <v>0</v>
      </c>
      <c r="E20" s="15">
        <f>IF(E$4="","",IFERROR(INDIRECT("'"&amp;E$4&amp;"'!"&amp;$AQ20),""))</f>
        <v>0</v>
      </c>
      <c r="F20" s="15">
        <f>IF(F$4="","",IFERROR(INDIRECT("'"&amp;F$4&amp;"'!"&amp;$AQ20),""))</f>
        <v>0</v>
      </c>
      <c r="G20" s="15">
        <f>IF(G$4="","",IFERROR(INDIRECT("'"&amp;G$4&amp;"'!"&amp;$AQ20),""))</f>
        <v>0</v>
      </c>
      <c r="H20" s="15">
        <f>IF(H$4="","",IFERROR(INDIRECT("'"&amp;H$4&amp;"'!"&amp;$AQ20),""))</f>
        <v>0</v>
      </c>
      <c r="I20" s="15">
        <f>IF(I$4="","",IFERROR(INDIRECT("'"&amp;I$4&amp;"'!"&amp;$AQ20),""))</f>
        <v>0</v>
      </c>
      <c r="J20" s="15">
        <f>IF(J$4="","",IFERROR(INDIRECT("'"&amp;J$4&amp;"'!"&amp;$AQ20),""))</f>
        <v>0</v>
      </c>
      <c r="K20" s="15">
        <f>IF(K$4="","",IFERROR(INDIRECT("'"&amp;K$4&amp;"'!"&amp;$AQ20),""))</f>
        <v>0</v>
      </c>
      <c r="L20" s="15">
        <f>IF(L$4="","",IFERROR(INDIRECT("'"&amp;L$4&amp;"'!"&amp;$AQ20),""))</f>
        <v>0</v>
      </c>
      <c r="M20" s="15">
        <f>IF(M$4="","",IFERROR(INDIRECT("'"&amp;M$4&amp;"'!"&amp;$AQ20),""))</f>
        <v>0</v>
      </c>
      <c r="N20" s="15">
        <f>IF(N$4="","",IFERROR(INDIRECT("'"&amp;N$4&amp;"'!"&amp;$AQ20),""))</f>
        <v>0</v>
      </c>
      <c r="O20" s="15">
        <f>IF(O$4="","",IFERROR(INDIRECT("'"&amp;O$4&amp;"'!"&amp;$AQ20),""))</f>
        <v>0</v>
      </c>
      <c r="P20" s="15">
        <f>IF(P$4="","",IFERROR(INDIRECT("'"&amp;P$4&amp;"'!"&amp;$AQ20),""))</f>
        <v>0</v>
      </c>
      <c r="Q20" s="15">
        <f>IF(Q$4="","",IFERROR(INDIRECT("'"&amp;Q$4&amp;"'!"&amp;$AQ20),""))</f>
        <v>0</v>
      </c>
      <c r="R20" s="15">
        <f>IF(R$4="","",IFERROR(INDIRECT("'"&amp;R$4&amp;"'!"&amp;$AQ20),""))</f>
        <v>0</v>
      </c>
      <c r="S20" s="15">
        <f>IF(S$4="","",IFERROR(INDIRECT("'"&amp;S$4&amp;"'!"&amp;$AQ20),""))</f>
        <v>0</v>
      </c>
      <c r="T20" s="15">
        <f>IF(T$4="","",IFERROR(INDIRECT("'"&amp;T$4&amp;"'!"&amp;$AQ20),""))</f>
        <v>0</v>
      </c>
      <c r="U20" s="15">
        <f>IF(U$4="","",IFERROR(INDIRECT("'"&amp;U$4&amp;"'!"&amp;$AQ20),""))</f>
        <v>0</v>
      </c>
      <c r="V20" s="15">
        <f>IF(V$4="","",IFERROR(INDIRECT("'"&amp;V$4&amp;"'!"&amp;$AQ20),""))</f>
        <v>0</v>
      </c>
      <c r="W20" s="15">
        <f>IF(W$4="","",IFERROR(INDIRECT("'"&amp;W$4&amp;"'!"&amp;$AQ20),""))</f>
        <v>0</v>
      </c>
      <c r="X20" s="15">
        <f>IF(X$4="","",IFERROR(INDIRECT("'"&amp;X$4&amp;"'!"&amp;$AQ20),""))</f>
        <v>0</v>
      </c>
      <c r="Y20" s="15">
        <f>IF(Y$4="","",IFERROR(INDIRECT("'"&amp;Y$4&amp;"'!"&amp;$AQ20),""))</f>
        <v>0</v>
      </c>
      <c r="Z20" s="15">
        <f>IF(Z$4="","",IFERROR(INDIRECT("'"&amp;Z$4&amp;"'!"&amp;$AQ20),""))</f>
        <v>0</v>
      </c>
      <c r="AA20" s="15">
        <f>IF(AA$4="","",IFERROR(INDIRECT("'"&amp;AA$4&amp;"'!"&amp;$AQ20),""))</f>
        <v>0</v>
      </c>
      <c r="AB20" s="15">
        <f>IF(AB$4="","",IFERROR(INDIRECT("'"&amp;AB$4&amp;"'!"&amp;$AQ20),""))</f>
        <v>0</v>
      </c>
      <c r="AC20" s="15">
        <f>IF(AC$4="","",IFERROR(INDIRECT("'"&amp;AC$4&amp;"'!"&amp;$AQ20),""))</f>
        <v>0</v>
      </c>
      <c r="AD20" s="15">
        <f>IF(AD$4="","",IFERROR(INDIRECT("'"&amp;AD$4&amp;"'!"&amp;$AQ20),""))</f>
        <v>0</v>
      </c>
      <c r="AE20" s="15">
        <f>IF(AE$4="","",IFERROR(INDIRECT("'"&amp;AE$4&amp;"'!"&amp;$AQ20),""))</f>
        <v>0</v>
      </c>
      <c r="AF20" s="15">
        <f>IF(AF$4="","",IFERROR(INDIRECT("'"&amp;AF$4&amp;"'!"&amp;$AQ20),""))</f>
        <v>0</v>
      </c>
      <c r="AG20" s="15">
        <f>IF(AG$4="","",IFERROR(INDIRECT("'"&amp;AG$4&amp;"'!"&amp;$AQ20),""))</f>
        <v>0</v>
      </c>
      <c r="AH20" s="15">
        <f>IF(AH$4="","",IFERROR(INDIRECT("'"&amp;AH$4&amp;"'!"&amp;$AQ20),""))</f>
        <v>0</v>
      </c>
      <c r="AI20" s="15">
        <f>IF(AI$4="","",IFERROR(INDIRECT("'"&amp;AI$4&amp;"'!"&amp;$AQ20),""))</f>
        <v>0</v>
      </c>
      <c r="AJ20" s="15">
        <f>IF(AJ$4="","",IFERROR(INDIRECT("'"&amp;AJ$4&amp;"'!"&amp;$AQ20),""))</f>
        <v>0</v>
      </c>
      <c r="AK20" s="15">
        <f>IF(AK$4="","",IFERROR(INDIRECT("'"&amp;AK$4&amp;"'!"&amp;$AQ20),""))</f>
        <v>0</v>
      </c>
      <c r="AL20" s="15">
        <f>IF(AL$4="","",IFERROR(INDIRECT("'"&amp;AL$4&amp;"'!"&amp;$AQ20),""))</f>
        <v>0</v>
      </c>
      <c r="AM20" s="15">
        <f>IF(AM$4="","",IFERROR(INDIRECT("'"&amp;AM$4&amp;"'!"&amp;$AQ20),""))</f>
        <v>0</v>
      </c>
      <c r="AN20" s="15">
        <f>IF(AN$4="","",IFERROR(INDIRECT("'"&amp;AN$4&amp;"'!"&amp;$AQ20),""))</f>
        <v>0</v>
      </c>
      <c r="AO20" s="15">
        <f>IF(AO$4="","",IFERROR(INDIRECT("'"&amp;AO$4&amp;"'!"&amp;$AQ20),""))</f>
        <v>0</v>
      </c>
      <c r="AQ20" t="s">
        <v>1715</v>
      </c>
    </row>
    <row r="21" spans="1:43" ht="45" customHeight="1">
      <c r="A21" s="17" t="s">
        <v>821</v>
      </c>
      <c r="B21" s="13">
        <f>IF(B$4="","",IFERROR(INDIRECT("'"&amp;B$4&amp;"'!"&amp;$AQ21),""))</f>
        <v>0</v>
      </c>
      <c r="C21" s="13">
        <f>IF(C$4="","",IFERROR(INDIRECT("'"&amp;C$4&amp;"'!"&amp;$AQ21),""))</f>
        <v>0</v>
      </c>
      <c r="D21" s="13">
        <f>IF(D$4="","",IFERROR(INDIRECT("'"&amp;D$4&amp;"'!"&amp;$AQ21),""))</f>
        <v>0</v>
      </c>
      <c r="E21" s="13">
        <f>IF(E$4="","",IFERROR(INDIRECT("'"&amp;E$4&amp;"'!"&amp;$AQ21),""))</f>
        <v>0</v>
      </c>
      <c r="F21" s="13">
        <f>IF(F$4="","",IFERROR(INDIRECT("'"&amp;F$4&amp;"'!"&amp;$AQ21),""))</f>
        <v>0</v>
      </c>
      <c r="G21" s="13">
        <f>IF(G$4="","",IFERROR(INDIRECT("'"&amp;G$4&amp;"'!"&amp;$AQ21),""))</f>
        <v>0</v>
      </c>
      <c r="H21" s="13">
        <f>IF(H$4="","",IFERROR(INDIRECT("'"&amp;H$4&amp;"'!"&amp;$AQ21),""))</f>
        <v>0</v>
      </c>
      <c r="I21" s="13">
        <f>IF(I$4="","",IFERROR(INDIRECT("'"&amp;I$4&amp;"'!"&amp;$AQ21),""))</f>
        <v>0</v>
      </c>
      <c r="J21" s="13">
        <f>IF(J$4="","",IFERROR(INDIRECT("'"&amp;J$4&amp;"'!"&amp;$AQ21),""))</f>
        <v>0</v>
      </c>
      <c r="K21" s="13">
        <f>IF(K$4="","",IFERROR(INDIRECT("'"&amp;K$4&amp;"'!"&amp;$AQ21),""))</f>
        <v>0</v>
      </c>
      <c r="L21" s="13">
        <f>IF(L$4="","",IFERROR(INDIRECT("'"&amp;L$4&amp;"'!"&amp;$AQ21),""))</f>
        <v>0</v>
      </c>
      <c r="M21" s="13">
        <f>IF(M$4="","",IFERROR(INDIRECT("'"&amp;M$4&amp;"'!"&amp;$AQ21),""))</f>
        <v>0</v>
      </c>
      <c r="N21" s="13">
        <f>IF(N$4="","",IFERROR(INDIRECT("'"&amp;N$4&amp;"'!"&amp;$AQ21),""))</f>
        <v>0</v>
      </c>
      <c r="O21" s="13">
        <f>IF(O$4="","",IFERROR(INDIRECT("'"&amp;O$4&amp;"'!"&amp;$AQ21),""))</f>
        <v>0</v>
      </c>
      <c r="P21" s="13">
        <f>IF(P$4="","",IFERROR(INDIRECT("'"&amp;P$4&amp;"'!"&amp;$AQ21),""))</f>
        <v>0</v>
      </c>
      <c r="Q21" s="13">
        <f>IF(Q$4="","",IFERROR(INDIRECT("'"&amp;Q$4&amp;"'!"&amp;$AQ21),""))</f>
        <v>0</v>
      </c>
      <c r="R21" s="13">
        <f>IF(R$4="","",IFERROR(INDIRECT("'"&amp;R$4&amp;"'!"&amp;$AQ21),""))</f>
        <v>0</v>
      </c>
      <c r="S21" s="13">
        <f>IF(S$4="","",IFERROR(INDIRECT("'"&amp;S$4&amp;"'!"&amp;$AQ21),""))</f>
        <v>0</v>
      </c>
      <c r="T21" s="13">
        <f>IF(T$4="","",IFERROR(INDIRECT("'"&amp;T$4&amp;"'!"&amp;$AQ21),""))</f>
        <v>0</v>
      </c>
      <c r="U21" s="13">
        <f>IF(U$4="","",IFERROR(INDIRECT("'"&amp;U$4&amp;"'!"&amp;$AQ21),""))</f>
        <v>0</v>
      </c>
      <c r="V21" s="13">
        <f>IF(V$4="","",IFERROR(INDIRECT("'"&amp;V$4&amp;"'!"&amp;$AQ21),""))</f>
        <v>0</v>
      </c>
      <c r="W21" s="13">
        <f>IF(W$4="","",IFERROR(INDIRECT("'"&amp;W$4&amp;"'!"&amp;$AQ21),""))</f>
        <v>0</v>
      </c>
      <c r="X21" s="13">
        <f>IF(X$4="","",IFERROR(INDIRECT("'"&amp;X$4&amp;"'!"&amp;$AQ21),""))</f>
        <v>0</v>
      </c>
      <c r="Y21" s="13">
        <f>IF(Y$4="","",IFERROR(INDIRECT("'"&amp;Y$4&amp;"'!"&amp;$AQ21),""))</f>
        <v>0</v>
      </c>
      <c r="Z21" s="13">
        <f>IF(Z$4="","",IFERROR(INDIRECT("'"&amp;Z$4&amp;"'!"&amp;$AQ21),""))</f>
        <v>0</v>
      </c>
      <c r="AA21" s="13">
        <f>IF(AA$4="","",IFERROR(INDIRECT("'"&amp;AA$4&amp;"'!"&amp;$AQ21),""))</f>
        <v>0</v>
      </c>
      <c r="AB21" s="13">
        <f>IF(AB$4="","",IFERROR(INDIRECT("'"&amp;AB$4&amp;"'!"&amp;$AQ21),""))</f>
        <v>0</v>
      </c>
      <c r="AC21" s="13">
        <f>IF(AC$4="","",IFERROR(INDIRECT("'"&amp;AC$4&amp;"'!"&amp;$AQ21),""))</f>
        <v>0</v>
      </c>
      <c r="AD21" s="13">
        <f>IF(AD$4="","",IFERROR(INDIRECT("'"&amp;AD$4&amp;"'!"&amp;$AQ21),""))</f>
        <v>0</v>
      </c>
      <c r="AE21" s="13">
        <f>IF(AE$4="","",IFERROR(INDIRECT("'"&amp;AE$4&amp;"'!"&amp;$AQ21),""))</f>
        <v>0</v>
      </c>
      <c r="AF21" s="13">
        <f>IF(AF$4="","",IFERROR(INDIRECT("'"&amp;AF$4&amp;"'!"&amp;$AQ21),""))</f>
        <v>0</v>
      </c>
      <c r="AG21" s="13">
        <f>IF(AG$4="","",IFERROR(INDIRECT("'"&amp;AG$4&amp;"'!"&amp;$AQ21),""))</f>
        <v>0</v>
      </c>
      <c r="AH21" s="13">
        <f>IF(AH$4="","",IFERROR(INDIRECT("'"&amp;AH$4&amp;"'!"&amp;$AQ21),""))</f>
        <v>0</v>
      </c>
      <c r="AI21" s="13">
        <f>IF(AI$4="","",IFERROR(INDIRECT("'"&amp;AI$4&amp;"'!"&amp;$AQ21),""))</f>
        <v>0</v>
      </c>
      <c r="AJ21" s="13">
        <f>IF(AJ$4="","",IFERROR(INDIRECT("'"&amp;AJ$4&amp;"'!"&amp;$AQ21),""))</f>
        <v>0</v>
      </c>
      <c r="AK21" s="13">
        <f>IF(AK$4="","",IFERROR(INDIRECT("'"&amp;AK$4&amp;"'!"&amp;$AQ21),""))</f>
        <v>0</v>
      </c>
      <c r="AL21" s="13">
        <f>IF(AL$4="","",IFERROR(INDIRECT("'"&amp;AL$4&amp;"'!"&amp;$AQ21),""))</f>
        <v>0</v>
      </c>
      <c r="AM21" s="13">
        <f>IF(AM$4="","",IFERROR(INDIRECT("'"&amp;AM$4&amp;"'!"&amp;$AQ21),""))</f>
        <v>0</v>
      </c>
      <c r="AN21" s="13">
        <f>IF(AN$4="","",IFERROR(INDIRECT("'"&amp;AN$4&amp;"'!"&amp;$AQ21),""))</f>
        <v>0</v>
      </c>
      <c r="AO21" s="13">
        <f>IF(AO$4="","",IFERROR(INDIRECT("'"&amp;AO$4&amp;"'!"&amp;$AQ21),""))</f>
        <v>0</v>
      </c>
      <c r="AQ21" t="s">
        <v>1716</v>
      </c>
    </row>
    <row r="22" spans="1:43">
      <c r="A22" s="17" t="s">
        <v>1717</v>
      </c>
      <c r="B22" s="13">
        <f>IF(B$4="","",IFERROR(INDIRECT("'"&amp;B$4&amp;"'!"&amp;$AQ22),""))</f>
        <v>0</v>
      </c>
      <c r="C22" s="13">
        <f>IF(C$4="","",IFERROR(INDIRECT("'"&amp;C$4&amp;"'!"&amp;$AQ22),""))</f>
        <v>0</v>
      </c>
      <c r="D22" s="13">
        <f>IF(D$4="","",IFERROR(INDIRECT("'"&amp;D$4&amp;"'!"&amp;$AQ22),""))</f>
        <v>0</v>
      </c>
      <c r="E22" s="13">
        <f>IF(E$4="","",IFERROR(INDIRECT("'"&amp;E$4&amp;"'!"&amp;$AQ22),""))</f>
        <v>0</v>
      </c>
      <c r="F22" s="13">
        <f>IF(F$4="","",IFERROR(INDIRECT("'"&amp;F$4&amp;"'!"&amp;$AQ22),""))</f>
        <v>0</v>
      </c>
      <c r="G22" s="13">
        <f>IF(G$4="","",IFERROR(INDIRECT("'"&amp;G$4&amp;"'!"&amp;$AQ22),""))</f>
        <v>0</v>
      </c>
      <c r="H22" s="13">
        <f>IF(H$4="","",IFERROR(INDIRECT("'"&amp;H$4&amp;"'!"&amp;$AQ22),""))</f>
        <v>0</v>
      </c>
      <c r="I22" s="13">
        <f>IF(I$4="","",IFERROR(INDIRECT("'"&amp;I$4&amp;"'!"&amp;$AQ22),""))</f>
        <v>0</v>
      </c>
      <c r="J22" s="13">
        <f>IF(J$4="","",IFERROR(INDIRECT("'"&amp;J$4&amp;"'!"&amp;$AQ22),""))</f>
        <v>0</v>
      </c>
      <c r="K22" s="13">
        <f>IF(K$4="","",IFERROR(INDIRECT("'"&amp;K$4&amp;"'!"&amp;$AQ22),""))</f>
        <v>0</v>
      </c>
      <c r="L22" s="13">
        <f>IF(L$4="","",IFERROR(INDIRECT("'"&amp;L$4&amp;"'!"&amp;$AQ22),""))</f>
        <v>0</v>
      </c>
      <c r="M22" s="13">
        <f>IF(M$4="","",IFERROR(INDIRECT("'"&amp;M$4&amp;"'!"&amp;$AQ22),""))</f>
        <v>0</v>
      </c>
      <c r="N22" s="13">
        <f>IF(N$4="","",IFERROR(INDIRECT("'"&amp;N$4&amp;"'!"&amp;$AQ22),""))</f>
        <v>0</v>
      </c>
      <c r="O22" s="13">
        <f>IF(O$4="","",IFERROR(INDIRECT("'"&amp;O$4&amp;"'!"&amp;$AQ22),""))</f>
        <v>0</v>
      </c>
      <c r="P22" s="13">
        <f>IF(P$4="","",IFERROR(INDIRECT("'"&amp;P$4&amp;"'!"&amp;$AQ22),""))</f>
        <v>0</v>
      </c>
      <c r="Q22" s="13">
        <f>IF(Q$4="","",IFERROR(INDIRECT("'"&amp;Q$4&amp;"'!"&amp;$AQ22),""))</f>
        <v>0</v>
      </c>
      <c r="R22" s="13">
        <f>IF(R$4="","",IFERROR(INDIRECT("'"&amp;R$4&amp;"'!"&amp;$AQ22),""))</f>
        <v>0</v>
      </c>
      <c r="S22" s="13">
        <f>IF(S$4="","",IFERROR(INDIRECT("'"&amp;S$4&amp;"'!"&amp;$AQ22),""))</f>
        <v>0</v>
      </c>
      <c r="T22" s="13">
        <f>IF(T$4="","",IFERROR(INDIRECT("'"&amp;T$4&amp;"'!"&amp;$AQ22),""))</f>
        <v>0</v>
      </c>
      <c r="U22" s="13">
        <f>IF(U$4="","",IFERROR(INDIRECT("'"&amp;U$4&amp;"'!"&amp;$AQ22),""))</f>
        <v>0</v>
      </c>
      <c r="V22" s="13">
        <f>IF(V$4="","",IFERROR(INDIRECT("'"&amp;V$4&amp;"'!"&amp;$AQ22),""))</f>
        <v>0</v>
      </c>
      <c r="W22" s="13">
        <f>IF(W$4="","",IFERROR(INDIRECT("'"&amp;W$4&amp;"'!"&amp;$AQ22),""))</f>
        <v>0</v>
      </c>
      <c r="X22" s="13">
        <f>IF(X$4="","",IFERROR(INDIRECT("'"&amp;X$4&amp;"'!"&amp;$AQ22),""))</f>
        <v>0</v>
      </c>
      <c r="Y22" s="13">
        <f>IF(Y$4="","",IFERROR(INDIRECT("'"&amp;Y$4&amp;"'!"&amp;$AQ22),""))</f>
        <v>0</v>
      </c>
      <c r="Z22" s="13">
        <f>IF(Z$4="","",IFERROR(INDIRECT("'"&amp;Z$4&amp;"'!"&amp;$AQ22),""))</f>
        <v>0</v>
      </c>
      <c r="AA22" s="13">
        <f>IF(AA$4="","",IFERROR(INDIRECT("'"&amp;AA$4&amp;"'!"&amp;$AQ22),""))</f>
        <v>0</v>
      </c>
      <c r="AB22" s="13">
        <f>IF(AB$4="","",IFERROR(INDIRECT("'"&amp;AB$4&amp;"'!"&amp;$AQ22),""))</f>
        <v>0</v>
      </c>
      <c r="AC22" s="13">
        <f>IF(AC$4="","",IFERROR(INDIRECT("'"&amp;AC$4&amp;"'!"&amp;$AQ22),""))</f>
        <v>0</v>
      </c>
      <c r="AD22" s="13">
        <f>IF(AD$4="","",IFERROR(INDIRECT("'"&amp;AD$4&amp;"'!"&amp;$AQ22),""))</f>
        <v>0</v>
      </c>
      <c r="AE22" s="13">
        <f>IF(AE$4="","",IFERROR(INDIRECT("'"&amp;AE$4&amp;"'!"&amp;$AQ22),""))</f>
        <v>0</v>
      </c>
      <c r="AF22" s="13">
        <f>IF(AF$4="","",IFERROR(INDIRECT("'"&amp;AF$4&amp;"'!"&amp;$AQ22),""))</f>
        <v>0</v>
      </c>
      <c r="AG22" s="13">
        <f>IF(AG$4="","",IFERROR(INDIRECT("'"&amp;AG$4&amp;"'!"&amp;$AQ22),""))</f>
        <v>0</v>
      </c>
      <c r="AH22" s="13">
        <f>IF(AH$4="","",IFERROR(INDIRECT("'"&amp;AH$4&amp;"'!"&amp;$AQ22),""))</f>
        <v>0</v>
      </c>
      <c r="AI22" s="13">
        <f>IF(AI$4="","",IFERROR(INDIRECT("'"&amp;AI$4&amp;"'!"&amp;$AQ22),""))</f>
        <v>0</v>
      </c>
      <c r="AJ22" s="13">
        <f>IF(AJ$4="","",IFERROR(INDIRECT("'"&amp;AJ$4&amp;"'!"&amp;$AQ22),""))</f>
        <v>0</v>
      </c>
      <c r="AK22" s="13">
        <f>IF(AK$4="","",IFERROR(INDIRECT("'"&amp;AK$4&amp;"'!"&amp;$AQ22),""))</f>
        <v>0</v>
      </c>
      <c r="AL22" s="13">
        <f>IF(AL$4="","",IFERROR(INDIRECT("'"&amp;AL$4&amp;"'!"&amp;$AQ22),""))</f>
        <v>0</v>
      </c>
      <c r="AM22" s="13">
        <f>IF(AM$4="","",IFERROR(INDIRECT("'"&amp;AM$4&amp;"'!"&amp;$AQ22),""))</f>
        <v>0</v>
      </c>
      <c r="AN22" s="13">
        <f>IF(AN$4="","",IFERROR(INDIRECT("'"&amp;AN$4&amp;"'!"&amp;$AQ22),""))</f>
        <v>0</v>
      </c>
      <c r="AO22" s="13">
        <f>IF(AO$4="","",IFERROR(INDIRECT("'"&amp;AO$4&amp;"'!"&amp;$AQ22),""))</f>
        <v>0</v>
      </c>
      <c r="AQ22" t="s">
        <v>1718</v>
      </c>
    </row>
    <row r="23" spans="1:43">
      <c r="A23" s="17" t="s">
        <v>1719</v>
      </c>
      <c r="B23" s="15">
        <f>IF(B$4="","",IFERROR(INDIRECT("'"&amp;B$4&amp;"'!"&amp;$AQ23),""))</f>
        <v>0</v>
      </c>
      <c r="C23" s="15">
        <f>IF(C$4="","",IFERROR(INDIRECT("'"&amp;C$4&amp;"'!"&amp;$AQ23),""))</f>
        <v>0</v>
      </c>
      <c r="D23" s="15">
        <f>IF(D$4="","",IFERROR(INDIRECT("'"&amp;D$4&amp;"'!"&amp;$AQ23),""))</f>
        <v>0</v>
      </c>
      <c r="E23" s="15">
        <f>IF(E$4="","",IFERROR(INDIRECT("'"&amp;E$4&amp;"'!"&amp;$AQ23),""))</f>
        <v>0</v>
      </c>
      <c r="F23" s="15">
        <f>IF(F$4="","",IFERROR(INDIRECT("'"&amp;F$4&amp;"'!"&amp;$AQ23),""))</f>
        <v>0</v>
      </c>
      <c r="G23" s="15">
        <f>IF(G$4="","",IFERROR(INDIRECT("'"&amp;G$4&amp;"'!"&amp;$AQ23),""))</f>
        <v>0</v>
      </c>
      <c r="H23" s="15">
        <f>IF(H$4="","",IFERROR(INDIRECT("'"&amp;H$4&amp;"'!"&amp;$AQ23),""))</f>
        <v>0</v>
      </c>
      <c r="I23" s="15">
        <f>IF(I$4="","",IFERROR(INDIRECT("'"&amp;I$4&amp;"'!"&amp;$AQ23),""))</f>
        <v>0</v>
      </c>
      <c r="J23" s="15">
        <f>IF(J$4="","",IFERROR(INDIRECT("'"&amp;J$4&amp;"'!"&amp;$AQ23),""))</f>
        <v>0</v>
      </c>
      <c r="K23" s="15">
        <f>IF(K$4="","",IFERROR(INDIRECT("'"&amp;K$4&amp;"'!"&amp;$AQ23),""))</f>
        <v>0</v>
      </c>
      <c r="L23" s="15">
        <f>IF(L$4="","",IFERROR(INDIRECT("'"&amp;L$4&amp;"'!"&amp;$AQ23),""))</f>
        <v>0</v>
      </c>
      <c r="M23" s="15">
        <f>IF(M$4="","",IFERROR(INDIRECT("'"&amp;M$4&amp;"'!"&amp;$AQ23),""))</f>
        <v>0</v>
      </c>
      <c r="N23" s="15">
        <f>IF(N$4="","",IFERROR(INDIRECT("'"&amp;N$4&amp;"'!"&amp;$AQ23),""))</f>
        <v>0</v>
      </c>
      <c r="O23" s="15">
        <f>IF(O$4="","",IFERROR(INDIRECT("'"&amp;O$4&amp;"'!"&amp;$AQ23),""))</f>
        <v>0</v>
      </c>
      <c r="P23" s="15">
        <f>IF(P$4="","",IFERROR(INDIRECT("'"&amp;P$4&amp;"'!"&amp;$AQ23),""))</f>
        <v>0</v>
      </c>
      <c r="Q23" s="15">
        <f>IF(Q$4="","",IFERROR(INDIRECT("'"&amp;Q$4&amp;"'!"&amp;$AQ23),""))</f>
        <v>0</v>
      </c>
      <c r="R23" s="15">
        <f>IF(R$4="","",IFERROR(INDIRECT("'"&amp;R$4&amp;"'!"&amp;$AQ23),""))</f>
        <v>0</v>
      </c>
      <c r="S23" s="15">
        <f>IF(S$4="","",IFERROR(INDIRECT("'"&amp;S$4&amp;"'!"&amp;$AQ23),""))</f>
        <v>0</v>
      </c>
      <c r="T23" s="15">
        <f>IF(T$4="","",IFERROR(INDIRECT("'"&amp;T$4&amp;"'!"&amp;$AQ23),""))</f>
        <v>0</v>
      </c>
      <c r="U23" s="15">
        <f>IF(U$4="","",IFERROR(INDIRECT("'"&amp;U$4&amp;"'!"&amp;$AQ23),""))</f>
        <v>0</v>
      </c>
      <c r="V23" s="15">
        <f>IF(V$4="","",IFERROR(INDIRECT("'"&amp;V$4&amp;"'!"&amp;$AQ23),""))</f>
        <v>0</v>
      </c>
      <c r="W23" s="15">
        <f>IF(W$4="","",IFERROR(INDIRECT("'"&amp;W$4&amp;"'!"&amp;$AQ23),""))</f>
        <v>0</v>
      </c>
      <c r="X23" s="15">
        <f>IF(X$4="","",IFERROR(INDIRECT("'"&amp;X$4&amp;"'!"&amp;$AQ23),""))</f>
        <v>0</v>
      </c>
      <c r="Y23" s="15">
        <f>IF(Y$4="","",IFERROR(INDIRECT("'"&amp;Y$4&amp;"'!"&amp;$AQ23),""))</f>
        <v>0</v>
      </c>
      <c r="Z23" s="15">
        <f>IF(Z$4="","",IFERROR(INDIRECT("'"&amp;Z$4&amp;"'!"&amp;$AQ23),""))</f>
        <v>0</v>
      </c>
      <c r="AA23" s="15">
        <f>IF(AA$4="","",IFERROR(INDIRECT("'"&amp;AA$4&amp;"'!"&amp;$AQ23),""))</f>
        <v>0</v>
      </c>
      <c r="AB23" s="15">
        <f>IF(AB$4="","",IFERROR(INDIRECT("'"&amp;AB$4&amp;"'!"&amp;$AQ23),""))</f>
        <v>0</v>
      </c>
      <c r="AC23" s="15">
        <f>IF(AC$4="","",IFERROR(INDIRECT("'"&amp;AC$4&amp;"'!"&amp;$AQ23),""))</f>
        <v>0</v>
      </c>
      <c r="AD23" s="15">
        <f>IF(AD$4="","",IFERROR(INDIRECT("'"&amp;AD$4&amp;"'!"&amp;$AQ23),""))</f>
        <v>0</v>
      </c>
      <c r="AE23" s="15">
        <f>IF(AE$4="","",IFERROR(INDIRECT("'"&amp;AE$4&amp;"'!"&amp;$AQ23),""))</f>
        <v>0</v>
      </c>
      <c r="AF23" s="15">
        <f>IF(AF$4="","",IFERROR(INDIRECT("'"&amp;AF$4&amp;"'!"&amp;$AQ23),""))</f>
        <v>0</v>
      </c>
      <c r="AG23" s="15">
        <f>IF(AG$4="","",IFERROR(INDIRECT("'"&amp;AG$4&amp;"'!"&amp;$AQ23),""))</f>
        <v>0</v>
      </c>
      <c r="AH23" s="15">
        <f>IF(AH$4="","",IFERROR(INDIRECT("'"&amp;AH$4&amp;"'!"&amp;$AQ23),""))</f>
        <v>0</v>
      </c>
      <c r="AI23" s="15">
        <f>IF(AI$4="","",IFERROR(INDIRECT("'"&amp;AI$4&amp;"'!"&amp;$AQ23),""))</f>
        <v>0</v>
      </c>
      <c r="AJ23" s="15">
        <f>IF(AJ$4="","",IFERROR(INDIRECT("'"&amp;AJ$4&amp;"'!"&amp;$AQ23),""))</f>
        <v>0</v>
      </c>
      <c r="AK23" s="15">
        <f>IF(AK$4="","",IFERROR(INDIRECT("'"&amp;AK$4&amp;"'!"&amp;$AQ23),""))</f>
        <v>0</v>
      </c>
      <c r="AL23" s="15">
        <f>IF(AL$4="","",IFERROR(INDIRECT("'"&amp;AL$4&amp;"'!"&amp;$AQ23),""))</f>
        <v>0</v>
      </c>
      <c r="AM23" s="15">
        <f>IF(AM$4="","",IFERROR(INDIRECT("'"&amp;AM$4&amp;"'!"&amp;$AQ23),""))</f>
        <v>0</v>
      </c>
      <c r="AN23" s="15">
        <f>IF(AN$4="","",IFERROR(INDIRECT("'"&amp;AN$4&amp;"'!"&amp;$AQ23),""))</f>
        <v>0</v>
      </c>
      <c r="AO23" s="15">
        <f>IF(AO$4="","",IFERROR(INDIRECT("'"&amp;AO$4&amp;"'!"&amp;$AQ23),""))</f>
        <v>0</v>
      </c>
      <c r="AQ23" t="s">
        <v>1720</v>
      </c>
    </row>
    <row r="24" spans="1:43" ht="24" customHeight="1">
      <c r="A24" s="21" t="s">
        <v>1059</v>
      </c>
      <c r="B24" s="15">
        <f>IF(B$4="","",IFERROR(INDIRECT("'"&amp;B$4&amp;"'!"&amp;$AQ24),""))</f>
        <v>0</v>
      </c>
      <c r="C24" s="15">
        <f>IF(C$4="","",IFERROR(INDIRECT("'"&amp;C$4&amp;"'!"&amp;$AQ24),""))</f>
        <v>0</v>
      </c>
      <c r="D24" s="15">
        <f>IF(D$4="","",IFERROR(INDIRECT("'"&amp;D$4&amp;"'!"&amp;$AQ24),""))</f>
        <v>0</v>
      </c>
      <c r="E24" s="15">
        <f>IF(E$4="","",IFERROR(INDIRECT("'"&amp;E$4&amp;"'!"&amp;$AQ24),""))</f>
        <v>0</v>
      </c>
      <c r="F24" s="15">
        <f>IF(F$4="","",IFERROR(INDIRECT("'"&amp;F$4&amp;"'!"&amp;$AQ24),""))</f>
        <v>0</v>
      </c>
      <c r="G24" s="15">
        <f>IF(G$4="","",IFERROR(INDIRECT("'"&amp;G$4&amp;"'!"&amp;$AQ24),""))</f>
        <v>0</v>
      </c>
      <c r="H24" s="15">
        <f>IF(H$4="","",IFERROR(INDIRECT("'"&amp;H$4&amp;"'!"&amp;$AQ24),""))</f>
        <v>0</v>
      </c>
      <c r="I24" s="15">
        <f>IF(I$4="","",IFERROR(INDIRECT("'"&amp;I$4&amp;"'!"&amp;$AQ24),""))</f>
        <v>0</v>
      </c>
      <c r="J24" s="15">
        <f>IF(J$4="","",IFERROR(INDIRECT("'"&amp;J$4&amp;"'!"&amp;$AQ24),""))</f>
        <v>0</v>
      </c>
      <c r="K24" s="15">
        <f>IF(K$4="","",IFERROR(INDIRECT("'"&amp;K$4&amp;"'!"&amp;$AQ24),""))</f>
        <v>0</v>
      </c>
      <c r="L24" s="15">
        <f>IF(L$4="","",IFERROR(INDIRECT("'"&amp;L$4&amp;"'!"&amp;$AQ24),""))</f>
        <v>0</v>
      </c>
      <c r="M24" s="15">
        <f>IF(M$4="","",IFERROR(INDIRECT("'"&amp;M$4&amp;"'!"&amp;$AQ24),""))</f>
        <v>0</v>
      </c>
      <c r="N24" s="15">
        <f>IF(N$4="","",IFERROR(INDIRECT("'"&amp;N$4&amp;"'!"&amp;$AQ24),""))</f>
        <v>0</v>
      </c>
      <c r="O24" s="15">
        <f>IF(O$4="","",IFERROR(INDIRECT("'"&amp;O$4&amp;"'!"&amp;$AQ24),""))</f>
        <v>0</v>
      </c>
      <c r="P24" s="15">
        <f>IF(P$4="","",IFERROR(INDIRECT("'"&amp;P$4&amp;"'!"&amp;$AQ24),""))</f>
        <v>0</v>
      </c>
      <c r="Q24" s="15">
        <f>IF(Q$4="","",IFERROR(INDIRECT("'"&amp;Q$4&amp;"'!"&amp;$AQ24),""))</f>
        <v>0</v>
      </c>
      <c r="R24" s="15">
        <f>IF(R$4="","",IFERROR(INDIRECT("'"&amp;R$4&amp;"'!"&amp;$AQ24),""))</f>
        <v>0</v>
      </c>
      <c r="S24" s="15">
        <f>IF(S$4="","",IFERROR(INDIRECT("'"&amp;S$4&amp;"'!"&amp;$AQ24),""))</f>
        <v>0</v>
      </c>
      <c r="T24" s="15">
        <f>IF(T$4="","",IFERROR(INDIRECT("'"&amp;T$4&amp;"'!"&amp;$AQ24),""))</f>
        <v>0</v>
      </c>
      <c r="U24" s="15">
        <f>IF(U$4="","",IFERROR(INDIRECT("'"&amp;U$4&amp;"'!"&amp;$AQ24),""))</f>
        <v>0</v>
      </c>
      <c r="V24" s="15">
        <f>IF(V$4="","",IFERROR(INDIRECT("'"&amp;V$4&amp;"'!"&amp;$AQ24),""))</f>
        <v>0</v>
      </c>
      <c r="W24" s="15">
        <f>IF(W$4="","",IFERROR(INDIRECT("'"&amp;W$4&amp;"'!"&amp;$AQ24),""))</f>
        <v>0</v>
      </c>
      <c r="X24" s="15">
        <f>IF(X$4="","",IFERROR(INDIRECT("'"&amp;X$4&amp;"'!"&amp;$AQ24),""))</f>
        <v>0</v>
      </c>
      <c r="Y24" s="15">
        <f>IF(Y$4="","",IFERROR(INDIRECT("'"&amp;Y$4&amp;"'!"&amp;$AQ24),""))</f>
        <v>0</v>
      </c>
      <c r="Z24" s="15">
        <f>IF(Z$4="","",IFERROR(INDIRECT("'"&amp;Z$4&amp;"'!"&amp;$AQ24),""))</f>
        <v>0</v>
      </c>
      <c r="AA24" s="15">
        <f>IF(AA$4="","",IFERROR(INDIRECT("'"&amp;AA$4&amp;"'!"&amp;$AQ24),""))</f>
        <v>0</v>
      </c>
      <c r="AB24" s="15">
        <f>IF(AB$4="","",IFERROR(INDIRECT("'"&amp;AB$4&amp;"'!"&amp;$AQ24),""))</f>
        <v>0</v>
      </c>
      <c r="AC24" s="15">
        <f>IF(AC$4="","",IFERROR(INDIRECT("'"&amp;AC$4&amp;"'!"&amp;$AQ24),""))</f>
        <v>0</v>
      </c>
      <c r="AD24" s="15">
        <f>IF(AD$4="","",IFERROR(INDIRECT("'"&amp;AD$4&amp;"'!"&amp;$AQ24),""))</f>
        <v>0</v>
      </c>
      <c r="AE24" s="15">
        <f>IF(AE$4="","",IFERROR(INDIRECT("'"&amp;AE$4&amp;"'!"&amp;$AQ24),""))</f>
        <v>0</v>
      </c>
      <c r="AF24" s="15">
        <f>IF(AF$4="","",IFERROR(INDIRECT("'"&amp;AF$4&amp;"'!"&amp;$AQ24),""))</f>
        <v>0</v>
      </c>
      <c r="AG24" s="15">
        <f>IF(AG$4="","",IFERROR(INDIRECT("'"&amp;AG$4&amp;"'!"&amp;$AQ24),""))</f>
        <v>0</v>
      </c>
      <c r="AH24" s="15">
        <f>IF(AH$4="","",IFERROR(INDIRECT("'"&amp;AH$4&amp;"'!"&amp;$AQ24),""))</f>
        <v>0</v>
      </c>
      <c r="AI24" s="15">
        <f>IF(AI$4="","",IFERROR(INDIRECT("'"&amp;AI$4&amp;"'!"&amp;$AQ24),""))</f>
        <v>0</v>
      </c>
      <c r="AJ24" s="15">
        <f>IF(AJ$4="","",IFERROR(INDIRECT("'"&amp;AJ$4&amp;"'!"&amp;$AQ24),""))</f>
        <v>0</v>
      </c>
      <c r="AK24" s="15">
        <f>IF(AK$4="","",IFERROR(INDIRECT("'"&amp;AK$4&amp;"'!"&amp;$AQ24),""))</f>
        <v>0</v>
      </c>
      <c r="AL24" s="15">
        <f>IF(AL$4="","",IFERROR(INDIRECT("'"&amp;AL$4&amp;"'!"&amp;$AQ24),""))</f>
        <v>0</v>
      </c>
      <c r="AM24" s="15">
        <f>IF(AM$4="","",IFERROR(INDIRECT("'"&amp;AM$4&amp;"'!"&amp;$AQ24),""))</f>
        <v>0</v>
      </c>
      <c r="AN24" s="15">
        <f>IF(AN$4="","",IFERROR(INDIRECT("'"&amp;AN$4&amp;"'!"&amp;$AQ24),""))</f>
        <v>0</v>
      </c>
      <c r="AO24" s="15">
        <f>IF(AO$4="","",IFERROR(INDIRECT("'"&amp;AO$4&amp;"'!"&amp;$AQ24),""))</f>
        <v>0</v>
      </c>
      <c r="AQ24" t="s">
        <v>1721</v>
      </c>
    </row>
    <row r="25" spans="1:43" ht="45" customHeight="1">
      <c r="A25" s="17" t="s">
        <v>817</v>
      </c>
      <c r="B25" s="13">
        <f>IF(B$4="","",IFERROR(INDIRECT("'"&amp;B$4&amp;"'!"&amp;$AQ25),""))</f>
        <v>0</v>
      </c>
      <c r="C25" s="13">
        <f>IF(C$4="","",IFERROR(INDIRECT("'"&amp;C$4&amp;"'!"&amp;$AQ25),""))</f>
        <v>0</v>
      </c>
      <c r="D25" s="13">
        <f>IF(D$4="","",IFERROR(INDIRECT("'"&amp;D$4&amp;"'!"&amp;$AQ25),""))</f>
        <v>0</v>
      </c>
      <c r="E25" s="13">
        <f>IF(E$4="","",IFERROR(INDIRECT("'"&amp;E$4&amp;"'!"&amp;$AQ25),""))</f>
        <v>0</v>
      </c>
      <c r="F25" s="13">
        <f>IF(F$4="","",IFERROR(INDIRECT("'"&amp;F$4&amp;"'!"&amp;$AQ25),""))</f>
        <v>0</v>
      </c>
      <c r="G25" s="13">
        <f>IF(G$4="","",IFERROR(INDIRECT("'"&amp;G$4&amp;"'!"&amp;$AQ25),""))</f>
        <v>0</v>
      </c>
      <c r="H25" s="13">
        <f>IF(H$4="","",IFERROR(INDIRECT("'"&amp;H$4&amp;"'!"&amp;$AQ25),""))</f>
        <v>0</v>
      </c>
      <c r="I25" s="13">
        <f>IF(I$4="","",IFERROR(INDIRECT("'"&amp;I$4&amp;"'!"&amp;$AQ25),""))</f>
        <v>0</v>
      </c>
      <c r="J25" s="13">
        <f>IF(J$4="","",IFERROR(INDIRECT("'"&amp;J$4&amp;"'!"&amp;$AQ25),""))</f>
        <v>0</v>
      </c>
      <c r="K25" s="13">
        <f>IF(K$4="","",IFERROR(INDIRECT("'"&amp;K$4&amp;"'!"&amp;$AQ25),""))</f>
        <v>0</v>
      </c>
      <c r="L25" s="13">
        <f>IF(L$4="","",IFERROR(INDIRECT("'"&amp;L$4&amp;"'!"&amp;$AQ25),""))</f>
        <v>0</v>
      </c>
      <c r="M25" s="13">
        <f>IF(M$4="","",IFERROR(INDIRECT("'"&amp;M$4&amp;"'!"&amp;$AQ25),""))</f>
        <v>0</v>
      </c>
      <c r="N25" s="13">
        <f>IF(N$4="","",IFERROR(INDIRECT("'"&amp;N$4&amp;"'!"&amp;$AQ25),""))</f>
        <v>0</v>
      </c>
      <c r="O25" s="13">
        <f>IF(O$4="","",IFERROR(INDIRECT("'"&amp;O$4&amp;"'!"&amp;$AQ25),""))</f>
        <v>0</v>
      </c>
      <c r="P25" s="13">
        <f>IF(P$4="","",IFERROR(INDIRECT("'"&amp;P$4&amp;"'!"&amp;$AQ25),""))</f>
        <v>0</v>
      </c>
      <c r="Q25" s="13">
        <f>IF(Q$4="","",IFERROR(INDIRECT("'"&amp;Q$4&amp;"'!"&amp;$AQ25),""))</f>
        <v>0</v>
      </c>
      <c r="R25" s="13">
        <f>IF(R$4="","",IFERROR(INDIRECT("'"&amp;R$4&amp;"'!"&amp;$AQ25),""))</f>
        <v>0</v>
      </c>
      <c r="S25" s="13">
        <f>IF(S$4="","",IFERROR(INDIRECT("'"&amp;S$4&amp;"'!"&amp;$AQ25),""))</f>
        <v>0</v>
      </c>
      <c r="T25" s="13">
        <f>IF(T$4="","",IFERROR(INDIRECT("'"&amp;T$4&amp;"'!"&amp;$AQ25),""))</f>
        <v>0</v>
      </c>
      <c r="U25" s="13">
        <f>IF(U$4="","",IFERROR(INDIRECT("'"&amp;U$4&amp;"'!"&amp;$AQ25),""))</f>
        <v>0</v>
      </c>
      <c r="V25" s="13">
        <f>IF(V$4="","",IFERROR(INDIRECT("'"&amp;V$4&amp;"'!"&amp;$AQ25),""))</f>
        <v>0</v>
      </c>
      <c r="W25" s="13">
        <f>IF(W$4="","",IFERROR(INDIRECT("'"&amp;W$4&amp;"'!"&amp;$AQ25),""))</f>
        <v>0</v>
      </c>
      <c r="X25" s="13">
        <f>IF(X$4="","",IFERROR(INDIRECT("'"&amp;X$4&amp;"'!"&amp;$AQ25),""))</f>
        <v>0</v>
      </c>
      <c r="Y25" s="13">
        <f>IF(Y$4="","",IFERROR(INDIRECT("'"&amp;Y$4&amp;"'!"&amp;$AQ25),""))</f>
        <v>0</v>
      </c>
      <c r="Z25" s="13">
        <f>IF(Z$4="","",IFERROR(INDIRECT("'"&amp;Z$4&amp;"'!"&amp;$AQ25),""))</f>
        <v>0</v>
      </c>
      <c r="AA25" s="13">
        <f>IF(AA$4="","",IFERROR(INDIRECT("'"&amp;AA$4&amp;"'!"&amp;$AQ25),""))</f>
        <v>0</v>
      </c>
      <c r="AB25" s="13">
        <f>IF(AB$4="","",IFERROR(INDIRECT("'"&amp;AB$4&amp;"'!"&amp;$AQ25),""))</f>
        <v>0</v>
      </c>
      <c r="AC25" s="13">
        <f>IF(AC$4="","",IFERROR(INDIRECT("'"&amp;AC$4&amp;"'!"&amp;$AQ25),""))</f>
        <v>0</v>
      </c>
      <c r="AD25" s="13">
        <f>IF(AD$4="","",IFERROR(INDIRECT("'"&amp;AD$4&amp;"'!"&amp;$AQ25),""))</f>
        <v>0</v>
      </c>
      <c r="AE25" s="13">
        <f>IF(AE$4="","",IFERROR(INDIRECT("'"&amp;AE$4&amp;"'!"&amp;$AQ25),""))</f>
        <v>0</v>
      </c>
      <c r="AF25" s="13">
        <f>IF(AF$4="","",IFERROR(INDIRECT("'"&amp;AF$4&amp;"'!"&amp;$AQ25),""))</f>
        <v>0</v>
      </c>
      <c r="AG25" s="13">
        <f>IF(AG$4="","",IFERROR(INDIRECT("'"&amp;AG$4&amp;"'!"&amp;$AQ25),""))</f>
        <v>0</v>
      </c>
      <c r="AH25" s="13">
        <f>IF(AH$4="","",IFERROR(INDIRECT("'"&amp;AH$4&amp;"'!"&amp;$AQ25),""))</f>
        <v>0</v>
      </c>
      <c r="AI25" s="13">
        <f>IF(AI$4="","",IFERROR(INDIRECT("'"&amp;AI$4&amp;"'!"&amp;$AQ25),""))</f>
        <v>0</v>
      </c>
      <c r="AJ25" s="13">
        <f>IF(AJ$4="","",IFERROR(INDIRECT("'"&amp;AJ$4&amp;"'!"&amp;$AQ25),""))</f>
        <v>0</v>
      </c>
      <c r="AK25" s="13">
        <f>IF(AK$4="","",IFERROR(INDIRECT("'"&amp;AK$4&amp;"'!"&amp;$AQ25),""))</f>
        <v>0</v>
      </c>
      <c r="AL25" s="13">
        <f>IF(AL$4="","",IFERROR(INDIRECT("'"&amp;AL$4&amp;"'!"&amp;$AQ25),""))</f>
        <v>0</v>
      </c>
      <c r="AM25" s="13">
        <f>IF(AM$4="","",IFERROR(INDIRECT("'"&amp;AM$4&amp;"'!"&amp;$AQ25),""))</f>
        <v>0</v>
      </c>
      <c r="AN25" s="13">
        <f>IF(AN$4="","",IFERROR(INDIRECT("'"&amp;AN$4&amp;"'!"&amp;$AQ25),""))</f>
        <v>0</v>
      </c>
      <c r="AO25" s="13">
        <f>IF(AO$4="","",IFERROR(INDIRECT("'"&amp;AO$4&amp;"'!"&amp;$AQ25),""))</f>
        <v>0</v>
      </c>
      <c r="AQ25" t="s">
        <v>1722</v>
      </c>
    </row>
    <row r="26" spans="1:43">
      <c r="A26" s="17" t="s">
        <v>1069</v>
      </c>
      <c r="B26" s="13">
        <f>IF(B$4="","",IFERROR(INDIRECT("'"&amp;B$4&amp;"'!"&amp;$AQ26),""))</f>
        <v>0</v>
      </c>
      <c r="C26" s="13">
        <f>IF(C$4="","",IFERROR(INDIRECT("'"&amp;C$4&amp;"'!"&amp;$AQ26),""))</f>
        <v>0</v>
      </c>
      <c r="D26" s="13">
        <f>IF(D$4="","",IFERROR(INDIRECT("'"&amp;D$4&amp;"'!"&amp;$AQ26),""))</f>
        <v>0</v>
      </c>
      <c r="E26" s="13">
        <f>IF(E$4="","",IFERROR(INDIRECT("'"&amp;E$4&amp;"'!"&amp;$AQ26),""))</f>
        <v>0</v>
      </c>
      <c r="F26" s="13">
        <f>IF(F$4="","",IFERROR(INDIRECT("'"&amp;F$4&amp;"'!"&amp;$AQ26),""))</f>
        <v>0</v>
      </c>
      <c r="G26" s="13">
        <f>IF(G$4="","",IFERROR(INDIRECT("'"&amp;G$4&amp;"'!"&amp;$AQ26),""))</f>
        <v>0</v>
      </c>
      <c r="H26" s="13">
        <f>IF(H$4="","",IFERROR(INDIRECT("'"&amp;H$4&amp;"'!"&amp;$AQ26),""))</f>
        <v>0</v>
      </c>
      <c r="I26" s="13">
        <f>IF(I$4="","",IFERROR(INDIRECT("'"&amp;I$4&amp;"'!"&amp;$AQ26),""))</f>
        <v>0</v>
      </c>
      <c r="J26" s="13">
        <f>IF(J$4="","",IFERROR(INDIRECT("'"&amp;J$4&amp;"'!"&amp;$AQ26),""))</f>
        <v>0</v>
      </c>
      <c r="K26" s="13">
        <f>IF(K$4="","",IFERROR(INDIRECT("'"&amp;K$4&amp;"'!"&amp;$AQ26),""))</f>
        <v>0</v>
      </c>
      <c r="L26" s="13">
        <f>IF(L$4="","",IFERROR(INDIRECT("'"&amp;L$4&amp;"'!"&amp;$AQ26),""))</f>
        <v>0</v>
      </c>
      <c r="M26" s="13">
        <f>IF(M$4="","",IFERROR(INDIRECT("'"&amp;M$4&amp;"'!"&amp;$AQ26),""))</f>
        <v>0</v>
      </c>
      <c r="N26" s="13">
        <f>IF(N$4="","",IFERROR(INDIRECT("'"&amp;N$4&amp;"'!"&amp;$AQ26),""))</f>
        <v>0</v>
      </c>
      <c r="O26" s="13">
        <f>IF(O$4="","",IFERROR(INDIRECT("'"&amp;O$4&amp;"'!"&amp;$AQ26),""))</f>
        <v>0</v>
      </c>
      <c r="P26" s="13">
        <f>IF(P$4="","",IFERROR(INDIRECT("'"&amp;P$4&amp;"'!"&amp;$AQ26),""))</f>
        <v>0</v>
      </c>
      <c r="Q26" s="13">
        <f>IF(Q$4="","",IFERROR(INDIRECT("'"&amp;Q$4&amp;"'!"&amp;$AQ26),""))</f>
        <v>0</v>
      </c>
      <c r="R26" s="13">
        <f>IF(R$4="","",IFERROR(INDIRECT("'"&amp;R$4&amp;"'!"&amp;$AQ26),""))</f>
        <v>0</v>
      </c>
      <c r="S26" s="13">
        <f>IF(S$4="","",IFERROR(INDIRECT("'"&amp;S$4&amp;"'!"&amp;$AQ26),""))</f>
        <v>0</v>
      </c>
      <c r="T26" s="13">
        <f>IF(T$4="","",IFERROR(INDIRECT("'"&amp;T$4&amp;"'!"&amp;$AQ26),""))</f>
        <v>0</v>
      </c>
      <c r="U26" s="13">
        <f>IF(U$4="","",IFERROR(INDIRECT("'"&amp;U$4&amp;"'!"&amp;$AQ26),""))</f>
        <v>0</v>
      </c>
      <c r="V26" s="13">
        <f>IF(V$4="","",IFERROR(INDIRECT("'"&amp;V$4&amp;"'!"&amp;$AQ26),""))</f>
        <v>0</v>
      </c>
      <c r="W26" s="13">
        <f>IF(W$4="","",IFERROR(INDIRECT("'"&amp;W$4&amp;"'!"&amp;$AQ26),""))</f>
        <v>0</v>
      </c>
      <c r="X26" s="13">
        <f>IF(X$4="","",IFERROR(INDIRECT("'"&amp;X$4&amp;"'!"&amp;$AQ26),""))</f>
        <v>0</v>
      </c>
      <c r="Y26" s="13">
        <f>IF(Y$4="","",IFERROR(INDIRECT("'"&amp;Y$4&amp;"'!"&amp;$AQ26),""))</f>
        <v>0</v>
      </c>
      <c r="Z26" s="13">
        <f>IF(Z$4="","",IFERROR(INDIRECT("'"&amp;Z$4&amp;"'!"&amp;$AQ26),""))</f>
        <v>0</v>
      </c>
      <c r="AA26" s="13">
        <f>IF(AA$4="","",IFERROR(INDIRECT("'"&amp;AA$4&amp;"'!"&amp;$AQ26),""))</f>
        <v>0</v>
      </c>
      <c r="AB26" s="13">
        <f>IF(AB$4="","",IFERROR(INDIRECT("'"&amp;AB$4&amp;"'!"&amp;$AQ26),""))</f>
        <v>0</v>
      </c>
      <c r="AC26" s="13">
        <f>IF(AC$4="","",IFERROR(INDIRECT("'"&amp;AC$4&amp;"'!"&amp;$AQ26),""))</f>
        <v>0</v>
      </c>
      <c r="AD26" s="13">
        <f>IF(AD$4="","",IFERROR(INDIRECT("'"&amp;AD$4&amp;"'!"&amp;$AQ26),""))</f>
        <v>0</v>
      </c>
      <c r="AE26" s="13">
        <f>IF(AE$4="","",IFERROR(INDIRECT("'"&amp;AE$4&amp;"'!"&amp;$AQ26),""))</f>
        <v>0</v>
      </c>
      <c r="AF26" s="13">
        <f>IF(AF$4="","",IFERROR(INDIRECT("'"&amp;AF$4&amp;"'!"&amp;$AQ26),""))</f>
        <v>0</v>
      </c>
      <c r="AG26" s="13">
        <f>IF(AG$4="","",IFERROR(INDIRECT("'"&amp;AG$4&amp;"'!"&amp;$AQ26),""))</f>
        <v>0</v>
      </c>
      <c r="AH26" s="13">
        <f>IF(AH$4="","",IFERROR(INDIRECT("'"&amp;AH$4&amp;"'!"&amp;$AQ26),""))</f>
        <v>0</v>
      </c>
      <c r="AI26" s="13">
        <f>IF(AI$4="","",IFERROR(INDIRECT("'"&amp;AI$4&amp;"'!"&amp;$AQ26),""))</f>
        <v>0</v>
      </c>
      <c r="AJ26" s="13">
        <f>IF(AJ$4="","",IFERROR(INDIRECT("'"&amp;AJ$4&amp;"'!"&amp;$AQ26),""))</f>
        <v>0</v>
      </c>
      <c r="AK26" s="13">
        <f>IF(AK$4="","",IFERROR(INDIRECT("'"&amp;AK$4&amp;"'!"&amp;$AQ26),""))</f>
        <v>0</v>
      </c>
      <c r="AL26" s="13">
        <f>IF(AL$4="","",IFERROR(INDIRECT("'"&amp;AL$4&amp;"'!"&amp;$AQ26),""))</f>
        <v>0</v>
      </c>
      <c r="AM26" s="13">
        <f>IF(AM$4="","",IFERROR(INDIRECT("'"&amp;AM$4&amp;"'!"&amp;$AQ26),""))</f>
        <v>0</v>
      </c>
      <c r="AN26" s="13">
        <f>IF(AN$4="","",IFERROR(INDIRECT("'"&amp;AN$4&amp;"'!"&amp;$AQ26),""))</f>
        <v>0</v>
      </c>
      <c r="AO26" s="13">
        <f>IF(AO$4="","",IFERROR(INDIRECT("'"&amp;AO$4&amp;"'!"&amp;$AQ26),""))</f>
        <v>0</v>
      </c>
      <c r="AQ26" t="s">
        <v>1723</v>
      </c>
    </row>
    <row r="27" spans="1:43">
      <c r="A27" s="17" t="s">
        <v>1724</v>
      </c>
      <c r="B27" s="15">
        <f>IF(B$4="","",IFERROR(INDIRECT("'"&amp;B$4&amp;"'!"&amp;$AQ27),""))</f>
        <v>0</v>
      </c>
      <c r="C27" s="15">
        <f>IF(C$4="","",IFERROR(INDIRECT("'"&amp;C$4&amp;"'!"&amp;$AQ27),""))</f>
        <v>0</v>
      </c>
      <c r="D27" s="15">
        <f>IF(D$4="","",IFERROR(INDIRECT("'"&amp;D$4&amp;"'!"&amp;$AQ27),""))</f>
        <v>0</v>
      </c>
      <c r="E27" s="15">
        <f>IF(E$4="","",IFERROR(INDIRECT("'"&amp;E$4&amp;"'!"&amp;$AQ27),""))</f>
        <v>0</v>
      </c>
      <c r="F27" s="15">
        <f>IF(F$4="","",IFERROR(INDIRECT("'"&amp;F$4&amp;"'!"&amp;$AQ27),""))</f>
        <v>0</v>
      </c>
      <c r="G27" s="15">
        <f>IF(G$4="","",IFERROR(INDIRECT("'"&amp;G$4&amp;"'!"&amp;$AQ27),""))</f>
        <v>0</v>
      </c>
      <c r="H27" s="15">
        <f>IF(H$4="","",IFERROR(INDIRECT("'"&amp;H$4&amp;"'!"&amp;$AQ27),""))</f>
        <v>0</v>
      </c>
      <c r="I27" s="15">
        <f>IF(I$4="","",IFERROR(INDIRECT("'"&amp;I$4&amp;"'!"&amp;$AQ27),""))</f>
        <v>0</v>
      </c>
      <c r="J27" s="15">
        <f>IF(J$4="","",IFERROR(INDIRECT("'"&amp;J$4&amp;"'!"&amp;$AQ27),""))</f>
        <v>0</v>
      </c>
      <c r="K27" s="15">
        <f>IF(K$4="","",IFERROR(INDIRECT("'"&amp;K$4&amp;"'!"&amp;$AQ27),""))</f>
        <v>0</v>
      </c>
      <c r="L27" s="15">
        <f>IF(L$4="","",IFERROR(INDIRECT("'"&amp;L$4&amp;"'!"&amp;$AQ27),""))</f>
        <v>0</v>
      </c>
      <c r="M27" s="15">
        <f>IF(M$4="","",IFERROR(INDIRECT("'"&amp;M$4&amp;"'!"&amp;$AQ27),""))</f>
        <v>0</v>
      </c>
      <c r="N27" s="15">
        <f>IF(N$4="","",IFERROR(INDIRECT("'"&amp;N$4&amp;"'!"&amp;$AQ27),""))</f>
        <v>0</v>
      </c>
      <c r="O27" s="15">
        <f>IF(O$4="","",IFERROR(INDIRECT("'"&amp;O$4&amp;"'!"&amp;$AQ27),""))</f>
        <v>0</v>
      </c>
      <c r="P27" s="15">
        <f>IF(P$4="","",IFERROR(INDIRECT("'"&amp;P$4&amp;"'!"&amp;$AQ27),""))</f>
        <v>0</v>
      </c>
      <c r="Q27" s="15">
        <f>IF(Q$4="","",IFERROR(INDIRECT("'"&amp;Q$4&amp;"'!"&amp;$AQ27),""))</f>
        <v>0</v>
      </c>
      <c r="R27" s="15">
        <f>IF(R$4="","",IFERROR(INDIRECT("'"&amp;R$4&amp;"'!"&amp;$AQ27),""))</f>
        <v>0</v>
      </c>
      <c r="S27" s="15">
        <f>IF(S$4="","",IFERROR(INDIRECT("'"&amp;S$4&amp;"'!"&amp;$AQ27),""))</f>
        <v>0</v>
      </c>
      <c r="T27" s="15">
        <f>IF(T$4="","",IFERROR(INDIRECT("'"&amp;T$4&amp;"'!"&amp;$AQ27),""))</f>
        <v>0</v>
      </c>
      <c r="U27" s="15">
        <f>IF(U$4="","",IFERROR(INDIRECT("'"&amp;U$4&amp;"'!"&amp;$AQ27),""))</f>
        <v>0</v>
      </c>
      <c r="V27" s="15">
        <f>IF(V$4="","",IFERROR(INDIRECT("'"&amp;V$4&amp;"'!"&amp;$AQ27),""))</f>
        <v>0</v>
      </c>
      <c r="W27" s="15">
        <f>IF(W$4="","",IFERROR(INDIRECT("'"&amp;W$4&amp;"'!"&amp;$AQ27),""))</f>
        <v>0</v>
      </c>
      <c r="X27" s="15">
        <f>IF(X$4="","",IFERROR(INDIRECT("'"&amp;X$4&amp;"'!"&amp;$AQ27),""))</f>
        <v>0</v>
      </c>
      <c r="Y27" s="15">
        <f>IF(Y$4="","",IFERROR(INDIRECT("'"&amp;Y$4&amp;"'!"&amp;$AQ27),""))</f>
        <v>0</v>
      </c>
      <c r="Z27" s="15">
        <f>IF(Z$4="","",IFERROR(INDIRECT("'"&amp;Z$4&amp;"'!"&amp;$AQ27),""))</f>
        <v>0</v>
      </c>
      <c r="AA27" s="15">
        <f>IF(AA$4="","",IFERROR(INDIRECT("'"&amp;AA$4&amp;"'!"&amp;$AQ27),""))</f>
        <v>0</v>
      </c>
      <c r="AB27" s="15">
        <f>IF(AB$4="","",IFERROR(INDIRECT("'"&amp;AB$4&amp;"'!"&amp;$AQ27),""))</f>
        <v>0</v>
      </c>
      <c r="AC27" s="15">
        <f>IF(AC$4="","",IFERROR(INDIRECT("'"&amp;AC$4&amp;"'!"&amp;$AQ27),""))</f>
        <v>0</v>
      </c>
      <c r="AD27" s="15">
        <f>IF(AD$4="","",IFERROR(INDIRECT("'"&amp;AD$4&amp;"'!"&amp;$AQ27),""))</f>
        <v>0</v>
      </c>
      <c r="AE27" s="15">
        <f>IF(AE$4="","",IFERROR(INDIRECT("'"&amp;AE$4&amp;"'!"&amp;$AQ27),""))</f>
        <v>0</v>
      </c>
      <c r="AF27" s="15">
        <f>IF(AF$4="","",IFERROR(INDIRECT("'"&amp;AF$4&amp;"'!"&amp;$AQ27),""))</f>
        <v>0</v>
      </c>
      <c r="AG27" s="15">
        <f>IF(AG$4="","",IFERROR(INDIRECT("'"&amp;AG$4&amp;"'!"&amp;$AQ27),""))</f>
        <v>0</v>
      </c>
      <c r="AH27" s="15">
        <f>IF(AH$4="","",IFERROR(INDIRECT("'"&amp;AH$4&amp;"'!"&amp;$AQ27),""))</f>
        <v>0</v>
      </c>
      <c r="AI27" s="15">
        <f>IF(AI$4="","",IFERROR(INDIRECT("'"&amp;AI$4&amp;"'!"&amp;$AQ27),""))</f>
        <v>0</v>
      </c>
      <c r="AJ27" s="15">
        <f>IF(AJ$4="","",IFERROR(INDIRECT("'"&amp;AJ$4&amp;"'!"&amp;$AQ27),""))</f>
        <v>0</v>
      </c>
      <c r="AK27" s="15">
        <f>IF(AK$4="","",IFERROR(INDIRECT("'"&amp;AK$4&amp;"'!"&amp;$AQ27),""))</f>
        <v>0</v>
      </c>
      <c r="AL27" s="15">
        <f>IF(AL$4="","",IFERROR(INDIRECT("'"&amp;AL$4&amp;"'!"&amp;$AQ27),""))</f>
        <v>0</v>
      </c>
      <c r="AM27" s="15">
        <f>IF(AM$4="","",IFERROR(INDIRECT("'"&amp;AM$4&amp;"'!"&amp;$AQ27),""))</f>
        <v>0</v>
      </c>
      <c r="AN27" s="15">
        <f>IF(AN$4="","",IFERROR(INDIRECT("'"&amp;AN$4&amp;"'!"&amp;$AQ27),""))</f>
        <v>0</v>
      </c>
      <c r="AO27" s="15">
        <f>IF(AO$4="","",IFERROR(INDIRECT("'"&amp;AO$4&amp;"'!"&amp;$AQ27),""))</f>
        <v>0</v>
      </c>
      <c r="AQ27" t="s">
        <v>1725</v>
      </c>
    </row>
    <row r="28" spans="1:43" ht="45" customHeight="1">
      <c r="A28" s="17" t="s">
        <v>1726</v>
      </c>
      <c r="B28" s="13">
        <f>IF(B$4="","",IFERROR(INDIRECT("'"&amp;B$4&amp;"'!"&amp;$AQ28),""))</f>
        <v>0</v>
      </c>
      <c r="C28" s="13">
        <f>IF(C$4="","",IFERROR(INDIRECT("'"&amp;C$4&amp;"'!"&amp;$AQ28),""))</f>
        <v>0</v>
      </c>
      <c r="D28" s="13">
        <f>IF(D$4="","",IFERROR(INDIRECT("'"&amp;D$4&amp;"'!"&amp;$AQ28),""))</f>
        <v>0</v>
      </c>
      <c r="E28" s="13">
        <f>IF(E$4="","",IFERROR(INDIRECT("'"&amp;E$4&amp;"'!"&amp;$AQ28),""))</f>
        <v>0</v>
      </c>
      <c r="F28" s="13">
        <f>IF(F$4="","",IFERROR(INDIRECT("'"&amp;F$4&amp;"'!"&amp;$AQ28),""))</f>
        <v>0</v>
      </c>
      <c r="G28" s="13">
        <f>IF(G$4="","",IFERROR(INDIRECT("'"&amp;G$4&amp;"'!"&amp;$AQ28),""))</f>
        <v>0</v>
      </c>
      <c r="H28" s="13">
        <f>IF(H$4="","",IFERROR(INDIRECT("'"&amp;H$4&amp;"'!"&amp;$AQ28),""))</f>
        <v>0</v>
      </c>
      <c r="I28" s="13">
        <f>IF(I$4="","",IFERROR(INDIRECT("'"&amp;I$4&amp;"'!"&amp;$AQ28),""))</f>
        <v>0</v>
      </c>
      <c r="J28" s="13">
        <f>IF(J$4="","",IFERROR(INDIRECT("'"&amp;J$4&amp;"'!"&amp;$AQ28),""))</f>
        <v>0</v>
      </c>
      <c r="K28" s="13">
        <f>IF(K$4="","",IFERROR(INDIRECT("'"&amp;K$4&amp;"'!"&amp;$AQ28),""))</f>
        <v>0</v>
      </c>
      <c r="L28" s="13">
        <f>IF(L$4="","",IFERROR(INDIRECT("'"&amp;L$4&amp;"'!"&amp;$AQ28),""))</f>
        <v>0</v>
      </c>
      <c r="M28" s="13">
        <f>IF(M$4="","",IFERROR(INDIRECT("'"&amp;M$4&amp;"'!"&amp;$AQ28),""))</f>
        <v>0</v>
      </c>
      <c r="N28" s="13">
        <f>IF(N$4="","",IFERROR(INDIRECT("'"&amp;N$4&amp;"'!"&amp;$AQ28),""))</f>
        <v>0</v>
      </c>
      <c r="O28" s="13">
        <f>IF(O$4="","",IFERROR(INDIRECT("'"&amp;O$4&amp;"'!"&amp;$AQ28),""))</f>
        <v>0</v>
      </c>
      <c r="P28" s="13">
        <f>IF(P$4="","",IFERROR(INDIRECT("'"&amp;P$4&amp;"'!"&amp;$AQ28),""))</f>
        <v>0</v>
      </c>
      <c r="Q28" s="13">
        <f>IF(Q$4="","",IFERROR(INDIRECT("'"&amp;Q$4&amp;"'!"&amp;$AQ28),""))</f>
        <v>0</v>
      </c>
      <c r="R28" s="13">
        <f>IF(R$4="","",IFERROR(INDIRECT("'"&amp;R$4&amp;"'!"&amp;$AQ28),""))</f>
        <v>0</v>
      </c>
      <c r="S28" s="13">
        <f>IF(S$4="","",IFERROR(INDIRECT("'"&amp;S$4&amp;"'!"&amp;$AQ28),""))</f>
        <v>0</v>
      </c>
      <c r="T28" s="13">
        <f>IF(T$4="","",IFERROR(INDIRECT("'"&amp;T$4&amp;"'!"&amp;$AQ28),""))</f>
        <v>0</v>
      </c>
      <c r="U28" s="13">
        <f>IF(U$4="","",IFERROR(INDIRECT("'"&amp;U$4&amp;"'!"&amp;$AQ28),""))</f>
        <v>0</v>
      </c>
      <c r="V28" s="13">
        <f>IF(V$4="","",IFERROR(INDIRECT("'"&amp;V$4&amp;"'!"&amp;$AQ28),""))</f>
        <v>0</v>
      </c>
      <c r="W28" s="13">
        <f>IF(W$4="","",IFERROR(INDIRECT("'"&amp;W$4&amp;"'!"&amp;$AQ28),""))</f>
        <v>0</v>
      </c>
      <c r="X28" s="13">
        <f>IF(X$4="","",IFERROR(INDIRECT("'"&amp;X$4&amp;"'!"&amp;$AQ28),""))</f>
        <v>0</v>
      </c>
      <c r="Y28" s="13">
        <f>IF(Y$4="","",IFERROR(INDIRECT("'"&amp;Y$4&amp;"'!"&amp;$AQ28),""))</f>
        <v>0</v>
      </c>
      <c r="Z28" s="13">
        <f>IF(Z$4="","",IFERROR(INDIRECT("'"&amp;Z$4&amp;"'!"&amp;$AQ28),""))</f>
        <v>0</v>
      </c>
      <c r="AA28" s="13">
        <f>IF(AA$4="","",IFERROR(INDIRECT("'"&amp;AA$4&amp;"'!"&amp;$AQ28),""))</f>
        <v>0</v>
      </c>
      <c r="AB28" s="13">
        <f>IF(AB$4="","",IFERROR(INDIRECT("'"&amp;AB$4&amp;"'!"&amp;$AQ28),""))</f>
        <v>0</v>
      </c>
      <c r="AC28" s="13">
        <f>IF(AC$4="","",IFERROR(INDIRECT("'"&amp;AC$4&amp;"'!"&amp;$AQ28),""))</f>
        <v>0</v>
      </c>
      <c r="AD28" s="13">
        <f>IF(AD$4="","",IFERROR(INDIRECT("'"&amp;AD$4&amp;"'!"&amp;$AQ28),""))</f>
        <v>0</v>
      </c>
      <c r="AE28" s="13">
        <f>IF(AE$4="","",IFERROR(INDIRECT("'"&amp;AE$4&amp;"'!"&amp;$AQ28),""))</f>
        <v>0</v>
      </c>
      <c r="AF28" s="13">
        <f>IF(AF$4="","",IFERROR(INDIRECT("'"&amp;AF$4&amp;"'!"&amp;$AQ28),""))</f>
        <v>0</v>
      </c>
      <c r="AG28" s="13">
        <f>IF(AG$4="","",IFERROR(INDIRECT("'"&amp;AG$4&amp;"'!"&amp;$AQ28),""))</f>
        <v>0</v>
      </c>
      <c r="AH28" s="13">
        <f>IF(AH$4="","",IFERROR(INDIRECT("'"&amp;AH$4&amp;"'!"&amp;$AQ28),""))</f>
        <v>0</v>
      </c>
      <c r="AI28" s="13">
        <f>IF(AI$4="","",IFERROR(INDIRECT("'"&amp;AI$4&amp;"'!"&amp;$AQ28),""))</f>
        <v>0</v>
      </c>
      <c r="AJ28" s="13">
        <f>IF(AJ$4="","",IFERROR(INDIRECT("'"&amp;AJ$4&amp;"'!"&amp;$AQ28),""))</f>
        <v>0</v>
      </c>
      <c r="AK28" s="13">
        <f>IF(AK$4="","",IFERROR(INDIRECT("'"&amp;AK$4&amp;"'!"&amp;$AQ28),""))</f>
        <v>0</v>
      </c>
      <c r="AL28" s="13">
        <f>IF(AL$4="","",IFERROR(INDIRECT("'"&amp;AL$4&amp;"'!"&amp;$AQ28),""))</f>
        <v>0</v>
      </c>
      <c r="AM28" s="13">
        <f>IF(AM$4="","",IFERROR(INDIRECT("'"&amp;AM$4&amp;"'!"&amp;$AQ28),""))</f>
        <v>0</v>
      </c>
      <c r="AN28" s="13">
        <f>IF(AN$4="","",IFERROR(INDIRECT("'"&amp;AN$4&amp;"'!"&amp;$AQ28),""))</f>
        <v>0</v>
      </c>
      <c r="AO28" s="13">
        <f>IF(AO$4="","",IFERROR(INDIRECT("'"&amp;AO$4&amp;"'!"&amp;$AQ28),""))</f>
        <v>0</v>
      </c>
      <c r="AQ28" t="s">
        <v>138</v>
      </c>
    </row>
    <row r="30" spans="1:43">
      <c r="A30" s="21" t="s">
        <v>1727</v>
      </c>
    </row>
    <row r="31" spans="1:43" ht="32" customHeight="1">
      <c r="A31" s="4" t="s">
        <v>1728</v>
      </c>
      <c r="B31" s="4"/>
      <c r="C31" s="4"/>
      <c r="D31" s="4"/>
      <c r="E31" s="4"/>
      <c r="F31" s="4"/>
      <c r="G31" s="4"/>
      <c r="H31" s="4"/>
      <c r="I31" s="4"/>
    </row>
    <row r="32" spans="1:43" ht="32" customHeight="1">
      <c r="A32" s="4" t="s">
        <v>1729</v>
      </c>
      <c r="B32" s="4"/>
      <c r="C32" s="4"/>
      <c r="D32" s="4"/>
      <c r="E32" s="4"/>
      <c r="F32" s="4"/>
      <c r="G32" s="4"/>
      <c r="H32" s="4"/>
      <c r="I32" s="4"/>
    </row>
    <row r="33" spans="1:9" ht="32" customHeight="1">
      <c r="A33" s="4" t="s">
        <v>1730</v>
      </c>
      <c r="B33" s="4"/>
      <c r="C33" s="4"/>
      <c r="D33" s="4"/>
      <c r="E33" s="4"/>
      <c r="F33" s="4"/>
      <c r="G33" s="4"/>
      <c r="H33" s="4"/>
      <c r="I33" s="4"/>
    </row>
    <row r="34" spans="1:9" ht="32" customHeight="1">
      <c r="A34" s="4" t="s">
        <v>1731</v>
      </c>
      <c r="B34" s="4"/>
      <c r="C34" s="4"/>
      <c r="D34" s="4"/>
      <c r="E34" s="4"/>
      <c r="F34" s="4"/>
      <c r="G34" s="4"/>
      <c r="H34" s="4"/>
      <c r="I34" s="4"/>
    </row>
  </sheetData>
  <sheetProtection sheet="1" objects="1" scenarios="1" formatColumns="0" formatRows="0"/>
  <mergeCells count="4">
    <mergeCell ref="A31:I31"/>
    <mergeCell ref="A32:I32"/>
    <mergeCell ref="A33:I33"/>
    <mergeCell ref="A34:I34"/>
  </mergeCells>
  <conditionalFormatting sqref="B24:AO24">
    <cfRule type="expression" dxfId="1" priority="1">
      <formula>AND(ISNUMBER(B24),B24&gt;=8)</formula>
    </cfRule>
    <cfRule type="expression" dxfId="3" priority="2">
      <formula>AND(ISNUMBER(B24),B24&gt;=6,B24&lt;8)</formula>
    </cfRule>
    <cfRule type="expression" dxfId="0" priority="3">
      <formula>OR(AND(ISNUMBER(B24),B24&lt;6),B24="—")</formula>
    </cfRule>
  </conditionalFormatting>
  <conditionalFormatting sqref="B27:AO27">
    <cfRule type="expression" dxfId="2" priority="4">
      <formula>AND(ISNUMBER(B27),B27&gt;0)</formula>
    </cfRule>
  </conditionalFormatting>
  <dataValidations count="1">
    <dataValidation allowBlank="1" showInputMessage="1" showErrorMessage="1" promptTitle="Nom de l'onglet du dossier" prompt="Rempli par les macros. Sans macros, tapez ici le nom exact de l'onglet d'un dossier pour l'ajouter à la synthèse." sqref="B4:AO4"/>
  </dataValidations>
  <pageMargins left="0.7" right="0.7" top="0.75" bottom="0.75" header="0.3" footer="0.3"/>
  <pageSetup paperSize="9" fitToWidth="0" orientation="landscape"/>
</worksheet>
</file>

<file path=xl/worksheets/sheet3.xml><?xml version="1.0" encoding="utf-8"?>
<worksheet xmlns="http://schemas.openxmlformats.org/spreadsheetml/2006/main" xmlns:r="http://schemas.openxmlformats.org/officeDocument/2006/relationships">
  <sheetPr>
    <pageSetUpPr fitToPage="1"/>
  </sheetPr>
  <dimension ref="A1:F74"/>
  <sheetViews>
    <sheetView showGridLines="0" workbookViewId="0"/>
  </sheetViews>
  <sheetFormatPr defaultRowHeight="15"/>
  <cols>
    <col min="1" max="1" width="34.7109375" customWidth="1"/>
    <col min="2" max="6" width="15.7109375" customWidth="1"/>
    <col min="7" max="7" width="3.7109375" customWidth="1"/>
    <col min="8" max="8" width="24.7109375" customWidth="1"/>
  </cols>
  <sheetData>
    <row r="1" spans="1:6">
      <c r="A1" s="1" t="s">
        <v>1732</v>
      </c>
    </row>
    <row r="2" spans="1:6">
      <c r="A2" s="2" t="s">
        <v>1733</v>
      </c>
    </row>
    <row r="4" spans="1:6" ht="24" customHeight="1">
      <c r="A4" s="22" t="s">
        <v>1734</v>
      </c>
      <c r="B4" s="23" t="s">
        <v>136</v>
      </c>
      <c r="C4" s="23"/>
      <c r="D4" s="22" t="s">
        <v>1735</v>
      </c>
      <c r="E4" s="24">
        <f>TODAY()</f>
        <v>0</v>
      </c>
    </row>
    <row r="6" spans="1:6">
      <c r="A6" s="3" t="s">
        <v>1736</v>
      </c>
      <c r="B6" s="3"/>
      <c r="C6" s="3"/>
      <c r="D6" s="3"/>
      <c r="E6" s="3"/>
      <c r="F6" s="3"/>
    </row>
    <row r="7" spans="1:6">
      <c r="A7" s="22" t="s">
        <v>1737</v>
      </c>
      <c r="B7" s="13">
        <f>IF($B$4="","",IFERROR(IF(INDIRECT("'"&amp;$B$4&amp;"'!A1")="","",INDIRECT("'"&amp;$B$4&amp;"'!A1")),""))</f>
        <v>0</v>
      </c>
      <c r="C7" s="13"/>
      <c r="D7" s="13"/>
      <c r="E7" s="13"/>
      <c r="F7" s="13"/>
    </row>
    <row r="8" spans="1:6">
      <c r="A8" s="22" t="s">
        <v>1738</v>
      </c>
      <c r="B8" s="13">
        <f>IF($B$4="","",IFERROR(IF(INDIRECT("'"&amp;$B$4&amp;"'!A2")="","",INDIRECT("'"&amp;$B$4&amp;"'!A2")),""))</f>
        <v>0</v>
      </c>
      <c r="C8" s="13"/>
      <c r="D8" s="13"/>
      <c r="E8" s="13"/>
      <c r="F8" s="13"/>
    </row>
    <row r="9" spans="1:6">
      <c r="A9" s="22" t="s">
        <v>1697</v>
      </c>
      <c r="B9" s="7">
        <f>IF($B$4="","",IFERROR(IF(INDIRECT("'"&amp;$B$4&amp;"'!B15")="","",INDIRECT("'"&amp;$B$4&amp;"'!B15")),""))</f>
        <v>0</v>
      </c>
      <c r="C9" s="22" t="s">
        <v>1698</v>
      </c>
      <c r="D9" s="7">
        <f>IF($B$4="","",IFERROR(IF(INDIRECT("'"&amp;$B$4&amp;"'!B16")="","",INDIRECT("'"&amp;$B$4&amp;"'!B16")),""))</f>
        <v>0</v>
      </c>
      <c r="E9" s="22" t="s">
        <v>835</v>
      </c>
      <c r="F9" s="7">
        <f>IF($B$4="","",IFERROR(IF(INDIRECT("'"&amp;$B$4&amp;"'!B17")="","",INDIRECT("'"&amp;$B$4&amp;"'!B17")),""))</f>
        <v>0</v>
      </c>
    </row>
    <row r="10" spans="1:6" ht="48" customHeight="1">
      <c r="A10" s="22" t="s">
        <v>1739</v>
      </c>
      <c r="B10" s="13">
        <f>IF($B$4="","",IFERROR(IF(INDIRECT("'"&amp;$B$4&amp;"'!A3")="","",INDIRECT("'"&amp;$B$4&amp;"'!A3")),""))</f>
        <v>0</v>
      </c>
      <c r="C10" s="13"/>
      <c r="D10" s="13"/>
      <c r="E10" s="13"/>
      <c r="F10" s="13"/>
    </row>
    <row r="12" spans="1:6">
      <c r="A12" s="3" t="s">
        <v>1740</v>
      </c>
      <c r="B12" s="3"/>
      <c r="C12" s="3"/>
      <c r="D12" s="3"/>
      <c r="E12" s="3"/>
      <c r="F12" s="3"/>
    </row>
    <row r="13" spans="1:6" ht="34" customHeight="1">
      <c r="A13" s="22" t="s">
        <v>816</v>
      </c>
      <c r="B13" s="25">
        <f>IF($B$4="","",IFERROR(IF(INDIRECT("'"&amp;$B$4&amp;"'!B276")="","",INDIRECT("'"&amp;$B$4&amp;"'!B276")),""))</f>
        <v>0</v>
      </c>
      <c r="C13" s="26">
        <f>IF($B$4="","",IFERROR(IF(INDIRECT("'"&amp;$B$4&amp;"'!D6")="","",INDIRECT("'"&amp;$B$4&amp;"'!D6")),""))</f>
        <v>0</v>
      </c>
      <c r="D13" s="26"/>
      <c r="E13" s="26"/>
      <c r="F13" s="26"/>
    </row>
    <row r="14" spans="1:6" ht="30" customHeight="1">
      <c r="A14" s="22" t="s">
        <v>817</v>
      </c>
      <c r="B14" s="13">
        <f>IF($B$4="","",IFERROR(IF(INDIRECT("'"&amp;$B$4&amp;"'!B277")="","",INDIRECT("'"&amp;$B$4&amp;"'!B277")),""))</f>
        <v>0</v>
      </c>
      <c r="C14" s="13"/>
      <c r="D14" s="13"/>
      <c r="E14" s="13"/>
      <c r="F14" s="13"/>
    </row>
    <row r="15" spans="1:6">
      <c r="A15" s="22" t="s">
        <v>109</v>
      </c>
      <c r="B15" s="13">
        <f>IF($B$4="","",IFERROR(IF(INDIRECT("'"&amp;$B$4&amp;"'!F11")="","",INDIRECT("'"&amp;$B$4&amp;"'!F11")),""))</f>
        <v>0</v>
      </c>
      <c r="C15" s="13"/>
      <c r="D15" s="13"/>
      <c r="E15" s="13"/>
      <c r="F15" s="13"/>
    </row>
    <row r="16" spans="1:6">
      <c r="A16" s="22" t="s">
        <v>818</v>
      </c>
      <c r="B16" s="14">
        <f>IF($B$4="","",IFERROR(IF(INDIRECT("'"&amp;$B$4&amp;"'!B238")="","",INDIRECT("'"&amp;$B$4&amp;"'!B238")),""))</f>
        <v>0</v>
      </c>
      <c r="C16" s="22" t="s">
        <v>819</v>
      </c>
      <c r="D16" s="27">
        <f>IF($B$4="","",IFERROR(IF(INDIRECT("'"&amp;$B$4&amp;"'!B239")="","",INDIRECT("'"&amp;$B$4&amp;"'!B239")),""))</f>
        <v>0</v>
      </c>
      <c r="E16" s="22" t="s">
        <v>131</v>
      </c>
      <c r="F16" s="14">
        <f>IF($B$4="","",IFERROR(IF(INDIRECT("'"&amp;$B$4&amp;"'!F7")="","",INDIRECT("'"&amp;$B$4&amp;"'!F7")),""))</f>
        <v>0</v>
      </c>
    </row>
    <row r="17" spans="1:6" ht="30" customHeight="1">
      <c r="A17" s="22" t="s">
        <v>821</v>
      </c>
      <c r="B17" s="13">
        <f>IF($B$4="","",IFERROR(IF(INDIRECT("'"&amp;$B$4&amp;"'!B8")="","",INDIRECT("'"&amp;$B$4&amp;"'!B8")),""))</f>
        <v>0</v>
      </c>
      <c r="C17" s="13"/>
      <c r="D17" s="13"/>
      <c r="E17" s="13"/>
      <c r="F17" s="13"/>
    </row>
    <row r="18" spans="1:6">
      <c r="A18" s="22" t="s">
        <v>1741</v>
      </c>
      <c r="B18" s="13">
        <f>IF($B$4="","",IFERROR(IF(INDIRECT("'"&amp;$B$4&amp;"'!B9")="","",INDIRECT("'"&amp;$B$4&amp;"'!B9")),""))</f>
        <v>0</v>
      </c>
      <c r="C18" s="13"/>
      <c r="D18" s="13"/>
      <c r="E18" s="13"/>
      <c r="F18" s="13"/>
    </row>
    <row r="19" spans="1:6">
      <c r="A19" s="22" t="s">
        <v>1724</v>
      </c>
      <c r="B19" s="27">
        <f>IF($B$4="","",IFERROR(IF(INDIRECT("'"&amp;$B$4&amp;"'!B4")="","",INDIRECT("'"&amp;$B$4&amp;"'!B4")),""))</f>
        <v>0</v>
      </c>
      <c r="C19" s="13">
        <f>IF($B$4="","",IFERROR(IF(INDIRECT("'"&amp;$B$4&amp;"'!C4")="","",INDIRECT("'"&amp;$B$4&amp;"'!C4")),""))</f>
        <v>0</v>
      </c>
      <c r="D19" s="13"/>
      <c r="E19" s="13"/>
      <c r="F19" s="13"/>
    </row>
    <row r="21" spans="1:6">
      <c r="A21" s="3" t="s">
        <v>1742</v>
      </c>
      <c r="B21" s="3"/>
      <c r="C21" s="3"/>
      <c r="D21" s="3"/>
      <c r="E21" s="3"/>
      <c r="F21" s="3"/>
    </row>
    <row r="22" spans="1:6">
      <c r="A22" s="22" t="s">
        <v>1699</v>
      </c>
      <c r="B22" s="7">
        <f>IF($B$4="","",IFERROR(IF(INDIRECT("'"&amp;$B$4&amp;"'!B18")="","",INDIRECT("'"&amp;$B$4&amp;"'!B18")),""))</f>
        <v>0</v>
      </c>
      <c r="C22" s="13">
        <f>IF($B$4="","",IFERROR(IF(INDIRECT("'"&amp;$B$4&amp;"'!C18")="","",INDIRECT("'"&amp;$B$4&amp;"'!C18")),""))</f>
        <v>0</v>
      </c>
      <c r="D22" s="13"/>
      <c r="E22" s="13"/>
      <c r="F22" s="13"/>
    </row>
    <row r="23" spans="1:6">
      <c r="A23" s="22" t="s">
        <v>19</v>
      </c>
      <c r="B23" s="7">
        <f>IF($B$4="","",IFERROR(IF(INDIRECT("'"&amp;$B$4&amp;"'!B19")="","",INDIRECT("'"&amp;$B$4&amp;"'!B19")),""))</f>
        <v>0</v>
      </c>
      <c r="C23" s="13">
        <f>IF($B$4="","",IFERROR(IF(INDIRECT("'"&amp;$B$4&amp;"'!C19")="","",INDIRECT("'"&amp;$B$4&amp;"'!C19")),""))</f>
        <v>0</v>
      </c>
      <c r="D23" s="13"/>
      <c r="E23" s="13"/>
      <c r="F23" s="13"/>
    </row>
    <row r="24" spans="1:6">
      <c r="A24" s="22" t="s">
        <v>46</v>
      </c>
      <c r="B24" s="7">
        <f>IF($B$4="","",IFERROR(IF(INDIRECT("'"&amp;$B$4&amp;"'!B20")="","",INDIRECT("'"&amp;$B$4&amp;"'!B20")),""))</f>
        <v>0</v>
      </c>
      <c r="C24" s="13">
        <f>IF($B$4="","",IFERROR(IF(INDIRECT("'"&amp;$B$4&amp;"'!C20")="","",INDIRECT("'"&amp;$B$4&amp;"'!C20")),""))</f>
        <v>0</v>
      </c>
      <c r="D24" s="13"/>
      <c r="E24" s="13"/>
      <c r="F24" s="13"/>
    </row>
    <row r="25" spans="1:6" ht="30" customHeight="1">
      <c r="A25" s="22" t="s">
        <v>1743</v>
      </c>
      <c r="B25" s="7">
        <f>IF($B$4="","",IFERROR(IF(INDIRECT("'"&amp;$B$4&amp;"'!B38")="","",INDIRECT("'"&amp;$B$4&amp;"'!B38")),""))</f>
        <v>0</v>
      </c>
      <c r="C25" s="13">
        <f>IF($B$4="","",IFERROR(IF(INDIRECT("'"&amp;$B$4&amp;"'!C38")="","",INDIRECT("'"&amp;$B$4&amp;"'!C38")),""))</f>
        <v>0</v>
      </c>
      <c r="D25" s="13"/>
      <c r="E25" s="13"/>
      <c r="F25" s="13"/>
    </row>
    <row r="27" spans="1:6">
      <c r="A27" s="3" t="s">
        <v>1744</v>
      </c>
      <c r="B27" s="3"/>
      <c r="C27" s="3"/>
      <c r="D27" s="3"/>
      <c r="E27" s="3"/>
      <c r="F27" s="3"/>
    </row>
    <row r="28" spans="1:6">
      <c r="A28" s="11" t="s">
        <v>76</v>
      </c>
      <c r="B28" s="11" t="s">
        <v>94</v>
      </c>
      <c r="C28" s="11" t="s">
        <v>1745</v>
      </c>
      <c r="D28" s="11" t="s">
        <v>93</v>
      </c>
      <c r="E28" s="11"/>
      <c r="F28" s="11"/>
    </row>
    <row r="29" spans="1:6">
      <c r="A29" s="17" t="s">
        <v>1746</v>
      </c>
      <c r="B29" s="19">
        <f>IF($B$4="","",IFERROR(IF(INDIRECT("'"&amp;$B$4&amp;"'!D154")="","",INDIRECT("'"&amp;$B$4&amp;"'!D154")),""))</f>
        <v>0</v>
      </c>
      <c r="C29" s="18">
        <f>IF($B$4="","",IFERROR(IF(INDIRECT("'"&amp;$B$4&amp;"'!B88")="","",INDIRECT("'"&amp;$B$4&amp;"'!B88")),""))</f>
        <v>0</v>
      </c>
      <c r="D29" s="7">
        <f>IF($B$4="","",IFERROR(IF(INDIRECT("'"&amp;$B$4&amp;"'!E154")="","",INDIRECT("'"&amp;$B$4&amp;"'!E154")),""))</f>
        <v>0</v>
      </c>
      <c r="E29" s="7"/>
      <c r="F29" s="7"/>
    </row>
    <row r="30" spans="1:6">
      <c r="A30" s="17" t="s">
        <v>929</v>
      </c>
      <c r="B30" s="19">
        <f>IF($B$4="","",IFERROR(IF(INDIRECT("'"&amp;$B$4&amp;"'!D155")="","",INDIRECT("'"&amp;$B$4&amp;"'!D155")),""))</f>
        <v>0</v>
      </c>
      <c r="C30" s="17"/>
      <c r="D30" s="7">
        <f>IF($B$4="","",IFERROR(IF(INDIRECT("'"&amp;$B$4&amp;"'!E155")="","",INDIRECT("'"&amp;$B$4&amp;"'!E155")),""))</f>
        <v>0</v>
      </c>
      <c r="E30" s="7"/>
      <c r="F30" s="7"/>
    </row>
    <row r="31" spans="1:6">
      <c r="A31" s="17" t="s">
        <v>1707</v>
      </c>
      <c r="B31" s="19">
        <f>IF($B$4="","",IFERROR(IF(INDIRECT("'"&amp;$B$4&amp;"'!D156")="","",INDIRECT("'"&amp;$B$4&amp;"'!D156")),""))</f>
        <v>0</v>
      </c>
      <c r="C31" s="17"/>
      <c r="D31" s="7"/>
      <c r="E31" s="7"/>
      <c r="F31" s="7"/>
    </row>
    <row r="32" spans="1:6">
      <c r="A32" s="17" t="s">
        <v>1709</v>
      </c>
      <c r="B32" s="19">
        <f>IF($B$4="","",IFERROR(IF(INDIRECT("'"&amp;$B$4&amp;"'!D157")="","",INDIRECT("'"&amp;$B$4&amp;"'!D157")),""))</f>
        <v>0</v>
      </c>
      <c r="C32" s="17"/>
      <c r="D32" s="7"/>
      <c r="E32" s="7"/>
      <c r="F32" s="7"/>
    </row>
    <row r="33" spans="1:6">
      <c r="A33" s="17" t="s">
        <v>1747</v>
      </c>
      <c r="B33" s="28">
        <f>IF($B$4="","",IFERROR(IF(INDIRECT("'"&amp;$B$4&amp;"'!B51")="","",INDIRECT("'"&amp;$B$4&amp;"'!B51")),""))</f>
        <v>0</v>
      </c>
      <c r="C33" s="17"/>
      <c r="D33" s="7"/>
      <c r="E33" s="7"/>
      <c r="F33" s="7"/>
    </row>
    <row r="34" spans="1:6">
      <c r="A34" s="17" t="s">
        <v>1748</v>
      </c>
      <c r="B34" s="28">
        <f>IF($B$4="","",IFERROR(IF(INDIRECT("'"&amp;$B$4&amp;"'!B52")="","",INDIRECT("'"&amp;$B$4&amp;"'!B52")),""))</f>
        <v>0</v>
      </c>
      <c r="C34" s="28">
        <f>P_C9</f>
        <v>0</v>
      </c>
      <c r="D34" s="7"/>
      <c r="E34" s="7"/>
      <c r="F34" s="7"/>
    </row>
    <row r="35" spans="1:6">
      <c r="A35" s="17" t="s">
        <v>1749</v>
      </c>
      <c r="B35" s="18">
        <f>IF($B$4="","",IFERROR(IF(INDIRECT("'"&amp;$B$4&amp;"'!B172")="","",INDIRECT("'"&amp;$B$4&amp;"'!B172")),""))</f>
        <v>0</v>
      </c>
      <c r="C35" s="18">
        <f>P_C4</f>
        <v>0</v>
      </c>
      <c r="D35" s="7"/>
      <c r="E35" s="7"/>
      <c r="F35" s="7"/>
    </row>
    <row r="36" spans="1:6">
      <c r="A36" s="17" t="s">
        <v>1750</v>
      </c>
      <c r="B36" s="20">
        <f>IF($B$4="","",IFERROR(IF(INDIRECT("'"&amp;$B$4&amp;"'!B173")="","",INDIRECT("'"&amp;$B$4&amp;"'!B173")),""))</f>
        <v>0</v>
      </c>
      <c r="C36" s="20">
        <f>P_C7</f>
        <v>0</v>
      </c>
      <c r="D36" s="7"/>
      <c r="E36" s="7"/>
      <c r="F36" s="7"/>
    </row>
    <row r="37" spans="1:6">
      <c r="A37" s="17" t="s">
        <v>1751</v>
      </c>
      <c r="B37" s="29">
        <f>IF($B$4="","",IFERROR(IF(INDIRECT("'"&amp;$B$4&amp;"'!B25")="","",INDIRECT("'"&amp;$B$4&amp;"'!B25")),""))</f>
        <v>0</v>
      </c>
      <c r="C37" s="17"/>
      <c r="D37" s="7"/>
      <c r="E37" s="7"/>
      <c r="F37" s="7"/>
    </row>
    <row r="38" spans="1:6">
      <c r="A38" s="17" t="s">
        <v>848</v>
      </c>
      <c r="B38" s="29">
        <f>IF($B$4="","",IFERROR(IF(INDIRECT("'"&amp;$B$4&amp;"'!B26")="","",INDIRECT("'"&amp;$B$4&amp;"'!B26")),""))</f>
        <v>0</v>
      </c>
      <c r="C38" s="17"/>
      <c r="D38" s="7"/>
      <c r="E38" s="7"/>
      <c r="F38" s="7"/>
    </row>
    <row r="40" spans="1:6">
      <c r="A40" s="3" t="s">
        <v>1752</v>
      </c>
      <c r="B40" s="3"/>
      <c r="C40" s="3"/>
      <c r="D40" s="3"/>
      <c r="E40" s="3"/>
      <c r="F40" s="3"/>
    </row>
    <row r="41" spans="1:6">
      <c r="A41" s="11" t="s">
        <v>882</v>
      </c>
      <c r="B41" s="11" t="s">
        <v>865</v>
      </c>
      <c r="C41" s="11"/>
      <c r="D41" s="11" t="s">
        <v>883</v>
      </c>
      <c r="E41" s="11" t="s">
        <v>884</v>
      </c>
      <c r="F41" s="11" t="s">
        <v>885</v>
      </c>
    </row>
    <row r="42" spans="1:6">
      <c r="A42" s="13">
        <f>IF($B$4="","",IFERROR(IF(INDIRECT("'"&amp;$B$4&amp;"'!A57")="","",INDIRECT("'"&amp;$B$4&amp;"'!A57")),""))</f>
        <v>0</v>
      </c>
      <c r="B42" s="13">
        <f>IF($B$4="","",IFERROR(IF(INDIRECT("'"&amp;$B$4&amp;"'!B57")="","",INDIRECT("'"&amp;$B$4&amp;"'!B57")),""))</f>
        <v>0</v>
      </c>
      <c r="C42" s="13"/>
      <c r="D42" s="29">
        <f>IF($B$4="","",IFERROR(IF(INDIRECT("'"&amp;$B$4&amp;"'!E57")="","",INDIRECT("'"&amp;$B$4&amp;"'!E57")),""))</f>
        <v>0</v>
      </c>
      <c r="E42" s="7">
        <f>IF($B$4="","",IFERROR(IF(INDIRECT("'"&amp;$B$4&amp;"'!F57")="","",INDIRECT("'"&amp;$B$4&amp;"'!F57")),""))</f>
        <v>0</v>
      </c>
      <c r="F42" s="20">
        <f>IF($B$4="","",IFERROR(IF(INDIRECT("'"&amp;$B$4&amp;"'!G57")="","",INDIRECT("'"&amp;$B$4&amp;"'!G57")),""))</f>
        <v>0</v>
      </c>
    </row>
    <row r="43" spans="1:6">
      <c r="A43" s="13">
        <f>IF($B$4="","",IFERROR(IF(INDIRECT("'"&amp;$B$4&amp;"'!A58")="","",INDIRECT("'"&amp;$B$4&amp;"'!A58")),""))</f>
        <v>0</v>
      </c>
      <c r="B43" s="13">
        <f>IF($B$4="","",IFERROR(IF(INDIRECT("'"&amp;$B$4&amp;"'!B58")="","",INDIRECT("'"&amp;$B$4&amp;"'!B58")),""))</f>
        <v>0</v>
      </c>
      <c r="C43" s="13"/>
      <c r="D43" s="29">
        <f>IF($B$4="","",IFERROR(IF(INDIRECT("'"&amp;$B$4&amp;"'!E58")="","",INDIRECT("'"&amp;$B$4&amp;"'!E58")),""))</f>
        <v>0</v>
      </c>
      <c r="E43" s="7">
        <f>IF($B$4="","",IFERROR(IF(INDIRECT("'"&amp;$B$4&amp;"'!F58")="","",INDIRECT("'"&amp;$B$4&amp;"'!F58")),""))</f>
        <v>0</v>
      </c>
      <c r="F43" s="20">
        <f>IF($B$4="","",IFERROR(IF(INDIRECT("'"&amp;$B$4&amp;"'!G58")="","",INDIRECT("'"&amp;$B$4&amp;"'!G58")),""))</f>
        <v>0</v>
      </c>
    </row>
    <row r="44" spans="1:6">
      <c r="A44" s="13">
        <f>IF($B$4="","",IFERROR(IF(INDIRECT("'"&amp;$B$4&amp;"'!A59")="","",INDIRECT("'"&amp;$B$4&amp;"'!A59")),""))</f>
        <v>0</v>
      </c>
      <c r="B44" s="13">
        <f>IF($B$4="","",IFERROR(IF(INDIRECT("'"&amp;$B$4&amp;"'!B59")="","",INDIRECT("'"&amp;$B$4&amp;"'!B59")),""))</f>
        <v>0</v>
      </c>
      <c r="C44" s="13"/>
      <c r="D44" s="29">
        <f>IF($B$4="","",IFERROR(IF(INDIRECT("'"&amp;$B$4&amp;"'!E59")="","",INDIRECT("'"&amp;$B$4&amp;"'!E59")),""))</f>
        <v>0</v>
      </c>
      <c r="E44" s="7">
        <f>IF($B$4="","",IFERROR(IF(INDIRECT("'"&amp;$B$4&amp;"'!F59")="","",INDIRECT("'"&amp;$B$4&amp;"'!F59")),""))</f>
        <v>0</v>
      </c>
      <c r="F44" s="20">
        <f>IF($B$4="","",IFERROR(IF(INDIRECT("'"&amp;$B$4&amp;"'!G59")="","",INDIRECT("'"&amp;$B$4&amp;"'!G59")),""))</f>
        <v>0</v>
      </c>
    </row>
    <row r="45" spans="1:6">
      <c r="A45" s="13">
        <f>IF($B$4="","",IFERROR(IF(INDIRECT("'"&amp;$B$4&amp;"'!A60")="","",INDIRECT("'"&amp;$B$4&amp;"'!A60")),""))</f>
        <v>0</v>
      </c>
      <c r="B45" s="13">
        <f>IF($B$4="","",IFERROR(IF(INDIRECT("'"&amp;$B$4&amp;"'!B60")="","",INDIRECT("'"&amp;$B$4&amp;"'!B60")),""))</f>
        <v>0</v>
      </c>
      <c r="C45" s="13"/>
      <c r="D45" s="29">
        <f>IF($B$4="","",IFERROR(IF(INDIRECT("'"&amp;$B$4&amp;"'!E60")="","",INDIRECT("'"&amp;$B$4&amp;"'!E60")),""))</f>
        <v>0</v>
      </c>
      <c r="E45" s="7">
        <f>IF($B$4="","",IFERROR(IF(INDIRECT("'"&amp;$B$4&amp;"'!F60")="","",INDIRECT("'"&amp;$B$4&amp;"'!F60")),""))</f>
        <v>0</v>
      </c>
      <c r="F45" s="20">
        <f>IF($B$4="","",IFERROR(IF(INDIRECT("'"&amp;$B$4&amp;"'!G60")="","",INDIRECT("'"&amp;$B$4&amp;"'!G60")),""))</f>
        <v>0</v>
      </c>
    </row>
    <row r="46" spans="1:6">
      <c r="A46" s="13">
        <f>IF($B$4="","",IFERROR(IF(INDIRECT("'"&amp;$B$4&amp;"'!A61")="","",INDIRECT("'"&amp;$B$4&amp;"'!A61")),""))</f>
        <v>0</v>
      </c>
      <c r="B46" s="13">
        <f>IF($B$4="","",IFERROR(IF(INDIRECT("'"&amp;$B$4&amp;"'!B61")="","",INDIRECT("'"&amp;$B$4&amp;"'!B61")),""))</f>
        <v>0</v>
      </c>
      <c r="C46" s="13"/>
      <c r="D46" s="29">
        <f>IF($B$4="","",IFERROR(IF(INDIRECT("'"&amp;$B$4&amp;"'!E61")="","",INDIRECT("'"&amp;$B$4&amp;"'!E61")),""))</f>
        <v>0</v>
      </c>
      <c r="E46" s="7">
        <f>IF($B$4="","",IFERROR(IF(INDIRECT("'"&amp;$B$4&amp;"'!F61")="","",INDIRECT("'"&amp;$B$4&amp;"'!F61")),""))</f>
        <v>0</v>
      </c>
      <c r="F46" s="20">
        <f>IF($B$4="","",IFERROR(IF(INDIRECT("'"&amp;$B$4&amp;"'!G61")="","",INDIRECT("'"&amp;$B$4&amp;"'!G61")),""))</f>
        <v>0</v>
      </c>
    </row>
    <row r="47" spans="1:6">
      <c r="A47" s="13">
        <f>IF($B$4="","",IFERROR(IF(INDIRECT("'"&amp;$B$4&amp;"'!A62")="","",INDIRECT("'"&amp;$B$4&amp;"'!A62")),""))</f>
        <v>0</v>
      </c>
      <c r="B47" s="13">
        <f>IF($B$4="","",IFERROR(IF(INDIRECT("'"&amp;$B$4&amp;"'!B62")="","",INDIRECT("'"&amp;$B$4&amp;"'!B62")),""))</f>
        <v>0</v>
      </c>
      <c r="C47" s="13"/>
      <c r="D47" s="29">
        <f>IF($B$4="","",IFERROR(IF(INDIRECT("'"&amp;$B$4&amp;"'!E62")="","",INDIRECT("'"&amp;$B$4&amp;"'!E62")),""))</f>
        <v>0</v>
      </c>
      <c r="E47" s="7">
        <f>IF($B$4="","",IFERROR(IF(INDIRECT("'"&amp;$B$4&amp;"'!F62")="","",INDIRECT("'"&amp;$B$4&amp;"'!F62")),""))</f>
        <v>0</v>
      </c>
      <c r="F47" s="20">
        <f>IF($B$4="","",IFERROR(IF(INDIRECT("'"&amp;$B$4&amp;"'!G62")="","",INDIRECT("'"&amp;$B$4&amp;"'!G62")),""))</f>
        <v>0</v>
      </c>
    </row>
    <row r="48" spans="1:6">
      <c r="A48" s="21" t="s">
        <v>1753</v>
      </c>
      <c r="B48" s="21"/>
      <c r="C48" s="21"/>
      <c r="D48" s="30">
        <f>IF($B$4="","",IFERROR(IF(INDIRECT("'"&amp;$B$4&amp;"'!E63")="","",INDIRECT("'"&amp;$B$4&amp;"'!E63")),""))</f>
        <v>0</v>
      </c>
    </row>
    <row r="49" spans="1:6">
      <c r="A49" s="3" t="s">
        <v>1754</v>
      </c>
      <c r="B49" s="3"/>
      <c r="C49" s="3"/>
      <c r="D49" s="3"/>
      <c r="E49" s="3"/>
      <c r="F49" s="3"/>
    </row>
    <row r="50" spans="1:6">
      <c r="A50" s="11" t="s">
        <v>55</v>
      </c>
      <c r="B50" s="11" t="s">
        <v>1755</v>
      </c>
      <c r="C50" s="11" t="s">
        <v>1756</v>
      </c>
      <c r="D50" s="11" t="s">
        <v>934</v>
      </c>
    </row>
    <row r="51" spans="1:6">
      <c r="A51" s="17">
        <f>IF($B$4="","",IFERROR(IF(INDIRECT("'"&amp;$B$4&amp;"'!A229")="","",INDIRECT("'"&amp;$B$4&amp;"'!A229")),""))</f>
        <v>0</v>
      </c>
      <c r="B51" s="20">
        <f>IF($B$4="","",IFERROR(IF(INDIRECT("'"&amp;$B$4&amp;"'!B229")="","",INDIRECT("'"&amp;$B$4&amp;"'!B229")),""))</f>
        <v>0</v>
      </c>
      <c r="C51" s="28">
        <f>IF($B$4="","",IFERROR(IF(INDIRECT("'"&amp;$B$4&amp;"'!C229")="","",INDIRECT("'"&amp;$B$4&amp;"'!C229")),""))</f>
        <v>0</v>
      </c>
      <c r="D51" s="20">
        <f>IF($B$4="","",IFERROR(IF(INDIRECT("'"&amp;$B$4&amp;"'!D229")="","",INDIRECT("'"&amp;$B$4&amp;"'!D229")),""))</f>
        <v>0</v>
      </c>
    </row>
    <row r="52" spans="1:6">
      <c r="A52" s="17">
        <f>IF($B$4="","",IFERROR(IF(INDIRECT("'"&amp;$B$4&amp;"'!A230")="","",INDIRECT("'"&amp;$B$4&amp;"'!A230")),""))</f>
        <v>0</v>
      </c>
      <c r="B52" s="20">
        <f>IF($B$4="","",IFERROR(IF(INDIRECT("'"&amp;$B$4&amp;"'!B230")="","",INDIRECT("'"&amp;$B$4&amp;"'!B230")),""))</f>
        <v>0</v>
      </c>
      <c r="C52" s="28">
        <f>IF($B$4="","",IFERROR(IF(INDIRECT("'"&amp;$B$4&amp;"'!C230")="","",INDIRECT("'"&amp;$B$4&amp;"'!C230")),""))</f>
        <v>0</v>
      </c>
      <c r="D52" s="20">
        <f>IF($B$4="","",IFERROR(IF(INDIRECT("'"&amp;$B$4&amp;"'!D230")="","",INDIRECT("'"&amp;$B$4&amp;"'!D230")),""))</f>
        <v>0</v>
      </c>
    </row>
    <row r="53" spans="1:6">
      <c r="A53" s="17">
        <f>IF($B$4="","",IFERROR(IF(INDIRECT("'"&amp;$B$4&amp;"'!A231")="","",INDIRECT("'"&amp;$B$4&amp;"'!A231")),""))</f>
        <v>0</v>
      </c>
      <c r="B53" s="20">
        <f>IF($B$4="","",IFERROR(IF(INDIRECT("'"&amp;$B$4&amp;"'!B231")="","",INDIRECT("'"&amp;$B$4&amp;"'!B231")),""))</f>
        <v>0</v>
      </c>
      <c r="C53" s="28">
        <f>IF($B$4="","",IFERROR(IF(INDIRECT("'"&amp;$B$4&amp;"'!C231")="","",INDIRECT("'"&amp;$B$4&amp;"'!C231")),""))</f>
        <v>0</v>
      </c>
      <c r="D53" s="20">
        <f>IF($B$4="","",IFERROR(IF(INDIRECT("'"&amp;$B$4&amp;"'!D231")="","",INDIRECT("'"&amp;$B$4&amp;"'!D231")),""))</f>
        <v>0</v>
      </c>
    </row>
    <row r="54" spans="1:6">
      <c r="A54" s="17">
        <f>IF($B$4="","",IFERROR(IF(INDIRECT("'"&amp;$B$4&amp;"'!A232")="","",INDIRECT("'"&amp;$B$4&amp;"'!A232")),""))</f>
        <v>0</v>
      </c>
      <c r="B54" s="20">
        <f>IF($B$4="","",IFERROR(IF(INDIRECT("'"&amp;$B$4&amp;"'!B232")="","",INDIRECT("'"&amp;$B$4&amp;"'!B232")),""))</f>
        <v>0</v>
      </c>
      <c r="C54" s="28">
        <f>IF($B$4="","",IFERROR(IF(INDIRECT("'"&amp;$B$4&amp;"'!C232")="","",INDIRECT("'"&amp;$B$4&amp;"'!C232")),""))</f>
        <v>0</v>
      </c>
      <c r="D54" s="20">
        <f>IF($B$4="","",IFERROR(IF(INDIRECT("'"&amp;$B$4&amp;"'!D232")="","",INDIRECT("'"&amp;$B$4&amp;"'!D232")),""))</f>
        <v>0</v>
      </c>
    </row>
    <row r="55" spans="1:6">
      <c r="A55" s="17">
        <f>IF($B$4="","",IFERROR(IF(INDIRECT("'"&amp;$B$4&amp;"'!A233")="","",INDIRECT("'"&amp;$B$4&amp;"'!A233")),""))</f>
        <v>0</v>
      </c>
      <c r="B55" s="20">
        <f>IF($B$4="","",IFERROR(IF(INDIRECT("'"&amp;$B$4&amp;"'!B233")="","",INDIRECT("'"&amp;$B$4&amp;"'!B233")),""))</f>
        <v>0</v>
      </c>
      <c r="C55" s="28">
        <f>IF($B$4="","",IFERROR(IF(INDIRECT("'"&amp;$B$4&amp;"'!C233")="","",INDIRECT("'"&amp;$B$4&amp;"'!C233")),""))</f>
        <v>0</v>
      </c>
      <c r="D55" s="20">
        <f>IF($B$4="","",IFERROR(IF(INDIRECT("'"&amp;$B$4&amp;"'!D233")="","",INDIRECT("'"&amp;$B$4&amp;"'!D233")),""))</f>
        <v>0</v>
      </c>
    </row>
    <row r="56" spans="1:6">
      <c r="A56" s="17">
        <f>IF($B$4="","",IFERROR(IF(INDIRECT("'"&amp;$B$4&amp;"'!A234")="","",INDIRECT("'"&amp;$B$4&amp;"'!A234")),""))</f>
        <v>0</v>
      </c>
      <c r="B56" s="20">
        <f>IF($B$4="","",IFERROR(IF(INDIRECT("'"&amp;$B$4&amp;"'!B234")="","",INDIRECT("'"&amp;$B$4&amp;"'!B234")),""))</f>
        <v>0</v>
      </c>
      <c r="C56" s="28">
        <f>IF($B$4="","",IFERROR(IF(INDIRECT("'"&amp;$B$4&amp;"'!C234")="","",INDIRECT("'"&amp;$B$4&amp;"'!C234")),""))</f>
        <v>0</v>
      </c>
      <c r="D56" s="20">
        <f>IF($B$4="","",IFERROR(IF(INDIRECT("'"&amp;$B$4&amp;"'!D234")="","",INDIRECT("'"&amp;$B$4&amp;"'!D234")),""))</f>
        <v>0</v>
      </c>
    </row>
    <row r="57" spans="1:6">
      <c r="A57" s="17">
        <f>IF($B$4="","",IFERROR(IF(INDIRECT("'"&amp;$B$4&amp;"'!A235")="","",INDIRECT("'"&amp;$B$4&amp;"'!A235")),""))</f>
        <v>0</v>
      </c>
      <c r="B57" s="20">
        <f>IF($B$4="","",IFERROR(IF(INDIRECT("'"&amp;$B$4&amp;"'!B235")="","",INDIRECT("'"&amp;$B$4&amp;"'!B235")),""))</f>
        <v>0</v>
      </c>
      <c r="C57" s="28">
        <f>IF($B$4="","",IFERROR(IF(INDIRECT("'"&amp;$B$4&amp;"'!C235")="","",INDIRECT("'"&amp;$B$4&amp;"'!C235")),""))</f>
        <v>0</v>
      </c>
      <c r="D57" s="20">
        <f>IF($B$4="","",IFERROR(IF(INDIRECT("'"&amp;$B$4&amp;"'!D235")="","",INDIRECT("'"&amp;$B$4&amp;"'!D235")),""))</f>
        <v>0</v>
      </c>
    </row>
    <row r="58" spans="1:6">
      <c r="A58" s="17">
        <f>IF($B$4="","",IFERROR(IF(INDIRECT("'"&amp;$B$4&amp;"'!A236")="","",INDIRECT("'"&amp;$B$4&amp;"'!A236")),""))</f>
        <v>0</v>
      </c>
      <c r="B58" s="20">
        <f>IF($B$4="","",IFERROR(IF(INDIRECT("'"&amp;$B$4&amp;"'!B236")="","",INDIRECT("'"&amp;$B$4&amp;"'!B236")),""))</f>
        <v>0</v>
      </c>
      <c r="C58" s="28">
        <f>IF($B$4="","",IFERROR(IF(INDIRECT("'"&amp;$B$4&amp;"'!C236")="","",INDIRECT("'"&amp;$B$4&amp;"'!C236")),""))</f>
        <v>0</v>
      </c>
      <c r="D58" s="20">
        <f>IF($B$4="","",IFERROR(IF(INDIRECT("'"&amp;$B$4&amp;"'!D236")="","",INDIRECT("'"&amp;$B$4&amp;"'!D236")),""))</f>
        <v>0</v>
      </c>
    </row>
    <row r="59" spans="1:6">
      <c r="A59" s="17">
        <f>IF($B$4="","",IFERROR(IF(INDIRECT("'"&amp;$B$4&amp;"'!A237")="","",INDIRECT("'"&amp;$B$4&amp;"'!A237")),""))</f>
        <v>0</v>
      </c>
      <c r="B59" s="20">
        <f>IF($B$4="","",IFERROR(IF(INDIRECT("'"&amp;$B$4&amp;"'!B237")="","",INDIRECT("'"&amp;$B$4&amp;"'!B237")),""))</f>
        <v>0</v>
      </c>
      <c r="C59" s="28">
        <f>IF($B$4="","",IFERROR(IF(INDIRECT("'"&amp;$B$4&amp;"'!C237")="","",INDIRECT("'"&amp;$B$4&amp;"'!C237")),""))</f>
        <v>0</v>
      </c>
      <c r="D59" s="20">
        <f>IF($B$4="","",IFERROR(IF(INDIRECT("'"&amp;$B$4&amp;"'!D237")="","",INDIRECT("'"&amp;$B$4&amp;"'!D237")),""))</f>
        <v>0</v>
      </c>
    </row>
    <row r="60" spans="1:6">
      <c r="A60" s="21" t="s">
        <v>1757</v>
      </c>
      <c r="D60" s="14">
        <f>IF($B$4="","",IFERROR(IF(INDIRECT("'"&amp;$B$4&amp;"'!B238")="","",INDIRECT("'"&amp;$B$4&amp;"'!B238")),""))</f>
        <v>0</v>
      </c>
    </row>
    <row r="62" spans="1:6">
      <c r="A62" s="3" t="s">
        <v>1758</v>
      </c>
      <c r="B62" s="3"/>
      <c r="C62" s="3"/>
      <c r="D62" s="3"/>
      <c r="E62" s="3"/>
      <c r="F62" s="3"/>
    </row>
    <row r="63" spans="1:6" ht="75" customHeight="1">
      <c r="A63" s="22" t="s">
        <v>1759</v>
      </c>
      <c r="B63" s="31">
        <f>IF($B$4="","",IFERROR(IF(INDIRECT("'"&amp;$B$4&amp;"'!B280")="","",INDIRECT("'"&amp;$B$4&amp;"'!B280")),""))</f>
        <v>0</v>
      </c>
      <c r="C63" s="31"/>
      <c r="D63" s="31"/>
      <c r="E63" s="31"/>
      <c r="F63" s="31"/>
    </row>
    <row r="64" spans="1:6" ht="45" customHeight="1">
      <c r="A64" s="22" t="s">
        <v>1063</v>
      </c>
      <c r="B64" s="31">
        <f>IF($B$4="","",IFERROR(IF(INDIRECT("'"&amp;$B$4&amp;"'!B281")="","",INDIRECT("'"&amp;$B$4&amp;"'!B281")),""))</f>
        <v>0</v>
      </c>
      <c r="C64" s="31"/>
      <c r="D64" s="31"/>
      <c r="E64" s="31"/>
      <c r="F64" s="31"/>
    </row>
    <row r="65" spans="1:6" ht="45" customHeight="1">
      <c r="A65" s="22" t="s">
        <v>1065</v>
      </c>
      <c r="B65" s="31">
        <f>IF($B$4="","",IFERROR(IF(INDIRECT("'"&amp;$B$4&amp;"'!B282")="","",INDIRECT("'"&amp;$B$4&amp;"'!B282")),""))</f>
        <v>0</v>
      </c>
      <c r="C65" s="31"/>
      <c r="D65" s="31"/>
      <c r="E65" s="31"/>
      <c r="F65" s="31"/>
    </row>
    <row r="66" spans="1:6" ht="60" customHeight="1">
      <c r="A66" s="22" t="s">
        <v>1067</v>
      </c>
      <c r="B66" s="31">
        <f>IF($B$4="","",IFERROR(IF(INDIRECT("'"&amp;$B$4&amp;"'!B283")="","",INDIRECT("'"&amp;$B$4&amp;"'!B283")),""))</f>
        <v>0</v>
      </c>
      <c r="C66" s="31"/>
      <c r="D66" s="31"/>
      <c r="E66" s="31"/>
      <c r="F66" s="31"/>
    </row>
    <row r="67" spans="1:6" ht="45" customHeight="1">
      <c r="A67" s="22" t="s">
        <v>1760</v>
      </c>
      <c r="B67" s="31">
        <f>IF($B$4="","",IFERROR(IF(INDIRECT("'"&amp;$B$4&amp;"'!B284")="","",INDIRECT("'"&amp;$B$4&amp;"'!B284")),""))</f>
        <v>0</v>
      </c>
      <c r="C67" s="31"/>
      <c r="D67" s="31"/>
      <c r="E67" s="31"/>
      <c r="F67" s="31"/>
    </row>
    <row r="68" spans="1:6" ht="30" customHeight="1">
      <c r="A68" s="22" t="s">
        <v>1069</v>
      </c>
      <c r="B68" s="32">
        <f>IF($B$4="","",IFERROR(IF(INDIRECT("'"&amp;$B$4&amp;"'!B285")="","",INDIRECT("'"&amp;$B$4&amp;"'!B285")),""))</f>
        <v>0</v>
      </c>
      <c r="C68" s="13">
        <f>IF($B$4="","",IFERROR(IF(INDIRECT("'"&amp;$B$4&amp;"'!D285")="","",INDIRECT("'"&amp;$B$4&amp;"'!D285")),""))</f>
        <v>0</v>
      </c>
      <c r="D68" s="13"/>
      <c r="E68" s="13"/>
      <c r="F68" s="13"/>
    </row>
    <row r="70" spans="1:6">
      <c r="A70" s="3" t="s">
        <v>1761</v>
      </c>
      <c r="B70" s="3"/>
      <c r="C70" s="3"/>
      <c r="D70" s="3"/>
      <c r="E70" s="3"/>
      <c r="F70" s="3"/>
    </row>
    <row r="71" spans="1:6" ht="30" customHeight="1">
      <c r="A71" s="22" t="s">
        <v>1762</v>
      </c>
      <c r="B71" s="32">
        <f>IF($B$4="","",IFERROR(IF(INDIRECT("'"&amp;$B$4&amp;"'!B286")="","",INDIRECT("'"&amp;$B$4&amp;"'!B286")),""))</f>
        <v>0</v>
      </c>
      <c r="C71" s="13">
        <f>IF($B$4="","",IFERROR(IF(INDIRECT("'"&amp;$B$4&amp;"'!D286")="","",INDIRECT("'"&amp;$B$4&amp;"'!D286")),""))</f>
        <v>0</v>
      </c>
      <c r="D71" s="13"/>
      <c r="E71" s="13"/>
      <c r="F71" s="13"/>
    </row>
    <row r="72" spans="1:6" ht="30" customHeight="1">
      <c r="A72" s="22" t="s">
        <v>1763</v>
      </c>
      <c r="B72" s="33"/>
      <c r="C72" s="33"/>
      <c r="D72" s="33"/>
      <c r="E72" s="33"/>
      <c r="F72" s="33"/>
    </row>
    <row r="73" spans="1:6" ht="30" customHeight="1">
      <c r="A73" s="22" t="s">
        <v>1764</v>
      </c>
      <c r="B73" s="33"/>
      <c r="C73" s="33"/>
      <c r="D73" s="33"/>
      <c r="E73" s="33"/>
      <c r="F73" s="33"/>
    </row>
    <row r="74" spans="1:6" ht="30" customHeight="1">
      <c r="A74" s="22" t="s">
        <v>1765</v>
      </c>
      <c r="B74" s="33"/>
      <c r="C74" s="33"/>
      <c r="D74" s="33"/>
      <c r="E74" s="33"/>
      <c r="F74" s="33"/>
    </row>
  </sheetData>
  <sheetProtection sheet="1" objects="1" scenarios="1" formatColumns="0" formatRows="0"/>
  <mergeCells count="51">
    <mergeCell ref="B4:C4"/>
    <mergeCell ref="A6:F6"/>
    <mergeCell ref="B7:F7"/>
    <mergeCell ref="B8:F8"/>
    <mergeCell ref="B10:F10"/>
    <mergeCell ref="A12:F12"/>
    <mergeCell ref="C13:F13"/>
    <mergeCell ref="B14:F14"/>
    <mergeCell ref="B15:F15"/>
    <mergeCell ref="B17:F17"/>
    <mergeCell ref="B18:F18"/>
    <mergeCell ref="C19:F19"/>
    <mergeCell ref="A21:F21"/>
    <mergeCell ref="C22:F22"/>
    <mergeCell ref="C23:F23"/>
    <mergeCell ref="C24:F24"/>
    <mergeCell ref="C25:F25"/>
    <mergeCell ref="A27:F27"/>
    <mergeCell ref="D28:F28"/>
    <mergeCell ref="D29:F29"/>
    <mergeCell ref="D30:F30"/>
    <mergeCell ref="D31:F31"/>
    <mergeCell ref="D32:F32"/>
    <mergeCell ref="D33:F33"/>
    <mergeCell ref="D34:F34"/>
    <mergeCell ref="D35:F35"/>
    <mergeCell ref="D36:F36"/>
    <mergeCell ref="D37:F37"/>
    <mergeCell ref="D38:F38"/>
    <mergeCell ref="A40:F40"/>
    <mergeCell ref="B41:C41"/>
    <mergeCell ref="B42:C42"/>
    <mergeCell ref="B43:C43"/>
    <mergeCell ref="B44:C44"/>
    <mergeCell ref="B45:C45"/>
    <mergeCell ref="B46:C46"/>
    <mergeCell ref="B47:C47"/>
    <mergeCell ref="A48:C48"/>
    <mergeCell ref="A49:F49"/>
    <mergeCell ref="A62:F62"/>
    <mergeCell ref="B63:F63"/>
    <mergeCell ref="B64:F64"/>
    <mergeCell ref="B65:F65"/>
    <mergeCell ref="B66:F66"/>
    <mergeCell ref="B67:F67"/>
    <mergeCell ref="C68:F68"/>
    <mergeCell ref="A70:F70"/>
    <mergeCell ref="C71:F71"/>
    <mergeCell ref="B72:F72"/>
    <mergeCell ref="B73:F73"/>
    <mergeCell ref="B74:F74"/>
  </mergeCells>
  <conditionalFormatting sqref="B13">
    <cfRule type="expression" dxfId="1" priority="1">
      <formula>AND(ISNUMBER($B$13),$B$13&gt;=8)</formula>
    </cfRule>
    <cfRule type="expression" dxfId="3" priority="2">
      <formula>AND(ISNUMBER($B$13),$B$13&gt;=6,$B$13&lt;8)</formula>
    </cfRule>
    <cfRule type="expression" dxfId="0" priority="3">
      <formula>OR(AND(ISNUMBER($B$13),$B$13&lt;6),$B$13="—")</formula>
    </cfRule>
  </conditionalFormatting>
  <conditionalFormatting sqref="B19">
    <cfRule type="expression" dxfId="2" priority="4">
      <formula>AND(ISNUMBER($B$19),$B$19&gt;0)</formula>
    </cfRule>
  </conditionalFormatting>
  <conditionalFormatting sqref="D29">
    <cfRule type="cellIs" dxfId="0" priority="5" operator="equal">
      <formula>"Critique"</formula>
    </cfRule>
    <cfRule type="cellIs" dxfId="3" priority="6" operator="equal">
      <formula>"Vigilance"</formula>
    </cfRule>
  </conditionalFormatting>
  <conditionalFormatting sqref="D30">
    <cfRule type="cellIs" dxfId="0" priority="7" operator="equal">
      <formula>"Critique"</formula>
    </cfRule>
    <cfRule type="cellIs" dxfId="3" priority="8" operator="equal">
      <formula>"Vigilance"</formula>
    </cfRule>
  </conditionalFormatting>
  <dataValidations count="1">
    <dataValidation type="list" allowBlank="1" showInputMessage="1" showErrorMessage="1" errorTitle="Dossier inconnu" error="Choisissez un dossier présent dans la synthèse." promptTitle="Dossier à présenter" prompt="Choisissez un dossier dans la liste (celle de la synthèse)." sqref="B4">
      <formula1>'Synthèse'!$B$4:$AO$4</formula1>
    </dataValidation>
  </dataValidations>
  <pageMargins left="0.7" right="0.7" top="0.75" bottom="0.75" header="0.3" footer="0.3"/>
  <pageSetup paperSize="9" fitToHeight="0" orientation="portrait"/>
  <drawing r:id="rId1"/>
  <legacyDrawing r:id="rId2"/>
</worksheet>
</file>

<file path=xl/worksheets/sheet4.xml><?xml version="1.0" encoding="utf-8"?>
<worksheet xmlns="http://schemas.openxmlformats.org/spreadsheetml/2006/main" xmlns:r="http://schemas.openxmlformats.org/officeDocument/2006/relationships">
  <sheetPr>
    <pageSetUpPr fitToPage="1"/>
  </sheetPr>
  <dimension ref="A1:D42"/>
  <sheetViews>
    <sheetView showGridLines="0" workbookViewId="0">
      <pane xSplit="1" ySplit="6" topLeftCell="B7" activePane="bottomRight" state="frozen"/>
      <selection pane="topRight" activeCell="B1" sqref="B1"/>
      <selection pane="bottomLeft" activeCell="A7" sqref="A7"/>
      <selection pane="bottomRight"/>
    </sheetView>
  </sheetViews>
  <sheetFormatPr defaultRowHeight="15"/>
  <cols>
    <col min="1" max="1" width="38.7109375" customWidth="1"/>
    <col min="2" max="3" width="34.7109375" customWidth="1"/>
    <col min="4" max="4" width="14.7109375" customWidth="1"/>
    <col min="5" max="5" width="3.7109375" customWidth="1"/>
    <col min="6" max="6" width="24.7109375" customWidth="1"/>
  </cols>
  <sheetData>
    <row r="1" spans="1:4">
      <c r="A1" s="1" t="s">
        <v>1766</v>
      </c>
    </row>
    <row r="2" spans="1:4">
      <c r="A2" s="2" t="s">
        <v>1767</v>
      </c>
    </row>
    <row r="4" spans="1:4" ht="24" customHeight="1">
      <c r="A4" s="22" t="s">
        <v>1768</v>
      </c>
      <c r="B4" s="23" t="s">
        <v>1692</v>
      </c>
      <c r="C4" s="23" t="s">
        <v>1693</v>
      </c>
      <c r="D4" s="11" t="s">
        <v>1769</v>
      </c>
    </row>
    <row r="6" spans="1:4">
      <c r="A6" s="11" t="s">
        <v>76</v>
      </c>
      <c r="B6" s="11" t="s">
        <v>1770</v>
      </c>
      <c r="C6" s="11" t="s">
        <v>1771</v>
      </c>
      <c r="D6" s="11" t="s">
        <v>1772</v>
      </c>
    </row>
    <row r="7" spans="1:4" ht="30" customHeight="1">
      <c r="A7" s="17" t="s">
        <v>1737</v>
      </c>
      <c r="B7" s="13">
        <f>IF($B$4="","",IFERROR(IF(INDIRECT("'"&amp;$B$4&amp;"'!A1")="","",INDIRECT("'"&amp;$B$4&amp;"'!A1")),""))</f>
        <v>0</v>
      </c>
      <c r="C7" s="13">
        <f>IF($C$4="","",IFERROR(IF(INDIRECT("'"&amp;$C$4&amp;"'!A1")="","",INDIRECT("'"&amp;$C$4&amp;"'!A1")),""))</f>
        <v>0</v>
      </c>
      <c r="D7" s="7">
        <f>IF(B7=C7,"=","≠")</f>
        <v>0</v>
      </c>
    </row>
    <row r="8" spans="1:4">
      <c r="A8" s="17" t="s">
        <v>835</v>
      </c>
      <c r="B8" s="7">
        <f>IF($B$4="","",IFERROR(IF(INDIRECT("'"&amp;$B$4&amp;"'!B17")="","",INDIRECT("'"&amp;$B$4&amp;"'!B17")),""))</f>
        <v>0</v>
      </c>
      <c r="C8" s="7">
        <f>IF($C$4="","",IFERROR(IF(INDIRECT("'"&amp;$C$4&amp;"'!B17")="","",INDIRECT("'"&amp;$C$4&amp;"'!B17")),""))</f>
        <v>0</v>
      </c>
      <c r="D8" s="7">
        <f>IF(B8=C8,"=","≠")</f>
        <v>0</v>
      </c>
    </row>
    <row r="9" spans="1:4">
      <c r="A9" s="17" t="s">
        <v>1698</v>
      </c>
      <c r="B9" s="7">
        <f>IF($B$4="","",IFERROR(IF(INDIRECT("'"&amp;$B$4&amp;"'!B16")="","",INDIRECT("'"&amp;$B$4&amp;"'!B16")),""))</f>
        <v>0</v>
      </c>
      <c r="C9" s="7">
        <f>IF($C$4="","",IFERROR(IF(INDIRECT("'"&amp;$C$4&amp;"'!B16")="","",INDIRECT("'"&amp;$C$4&amp;"'!B16")),""))</f>
        <v>0</v>
      </c>
      <c r="D9" s="7">
        <f>IF(B9=C9,"=","≠")</f>
        <v>0</v>
      </c>
    </row>
    <row r="10" spans="1:4">
      <c r="A10" s="17" t="s">
        <v>1699</v>
      </c>
      <c r="B10" s="7">
        <f>IF($B$4="","",IFERROR(IF(INDIRECT("'"&amp;$B$4&amp;"'!B18")="","",INDIRECT("'"&amp;$B$4&amp;"'!B18")),""))</f>
        <v>0</v>
      </c>
      <c r="C10" s="7">
        <f>IF($C$4="","",IFERROR(IF(INDIRECT("'"&amp;$C$4&amp;"'!B18")="","",INDIRECT("'"&amp;$C$4&amp;"'!B18")),""))</f>
        <v>0</v>
      </c>
      <c r="D10" s="7">
        <f>IF(B10=C10,"=","≠")</f>
        <v>0</v>
      </c>
    </row>
    <row r="11" spans="1:4">
      <c r="A11" s="17" t="s">
        <v>19</v>
      </c>
      <c r="B11" s="7">
        <f>IF($B$4="","",IFERROR(IF(INDIRECT("'"&amp;$B$4&amp;"'!B19")="","",INDIRECT("'"&amp;$B$4&amp;"'!B19")),""))</f>
        <v>0</v>
      </c>
      <c r="C11" s="7">
        <f>IF($C$4="","",IFERROR(IF(INDIRECT("'"&amp;$C$4&amp;"'!B19")="","",INDIRECT("'"&amp;$C$4&amp;"'!B19")),""))</f>
        <v>0</v>
      </c>
      <c r="D11" s="7">
        <f>IF(B11=C11,"=","≠")</f>
        <v>0</v>
      </c>
    </row>
    <row r="12" spans="1:4">
      <c r="A12" s="17" t="s">
        <v>46</v>
      </c>
      <c r="B12" s="7">
        <f>IF($B$4="","",IFERROR(IF(INDIRECT("'"&amp;$B$4&amp;"'!B20")="","",INDIRECT("'"&amp;$B$4&amp;"'!B20")),""))</f>
        <v>0</v>
      </c>
      <c r="C12" s="7">
        <f>IF($C$4="","",IFERROR(IF(INDIRECT("'"&amp;$C$4&amp;"'!B20")="","",INDIRECT("'"&amp;$C$4&amp;"'!B20")),""))</f>
        <v>0</v>
      </c>
      <c r="D12" s="7">
        <f>IF(B12=C12,"=","≠")</f>
        <v>0</v>
      </c>
    </row>
    <row r="13" spans="1:4">
      <c r="A13" s="17" t="s">
        <v>1773</v>
      </c>
      <c r="B13" s="7">
        <f>IF($B$4="","",IFERROR(IF(INDIRECT("'"&amp;$B$4&amp;"'!B38")="","",INDIRECT("'"&amp;$B$4&amp;"'!B38")),""))</f>
        <v>0</v>
      </c>
      <c r="C13" s="7">
        <f>IF($C$4="","",IFERROR(IF(INDIRECT("'"&amp;$C$4&amp;"'!B38")="","",INDIRECT("'"&amp;$C$4&amp;"'!B38")),""))</f>
        <v>0</v>
      </c>
      <c r="D13" s="7">
        <f>IF(B13=C13,"=","≠")</f>
        <v>0</v>
      </c>
    </row>
    <row r="14" spans="1:4">
      <c r="A14" s="17" t="s">
        <v>1774</v>
      </c>
      <c r="B14" s="29">
        <f>IF($B$4="","",IFERROR(IF(INDIRECT("'"&amp;$B$4&amp;"'!B25")="","",INDIRECT("'"&amp;$B$4&amp;"'!B25")),""))</f>
        <v>0</v>
      </c>
      <c r="C14" s="29">
        <f>IF($C$4="","",IFERROR(IF(INDIRECT("'"&amp;$C$4&amp;"'!B25")="","",INDIRECT("'"&amp;$C$4&amp;"'!B25")),""))</f>
        <v>0</v>
      </c>
      <c r="D14" s="29">
        <f>IF(AND(ISNUMBER(B14),ISNUMBER(C14)),C14-B14,IF(B14=C14,"=","≠"))</f>
        <v>0</v>
      </c>
    </row>
    <row r="15" spans="1:4">
      <c r="A15" s="17" t="s">
        <v>848</v>
      </c>
      <c r="B15" s="29">
        <f>IF($B$4="","",IFERROR(IF(INDIRECT("'"&amp;$B$4&amp;"'!B26")="","",INDIRECT("'"&amp;$B$4&amp;"'!B26")),""))</f>
        <v>0</v>
      </c>
      <c r="C15" s="29">
        <f>IF($C$4="","",IFERROR(IF(INDIRECT("'"&amp;$C$4&amp;"'!B26")="","",INDIRECT("'"&amp;$C$4&amp;"'!B26")),""))</f>
        <v>0</v>
      </c>
      <c r="D15" s="29">
        <f>IF(AND(ISNUMBER(B15),ISNUMBER(C15)),C15-B15,IF(B15=C15,"=","≠"))</f>
        <v>0</v>
      </c>
    </row>
    <row r="16" spans="1:4">
      <c r="A16" s="17" t="s">
        <v>1775</v>
      </c>
      <c r="B16" s="28">
        <f>IF($B$4="","",IFERROR(IF(INDIRECT("'"&amp;$B$4&amp;"'!B51")="","",INDIRECT("'"&amp;$B$4&amp;"'!B51")),""))</f>
        <v>0</v>
      </c>
      <c r="C16" s="28">
        <f>IF($C$4="","",IFERROR(IF(INDIRECT("'"&amp;$C$4&amp;"'!B51")="","",INDIRECT("'"&amp;$C$4&amp;"'!B51")),""))</f>
        <v>0</v>
      </c>
      <c r="D16" s="28">
        <f>IF(AND(ISNUMBER(B16),ISNUMBER(C16)),C16-B16,IF(B16=C16,"=","≠"))</f>
        <v>0</v>
      </c>
    </row>
    <row r="17" spans="1:4">
      <c r="A17" s="17" t="s">
        <v>1748</v>
      </c>
      <c r="B17" s="28">
        <f>IF($B$4="","",IFERROR(IF(INDIRECT("'"&amp;$B$4&amp;"'!B52")="","",INDIRECT("'"&amp;$B$4&amp;"'!B52")),""))</f>
        <v>0</v>
      </c>
      <c r="C17" s="28">
        <f>IF($C$4="","",IFERROR(IF(INDIRECT("'"&amp;$C$4&amp;"'!B52")="","",INDIRECT("'"&amp;$C$4&amp;"'!B52")),""))</f>
        <v>0</v>
      </c>
      <c r="D17" s="28">
        <f>IF(AND(ISNUMBER(B17),ISNUMBER(C17)),C17-B17,IF(B17=C17,"=","≠"))</f>
        <v>0</v>
      </c>
    </row>
    <row r="18" spans="1:4">
      <c r="A18" s="17" t="s">
        <v>1776</v>
      </c>
      <c r="B18" s="18">
        <f>IF($B$4="","",IFERROR(IF(INDIRECT("'"&amp;$B$4&amp;"'!B88")="","",INDIRECT("'"&amp;$B$4&amp;"'!B88")),""))</f>
        <v>0</v>
      </c>
      <c r="C18" s="18">
        <f>IF($C$4="","",IFERROR(IF(INDIRECT("'"&amp;$C$4&amp;"'!B88")="","",INDIRECT("'"&amp;$C$4&amp;"'!B88")),""))</f>
        <v>0</v>
      </c>
      <c r="D18" s="18">
        <f>IF(AND(ISNUMBER(B18),ISNUMBER(C18)),C18-B18,IF(B18=C18,"=","≠"))</f>
        <v>0</v>
      </c>
    </row>
    <row r="19" spans="1:4">
      <c r="A19" s="17" t="s">
        <v>1703</v>
      </c>
      <c r="B19" s="19">
        <f>IF($B$4="","",IFERROR(IF(INDIRECT("'"&amp;$B$4&amp;"'!D154")="","",INDIRECT("'"&amp;$B$4&amp;"'!D154")),""))</f>
        <v>0</v>
      </c>
      <c r="C19" s="19">
        <f>IF($C$4="","",IFERROR(IF(INDIRECT("'"&amp;$C$4&amp;"'!D154")="","",INDIRECT("'"&amp;$C$4&amp;"'!D154")),""))</f>
        <v>0</v>
      </c>
      <c r="D19" s="19">
        <f>IF(AND(ISNUMBER(B19),ISNUMBER(C19)),C19-B19,IF(B19=C19,"=","≠"))</f>
        <v>0</v>
      </c>
    </row>
    <row r="20" spans="1:4">
      <c r="A20" s="17" t="s">
        <v>1705</v>
      </c>
      <c r="B20" s="19">
        <f>IF($B$4="","",IFERROR(IF(INDIRECT("'"&amp;$B$4&amp;"'!D155")="","",INDIRECT("'"&amp;$B$4&amp;"'!D155")),""))</f>
        <v>0</v>
      </c>
      <c r="C20" s="19">
        <f>IF($C$4="","",IFERROR(IF(INDIRECT("'"&amp;$C$4&amp;"'!D155")="","",INDIRECT("'"&amp;$C$4&amp;"'!D155")),""))</f>
        <v>0</v>
      </c>
      <c r="D20" s="19">
        <f>IF(AND(ISNUMBER(B20),ISNUMBER(C20)),C20-B20,IF(B20=C20,"=","≠"))</f>
        <v>0</v>
      </c>
    </row>
    <row r="21" spans="1:4">
      <c r="A21" s="17" t="s">
        <v>1709</v>
      </c>
      <c r="B21" s="19">
        <f>IF($B$4="","",IFERROR(IF(INDIRECT("'"&amp;$B$4&amp;"'!D157")="","",INDIRECT("'"&amp;$B$4&amp;"'!D157")),""))</f>
        <v>0</v>
      </c>
      <c r="C21" s="19">
        <f>IF($C$4="","",IFERROR(IF(INDIRECT("'"&amp;$C$4&amp;"'!D157")="","",INDIRECT("'"&amp;$C$4&amp;"'!D157")),""))</f>
        <v>0</v>
      </c>
      <c r="D21" s="19">
        <f>IF(AND(ISNUMBER(B21),ISNUMBER(C21)),C21-B21,IF(B21=C21,"=","≠"))</f>
        <v>0</v>
      </c>
    </row>
    <row r="22" spans="1:4">
      <c r="A22" s="17" t="s">
        <v>1749</v>
      </c>
      <c r="B22" s="18">
        <f>IF($B$4="","",IFERROR(IF(INDIRECT("'"&amp;$B$4&amp;"'!B172")="","",INDIRECT("'"&amp;$B$4&amp;"'!B172")),""))</f>
        <v>0</v>
      </c>
      <c r="C22" s="18">
        <f>IF($C$4="","",IFERROR(IF(INDIRECT("'"&amp;$C$4&amp;"'!B172")="","",INDIRECT("'"&amp;$C$4&amp;"'!B172")),""))</f>
        <v>0</v>
      </c>
      <c r="D22" s="18">
        <f>IF(AND(ISNUMBER(B22),ISNUMBER(C22)),C22-B22,IF(B22=C22,"=","≠"))</f>
        <v>0</v>
      </c>
    </row>
    <row r="23" spans="1:4">
      <c r="A23" s="17" t="s">
        <v>1777</v>
      </c>
      <c r="B23" s="20">
        <f>IF($B$4="","",IFERROR(IF(INDIRECT("'"&amp;$B$4&amp;"'!B173")="","",INDIRECT("'"&amp;$B$4&amp;"'!B173")),""))</f>
        <v>0</v>
      </c>
      <c r="C23" s="20">
        <f>IF($C$4="","",IFERROR(IF(INDIRECT("'"&amp;$C$4&amp;"'!B173")="","",INDIRECT("'"&amp;$C$4&amp;"'!B173")),""))</f>
        <v>0</v>
      </c>
      <c r="D23" s="20">
        <f>IF(AND(ISNUMBER(B23),ISNUMBER(C23)),C23-B23,IF(B23=C23,"=","≠"))</f>
        <v>0</v>
      </c>
    </row>
    <row r="24" spans="1:4">
      <c r="A24" s="17" t="s">
        <v>1778</v>
      </c>
      <c r="B24" s="28">
        <f>IF($B$4="","",IFERROR(IF(INDIRECT("'"&amp;$B$4&amp;"'!B174")="","",INDIRECT("'"&amp;$B$4&amp;"'!B174")),""))</f>
        <v>0</v>
      </c>
      <c r="C24" s="28">
        <f>IF($C$4="","",IFERROR(IF(INDIRECT("'"&amp;$C$4&amp;"'!B174")="","",INDIRECT("'"&amp;$C$4&amp;"'!B174")),""))</f>
        <v>0</v>
      </c>
      <c r="D24" s="28">
        <f>IF(AND(ISNUMBER(B24),ISNUMBER(C24)),C24-B24,IF(B24=C24,"=","≠"))</f>
        <v>0</v>
      </c>
    </row>
    <row r="25" spans="1:4">
      <c r="A25" s="17" t="s">
        <v>1779</v>
      </c>
      <c r="B25" s="20">
        <f>IF($B$4="","",IFERROR(IF(INDIRECT("'"&amp;$B$4&amp;"'!B229")="","",INDIRECT("'"&amp;$B$4&amp;"'!B229")),""))</f>
        <v>0</v>
      </c>
      <c r="C25" s="20">
        <f>IF($C$4="","",IFERROR(IF(INDIRECT("'"&amp;$C$4&amp;"'!B229")="","",INDIRECT("'"&amp;$C$4&amp;"'!B229")),""))</f>
        <v>0</v>
      </c>
      <c r="D25" s="20">
        <f>IF(AND(ISNUMBER(B25),ISNUMBER(C25)),C25-B25,IF(B25=C25,"=","≠"))</f>
        <v>0</v>
      </c>
    </row>
    <row r="26" spans="1:4">
      <c r="A26" s="17" t="s">
        <v>1780</v>
      </c>
      <c r="B26" s="20">
        <f>IF($B$4="","",IFERROR(IF(INDIRECT("'"&amp;$B$4&amp;"'!B230")="","",INDIRECT("'"&amp;$B$4&amp;"'!B230")),""))</f>
        <v>0</v>
      </c>
      <c r="C26" s="20">
        <f>IF($C$4="","",IFERROR(IF(INDIRECT("'"&amp;$C$4&amp;"'!B230")="","",INDIRECT("'"&amp;$C$4&amp;"'!B230")),""))</f>
        <v>0</v>
      </c>
      <c r="D26" s="20">
        <f>IF(AND(ISNUMBER(B26),ISNUMBER(C26)),C26-B26,IF(B26=C26,"=","≠"))</f>
        <v>0</v>
      </c>
    </row>
    <row r="27" spans="1:4">
      <c r="A27" s="17" t="s">
        <v>1781</v>
      </c>
      <c r="B27" s="20">
        <f>IF($B$4="","",IFERROR(IF(INDIRECT("'"&amp;$B$4&amp;"'!B231")="","",INDIRECT("'"&amp;$B$4&amp;"'!B231")),""))</f>
        <v>0</v>
      </c>
      <c r="C27" s="20">
        <f>IF($C$4="","",IFERROR(IF(INDIRECT("'"&amp;$C$4&amp;"'!B231")="","",INDIRECT("'"&amp;$C$4&amp;"'!B231")),""))</f>
        <v>0</v>
      </c>
      <c r="D27" s="20">
        <f>IF(AND(ISNUMBER(B27),ISNUMBER(C27)),C27-B27,IF(B27=C27,"=","≠"))</f>
        <v>0</v>
      </c>
    </row>
    <row r="28" spans="1:4">
      <c r="A28" s="17" t="s">
        <v>1782</v>
      </c>
      <c r="B28" s="20">
        <f>IF($B$4="","",IFERROR(IF(INDIRECT("'"&amp;$B$4&amp;"'!B232")="","",INDIRECT("'"&amp;$B$4&amp;"'!B232")),""))</f>
        <v>0</v>
      </c>
      <c r="C28" s="20">
        <f>IF($C$4="","",IFERROR(IF(INDIRECT("'"&amp;$C$4&amp;"'!B232")="","",INDIRECT("'"&amp;$C$4&amp;"'!B232")),""))</f>
        <v>0</v>
      </c>
      <c r="D28" s="20">
        <f>IF(AND(ISNUMBER(B28),ISNUMBER(C28)),C28-B28,IF(B28=C28,"=","≠"))</f>
        <v>0</v>
      </c>
    </row>
    <row r="29" spans="1:4">
      <c r="A29" s="17" t="s">
        <v>1783</v>
      </c>
      <c r="B29" s="20">
        <f>IF($B$4="","",IFERROR(IF(INDIRECT("'"&amp;$B$4&amp;"'!B233")="","",INDIRECT("'"&amp;$B$4&amp;"'!B233")),""))</f>
        <v>0</v>
      </c>
      <c r="C29" s="20">
        <f>IF($C$4="","",IFERROR(IF(INDIRECT("'"&amp;$C$4&amp;"'!B233")="","",INDIRECT("'"&amp;$C$4&amp;"'!B233")),""))</f>
        <v>0</v>
      </c>
      <c r="D29" s="20">
        <f>IF(AND(ISNUMBER(B29),ISNUMBER(C29)),C29-B29,IF(B29=C29,"=","≠"))</f>
        <v>0</v>
      </c>
    </row>
    <row r="30" spans="1:4">
      <c r="A30" s="17" t="s">
        <v>1784</v>
      </c>
      <c r="B30" s="20">
        <f>IF($B$4="","",IFERROR(IF(INDIRECT("'"&amp;$B$4&amp;"'!B234")="","",INDIRECT("'"&amp;$B$4&amp;"'!B234")),""))</f>
        <v>0</v>
      </c>
      <c r="C30" s="20">
        <f>IF($C$4="","",IFERROR(IF(INDIRECT("'"&amp;$C$4&amp;"'!B234")="","",INDIRECT("'"&amp;$C$4&amp;"'!B234")),""))</f>
        <v>0</v>
      </c>
      <c r="D30" s="20">
        <f>IF(AND(ISNUMBER(B30),ISNUMBER(C30)),C30-B30,IF(B30=C30,"=","≠"))</f>
        <v>0</v>
      </c>
    </row>
    <row r="31" spans="1:4">
      <c r="A31" s="17" t="s">
        <v>1785</v>
      </c>
      <c r="B31" s="20">
        <f>IF($B$4="","",IFERROR(IF(INDIRECT("'"&amp;$B$4&amp;"'!B235")="","",INDIRECT("'"&amp;$B$4&amp;"'!B235")),""))</f>
        <v>0</v>
      </c>
      <c r="C31" s="20">
        <f>IF($C$4="","",IFERROR(IF(INDIRECT("'"&amp;$C$4&amp;"'!B235")="","",INDIRECT("'"&amp;$C$4&amp;"'!B235")),""))</f>
        <v>0</v>
      </c>
      <c r="D31" s="20">
        <f>IF(AND(ISNUMBER(B31),ISNUMBER(C31)),C31-B31,IF(B31=C31,"=","≠"))</f>
        <v>0</v>
      </c>
    </row>
    <row r="32" spans="1:4">
      <c r="A32" s="17" t="s">
        <v>1786</v>
      </c>
      <c r="B32" s="20">
        <f>IF($B$4="","",IFERROR(IF(INDIRECT("'"&amp;$B$4&amp;"'!B236")="","",INDIRECT("'"&amp;$B$4&amp;"'!B236")),""))</f>
        <v>0</v>
      </c>
      <c r="C32" s="20">
        <f>IF($C$4="","",IFERROR(IF(INDIRECT("'"&amp;$C$4&amp;"'!B236")="","",INDIRECT("'"&amp;$C$4&amp;"'!B236")),""))</f>
        <v>0</v>
      </c>
      <c r="D32" s="20">
        <f>IF(AND(ISNUMBER(B32),ISNUMBER(C32)),C32-B32,IF(B32=C32,"=","≠"))</f>
        <v>0</v>
      </c>
    </row>
    <row r="33" spans="1:4">
      <c r="A33" s="17" t="s">
        <v>1787</v>
      </c>
      <c r="B33" s="20">
        <f>IF($B$4="","",IFERROR(IF(INDIRECT("'"&amp;$B$4&amp;"'!B237")="","",INDIRECT("'"&amp;$B$4&amp;"'!B237")),""))</f>
        <v>0</v>
      </c>
      <c r="C33" s="20">
        <f>IF($C$4="","",IFERROR(IF(INDIRECT("'"&amp;$C$4&amp;"'!B237")="","",INDIRECT("'"&amp;$C$4&amp;"'!B237")),""))</f>
        <v>0</v>
      </c>
      <c r="D33" s="20">
        <f>IF(AND(ISNUMBER(B33),ISNUMBER(C33)),C33-B33,IF(B33=C33,"=","≠"))</f>
        <v>0</v>
      </c>
    </row>
    <row r="34" spans="1:4">
      <c r="A34" s="17" t="s">
        <v>1788</v>
      </c>
      <c r="B34" s="20">
        <f>IF($B$4="","",IFERROR(IF(INDIRECT("'"&amp;$B$4&amp;"'!B238")="","",INDIRECT("'"&amp;$B$4&amp;"'!B238")),""))</f>
        <v>0</v>
      </c>
      <c r="C34" s="20">
        <f>IF($C$4="","",IFERROR(IF(INDIRECT("'"&amp;$C$4&amp;"'!B238")="","",INDIRECT("'"&amp;$C$4&amp;"'!B238")),""))</f>
        <v>0</v>
      </c>
      <c r="D34" s="20">
        <f>IF(AND(ISNUMBER(B34),ISNUMBER(C34)),C34-B34,IF(B34=C34,"=","≠"))</f>
        <v>0</v>
      </c>
    </row>
    <row r="35" spans="1:4">
      <c r="A35" s="17" t="s">
        <v>819</v>
      </c>
      <c r="B35" s="15">
        <f>IF($B$4="","",IFERROR(IF(INDIRECT("'"&amp;$B$4&amp;"'!B239")="","",INDIRECT("'"&amp;$B$4&amp;"'!B239")),""))</f>
        <v>0</v>
      </c>
      <c r="C35" s="15">
        <f>IF($C$4="","",IFERROR(IF(INDIRECT("'"&amp;$C$4&amp;"'!B239")="","",INDIRECT("'"&amp;$C$4&amp;"'!B239")),""))</f>
        <v>0</v>
      </c>
      <c r="D35" s="15">
        <f>IF(AND(ISNUMBER(B35),ISNUMBER(C35)),C35-B35,IF(B35=C35,"=","≠"))</f>
        <v>0</v>
      </c>
    </row>
    <row r="36" spans="1:4">
      <c r="A36" s="17" t="s">
        <v>1719</v>
      </c>
      <c r="B36" s="15">
        <f>IF($B$4="","",IFERROR(IF(INDIRECT("'"&amp;$B$4&amp;"'!B273")="","",INDIRECT("'"&amp;$B$4&amp;"'!B273")),""))</f>
        <v>0</v>
      </c>
      <c r="C36" s="15">
        <f>IF($C$4="","",IFERROR(IF(INDIRECT("'"&amp;$C$4&amp;"'!B273")="","",INDIRECT("'"&amp;$C$4&amp;"'!B273")),""))</f>
        <v>0</v>
      </c>
      <c r="D36" s="15">
        <f>IF(AND(ISNUMBER(B36),ISNUMBER(C36)),C36-B36,IF(B36=C36,"=","≠"))</f>
        <v>0</v>
      </c>
    </row>
    <row r="37" spans="1:4">
      <c r="A37" s="21" t="s">
        <v>1059</v>
      </c>
      <c r="B37" s="15">
        <f>IF($B$4="","",IFERROR(IF(INDIRECT("'"&amp;$B$4&amp;"'!B276")="","",INDIRECT("'"&amp;$B$4&amp;"'!B276")),""))</f>
        <v>0</v>
      </c>
      <c r="C37" s="15">
        <f>IF($C$4="","",IFERROR(IF(INDIRECT("'"&amp;$C$4&amp;"'!B276")="","",INDIRECT("'"&amp;$C$4&amp;"'!B276")),""))</f>
        <v>0</v>
      </c>
      <c r="D37" s="15">
        <f>IF(AND(ISNUMBER(B37),ISNUMBER(C37)),C37-B37,IF(B37=C37,"=","≠"))</f>
        <v>0</v>
      </c>
    </row>
    <row r="38" spans="1:4" ht="30" customHeight="1">
      <c r="A38" s="17" t="s">
        <v>817</v>
      </c>
      <c r="B38" s="13">
        <f>IF($B$4="","",IFERROR(IF(INDIRECT("'"&amp;$B$4&amp;"'!B277")="","",INDIRECT("'"&amp;$B$4&amp;"'!B277")),""))</f>
        <v>0</v>
      </c>
      <c r="C38" s="13">
        <f>IF($C$4="","",IFERROR(IF(INDIRECT("'"&amp;$C$4&amp;"'!B277")="","",INDIRECT("'"&amp;$C$4&amp;"'!B277")),""))</f>
        <v>0</v>
      </c>
      <c r="D38" s="7">
        <f>IF(B38=C38,"=","≠")</f>
        <v>0</v>
      </c>
    </row>
    <row r="39" spans="1:4" ht="30" customHeight="1">
      <c r="A39" s="17" t="s">
        <v>821</v>
      </c>
      <c r="B39" s="13">
        <f>IF($B$4="","",IFERROR(IF(INDIRECT("'"&amp;$B$4&amp;"'!B8")="","",INDIRECT("'"&amp;$B$4&amp;"'!B8")),""))</f>
        <v>0</v>
      </c>
      <c r="C39" s="13">
        <f>IF($C$4="","",IFERROR(IF(INDIRECT("'"&amp;$C$4&amp;"'!B8")="","",INDIRECT("'"&amp;$C$4&amp;"'!B8")),""))</f>
        <v>0</v>
      </c>
      <c r="D39" s="7">
        <f>IF(B39=C39,"=","≠")</f>
        <v>0</v>
      </c>
    </row>
    <row r="40" spans="1:4" ht="30" customHeight="1">
      <c r="A40" s="17" t="s">
        <v>1717</v>
      </c>
      <c r="B40" s="13">
        <f>IF($B$4="","",IFERROR(IF(INDIRECT("'"&amp;$B$4&amp;"'!B9")="","",INDIRECT("'"&amp;$B$4&amp;"'!B9")),""))</f>
        <v>0</v>
      </c>
      <c r="C40" s="13">
        <f>IF($C$4="","",IFERROR(IF(INDIRECT("'"&amp;$C$4&amp;"'!B9")="","",INDIRECT("'"&amp;$C$4&amp;"'!B9")),""))</f>
        <v>0</v>
      </c>
      <c r="D40" s="7">
        <f>IF(B40=C40,"=","≠")</f>
        <v>0</v>
      </c>
    </row>
    <row r="41" spans="1:4" ht="30" customHeight="1">
      <c r="A41" s="17" t="s">
        <v>1069</v>
      </c>
      <c r="B41" s="13">
        <f>IF($B$4="","",IFERROR(IF(INDIRECT("'"&amp;$B$4&amp;"'!B285")="","",INDIRECT("'"&amp;$B$4&amp;"'!B285")),""))</f>
        <v>0</v>
      </c>
      <c r="C41" s="13">
        <f>IF($C$4="","",IFERROR(IF(INDIRECT("'"&amp;$C$4&amp;"'!B285")="","",INDIRECT("'"&amp;$C$4&amp;"'!B285")),""))</f>
        <v>0</v>
      </c>
      <c r="D41" s="7">
        <f>IF(B41=C41,"=","≠")</f>
        <v>0</v>
      </c>
    </row>
    <row r="42" spans="1:4">
      <c r="A42" s="17" t="s">
        <v>1724</v>
      </c>
      <c r="B42" s="15">
        <f>IF($B$4="","",IFERROR(IF(INDIRECT("'"&amp;$B$4&amp;"'!B4")="","",INDIRECT("'"&amp;$B$4&amp;"'!B4")),""))</f>
        <v>0</v>
      </c>
      <c r="C42" s="15">
        <f>IF($C$4="","",IFERROR(IF(INDIRECT("'"&amp;$C$4&amp;"'!B4")="","",INDIRECT("'"&amp;$C$4&amp;"'!B4")),""))</f>
        <v>0</v>
      </c>
      <c r="D42" s="15">
        <f>IF(AND(ISNUMBER(B42),ISNUMBER(C42)),C42-B42,IF(B42=C42,"=","≠"))</f>
        <v>0</v>
      </c>
    </row>
  </sheetData>
  <sheetProtection sheet="1" objects="1" scenarios="1" formatColumns="0" formatRows="0"/>
  <conditionalFormatting sqref="B37">
    <cfRule type="expression" dxfId="1" priority="62">
      <formula>AND(ISNUMBER($B$37),$B$37&gt;=8)</formula>
    </cfRule>
    <cfRule type="expression" dxfId="3" priority="63">
      <formula>AND(ISNUMBER($B$37),$B$37&gt;=6,$B$37&lt;8)</formula>
    </cfRule>
    <cfRule type="expression" dxfId="0" priority="64">
      <formula>OR(AND(ISNUMBER($B$37),$B$37&lt;6),$B$37="—")</formula>
    </cfRule>
  </conditionalFormatting>
  <conditionalFormatting sqref="C37">
    <cfRule type="expression" dxfId="1" priority="65">
      <formula>AND(ISNUMBER($C$37),$C$37&gt;=8)</formula>
    </cfRule>
    <cfRule type="expression" dxfId="3" priority="66">
      <formula>AND(ISNUMBER($C$37),$C$37&gt;=6,$C$37&lt;8)</formula>
    </cfRule>
    <cfRule type="expression" dxfId="0" priority="67">
      <formula>OR(AND(ISNUMBER($C$37),$C$37&lt;6),$C$37="—")</formula>
    </cfRule>
  </conditionalFormatting>
  <conditionalFormatting sqref="D10">
    <cfRule type="cellIs" dxfId="3" priority="4" operator="equal">
      <formula>"≠"</formula>
    </cfRule>
  </conditionalFormatting>
  <conditionalFormatting sqref="D11">
    <cfRule type="cellIs" dxfId="3" priority="5" operator="equal">
      <formula>"≠"</formula>
    </cfRule>
  </conditionalFormatting>
  <conditionalFormatting sqref="D12">
    <cfRule type="cellIs" dxfId="3" priority="6" operator="equal">
      <formula>"≠"</formula>
    </cfRule>
  </conditionalFormatting>
  <conditionalFormatting sqref="D13">
    <cfRule type="cellIs" dxfId="3" priority="7" operator="equal">
      <formula>"≠"</formula>
    </cfRule>
  </conditionalFormatting>
  <conditionalFormatting sqref="D14">
    <cfRule type="expression" dxfId="3" priority="8">
      <formula>AND(ISNUMBER(D14),ABS(D14)&gt;0.0001)</formula>
    </cfRule>
    <cfRule type="cellIs" dxfId="3" priority="9" operator="equal">
      <formula>"≠"</formula>
    </cfRule>
  </conditionalFormatting>
  <conditionalFormatting sqref="D15">
    <cfRule type="expression" dxfId="3" priority="10">
      <formula>AND(ISNUMBER(D15),ABS(D15)&gt;0.0001)</formula>
    </cfRule>
    <cfRule type="cellIs" dxfId="3" priority="11" operator="equal">
      <formula>"≠"</formula>
    </cfRule>
  </conditionalFormatting>
  <conditionalFormatting sqref="D16">
    <cfRule type="expression" dxfId="3" priority="12">
      <formula>AND(ISNUMBER(D16),ABS(D16)&gt;0.0001)</formula>
    </cfRule>
    <cfRule type="cellIs" dxfId="3" priority="13" operator="equal">
      <formula>"≠"</formula>
    </cfRule>
  </conditionalFormatting>
  <conditionalFormatting sqref="D17">
    <cfRule type="expression" dxfId="3" priority="14">
      <formula>AND(ISNUMBER(D17),ABS(D17)&gt;0.0001)</formula>
    </cfRule>
    <cfRule type="cellIs" dxfId="3" priority="15" operator="equal">
      <formula>"≠"</formula>
    </cfRule>
  </conditionalFormatting>
  <conditionalFormatting sqref="D18">
    <cfRule type="expression" dxfId="3" priority="16">
      <formula>AND(ISNUMBER(D18),ABS(D18)&gt;0.0001)</formula>
    </cfRule>
    <cfRule type="cellIs" dxfId="3" priority="17" operator="equal">
      <formula>"≠"</formula>
    </cfRule>
  </conditionalFormatting>
  <conditionalFormatting sqref="D19">
    <cfRule type="expression" dxfId="3" priority="18">
      <formula>AND(ISNUMBER(D19),ABS(D19)&gt;0.0001)</formula>
    </cfRule>
    <cfRule type="cellIs" dxfId="3" priority="19" operator="equal">
      <formula>"≠"</formula>
    </cfRule>
  </conditionalFormatting>
  <conditionalFormatting sqref="D20">
    <cfRule type="expression" dxfId="3" priority="20">
      <formula>AND(ISNUMBER(D20),ABS(D20)&gt;0.0001)</formula>
    </cfRule>
    <cfRule type="cellIs" dxfId="3" priority="21" operator="equal">
      <formula>"≠"</formula>
    </cfRule>
  </conditionalFormatting>
  <conditionalFormatting sqref="D21">
    <cfRule type="expression" dxfId="3" priority="22">
      <formula>AND(ISNUMBER(D21),ABS(D21)&gt;0.0001)</formula>
    </cfRule>
    <cfRule type="cellIs" dxfId="3" priority="23" operator="equal">
      <formula>"≠"</formula>
    </cfRule>
  </conditionalFormatting>
  <conditionalFormatting sqref="D22">
    <cfRule type="expression" dxfId="3" priority="24">
      <formula>AND(ISNUMBER(D22),ABS(D22)&gt;0.0001)</formula>
    </cfRule>
    <cfRule type="cellIs" dxfId="3" priority="25" operator="equal">
      <formula>"≠"</formula>
    </cfRule>
  </conditionalFormatting>
  <conditionalFormatting sqref="D23">
    <cfRule type="expression" dxfId="3" priority="26">
      <formula>AND(ISNUMBER(D23),ABS(D23)&gt;0.0001)</formula>
    </cfRule>
    <cfRule type="cellIs" dxfId="3" priority="27" operator="equal">
      <formula>"≠"</formula>
    </cfRule>
  </conditionalFormatting>
  <conditionalFormatting sqref="D24">
    <cfRule type="expression" dxfId="3" priority="28">
      <formula>AND(ISNUMBER(D24),ABS(D24)&gt;0.0001)</formula>
    </cfRule>
    <cfRule type="cellIs" dxfId="3" priority="29" operator="equal">
      <formula>"≠"</formula>
    </cfRule>
  </conditionalFormatting>
  <conditionalFormatting sqref="D25">
    <cfRule type="expression" dxfId="3" priority="30">
      <formula>AND(ISNUMBER(D25),ABS(D25)&gt;0.0001)</formula>
    </cfRule>
    <cfRule type="cellIs" dxfId="3" priority="31" operator="equal">
      <formula>"≠"</formula>
    </cfRule>
  </conditionalFormatting>
  <conditionalFormatting sqref="D26">
    <cfRule type="expression" dxfId="3" priority="32">
      <formula>AND(ISNUMBER(D26),ABS(D26)&gt;0.0001)</formula>
    </cfRule>
    <cfRule type="cellIs" dxfId="3" priority="33" operator="equal">
      <formula>"≠"</formula>
    </cfRule>
  </conditionalFormatting>
  <conditionalFormatting sqref="D27">
    <cfRule type="expression" dxfId="3" priority="34">
      <formula>AND(ISNUMBER(D27),ABS(D27)&gt;0.0001)</formula>
    </cfRule>
    <cfRule type="cellIs" dxfId="3" priority="35" operator="equal">
      <formula>"≠"</formula>
    </cfRule>
  </conditionalFormatting>
  <conditionalFormatting sqref="D28">
    <cfRule type="expression" dxfId="3" priority="36">
      <formula>AND(ISNUMBER(D28),ABS(D28)&gt;0.0001)</formula>
    </cfRule>
    <cfRule type="cellIs" dxfId="3" priority="37" operator="equal">
      <formula>"≠"</formula>
    </cfRule>
  </conditionalFormatting>
  <conditionalFormatting sqref="D29">
    <cfRule type="expression" dxfId="3" priority="38">
      <formula>AND(ISNUMBER(D29),ABS(D29)&gt;0.0001)</formula>
    </cfRule>
    <cfRule type="cellIs" dxfId="3" priority="39" operator="equal">
      <formula>"≠"</formula>
    </cfRule>
  </conditionalFormatting>
  <conditionalFormatting sqref="D30">
    <cfRule type="expression" dxfId="3" priority="40">
      <formula>AND(ISNUMBER(D30),ABS(D30)&gt;0.0001)</formula>
    </cfRule>
    <cfRule type="cellIs" dxfId="3" priority="41" operator="equal">
      <formula>"≠"</formula>
    </cfRule>
  </conditionalFormatting>
  <conditionalFormatting sqref="D31">
    <cfRule type="expression" dxfId="3" priority="42">
      <formula>AND(ISNUMBER(D31),ABS(D31)&gt;0.0001)</formula>
    </cfRule>
    <cfRule type="cellIs" dxfId="3" priority="43" operator="equal">
      <formula>"≠"</formula>
    </cfRule>
  </conditionalFormatting>
  <conditionalFormatting sqref="D32">
    <cfRule type="expression" dxfId="3" priority="44">
      <formula>AND(ISNUMBER(D32),ABS(D32)&gt;0.0001)</formula>
    </cfRule>
    <cfRule type="cellIs" dxfId="3" priority="45" operator="equal">
      <formula>"≠"</formula>
    </cfRule>
  </conditionalFormatting>
  <conditionalFormatting sqref="D33">
    <cfRule type="expression" dxfId="3" priority="46">
      <formula>AND(ISNUMBER(D33),ABS(D33)&gt;0.0001)</formula>
    </cfRule>
    <cfRule type="cellIs" dxfId="3" priority="47" operator="equal">
      <formula>"≠"</formula>
    </cfRule>
  </conditionalFormatting>
  <conditionalFormatting sqref="D34">
    <cfRule type="expression" dxfId="3" priority="48">
      <formula>AND(ISNUMBER(D34),ABS(D34)&gt;0.0001)</formula>
    </cfRule>
    <cfRule type="cellIs" dxfId="3" priority="49" operator="equal">
      <formula>"≠"</formula>
    </cfRule>
  </conditionalFormatting>
  <conditionalFormatting sqref="D35">
    <cfRule type="expression" dxfId="3" priority="50">
      <formula>AND(ISNUMBER(D35),ABS(D35)&gt;0.0001)</formula>
    </cfRule>
    <cfRule type="cellIs" dxfId="3" priority="51" operator="equal">
      <formula>"≠"</formula>
    </cfRule>
  </conditionalFormatting>
  <conditionalFormatting sqref="D36">
    <cfRule type="expression" dxfId="3" priority="52">
      <formula>AND(ISNUMBER(D36),ABS(D36)&gt;0.0001)</formula>
    </cfRule>
    <cfRule type="cellIs" dxfId="3" priority="53" operator="equal">
      <formula>"≠"</formula>
    </cfRule>
  </conditionalFormatting>
  <conditionalFormatting sqref="D37">
    <cfRule type="expression" dxfId="3" priority="54">
      <formula>AND(ISNUMBER(D37),ABS(D37)&gt;0.0001)</formula>
    </cfRule>
    <cfRule type="cellIs" dxfId="3" priority="55" operator="equal">
      <formula>"≠"</formula>
    </cfRule>
  </conditionalFormatting>
  <conditionalFormatting sqref="D38">
    <cfRule type="cellIs" dxfId="3" priority="56" operator="equal">
      <formula>"≠"</formula>
    </cfRule>
  </conditionalFormatting>
  <conditionalFormatting sqref="D39">
    <cfRule type="cellIs" dxfId="3" priority="57" operator="equal">
      <formula>"≠"</formula>
    </cfRule>
  </conditionalFormatting>
  <conditionalFormatting sqref="D40">
    <cfRule type="cellIs" dxfId="3" priority="58" operator="equal">
      <formula>"≠"</formula>
    </cfRule>
  </conditionalFormatting>
  <conditionalFormatting sqref="D41">
    <cfRule type="cellIs" dxfId="3" priority="59" operator="equal">
      <formula>"≠"</formula>
    </cfRule>
  </conditionalFormatting>
  <conditionalFormatting sqref="D42">
    <cfRule type="expression" dxfId="3" priority="60">
      <formula>AND(ISNUMBER(D42),ABS(D42)&gt;0.0001)</formula>
    </cfRule>
    <cfRule type="cellIs" dxfId="3" priority="61" operator="equal">
      <formula>"≠"</formula>
    </cfRule>
  </conditionalFormatting>
  <conditionalFormatting sqref="D7">
    <cfRule type="cellIs" dxfId="3" priority="1" operator="equal">
      <formula>"≠"</formula>
    </cfRule>
  </conditionalFormatting>
  <conditionalFormatting sqref="D8">
    <cfRule type="cellIs" dxfId="3" priority="2" operator="equal">
      <formula>"≠"</formula>
    </cfRule>
  </conditionalFormatting>
  <conditionalFormatting sqref="D9">
    <cfRule type="cellIs" dxfId="3" priority="3" operator="equal">
      <formula>"≠"</formula>
    </cfRule>
  </conditionalFormatting>
  <dataValidations count="2">
    <dataValidation type="list" allowBlank="1" showInputMessage="1" showErrorMessage="1" errorTitle="Dossier inconnu" error="Choisissez un dossier présent dans la synthèse." promptTitle="Dossier à comparer" prompt="Choisissez un dossier dans la liste (celle de la synthèse)." sqref="B4">
      <formula1>'Synthèse'!$B$4:$AO$4</formula1>
    </dataValidation>
    <dataValidation type="list" allowBlank="1" showInputMessage="1" showErrorMessage="1" errorTitle="Dossier inconnu" error="Choisissez un dossier présent dans la synthèse." promptTitle="Dossier à comparer" prompt="Choisissez un dossier dans la liste (celle de la synthèse)." sqref="C4">
      <formula1>'Synthèse'!$B$4:$AO$4</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811</v>
      </c>
      <c r="J1" s="35" t="s">
        <v>809</v>
      </c>
      <c r="K1" s="35" t="s">
        <v>810</v>
      </c>
    </row>
    <row r="2" spans="1:18">
      <c r="A2" s="36" t="s">
        <v>812</v>
      </c>
    </row>
    <row r="3" spans="1:18" ht="42" customHeight="1">
      <c r="A3" s="37" t="s">
        <v>813</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832</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834</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836</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8</v>
      </c>
      <c r="C18" s="13">
        <f>IFERROR(INDEX(P_RegLib,MATCH(B18,P_Regimes,0)),"")</f>
        <v>0</v>
      </c>
      <c r="D18" s="13"/>
      <c r="E18" s="13"/>
      <c r="F18" s="13"/>
      <c r="G18" s="13"/>
      <c r="H18" s="13"/>
      <c r="P18" s="35" t="s">
        <v>1080</v>
      </c>
      <c r="Q18" s="35" t="s">
        <v>1081</v>
      </c>
      <c r="R18" s="35">
        <f>IF($B$19&lt;&gt;"",1,0)</f>
        <v>0</v>
      </c>
    </row>
    <row r="19" spans="1:18">
      <c r="A19" s="17" t="s">
        <v>838</v>
      </c>
      <c r="B19" s="5" t="s">
        <v>21</v>
      </c>
      <c r="C19" s="13">
        <f>IFERROR(INDEX(P_SecLib,MATCH(B19,P_SecCodes,0)),"")</f>
        <v>0</v>
      </c>
      <c r="D19" s="13"/>
      <c r="E19" s="13"/>
      <c r="F19" s="13"/>
      <c r="G19" s="13"/>
      <c r="H19" s="13"/>
      <c r="P19" s="35" t="s">
        <v>1082</v>
      </c>
      <c r="Q19" s="35" t="s">
        <v>1083</v>
      </c>
      <c r="R19" s="35">
        <f>IF($B$20&lt;&gt;"",1,0)</f>
        <v>0</v>
      </c>
    </row>
    <row r="20" spans="1:18">
      <c r="A20" s="17" t="s">
        <v>839</v>
      </c>
      <c r="B20" s="5" t="s">
        <v>48</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465</v>
      </c>
      <c r="P26" s="35" t="s">
        <v>1096</v>
      </c>
      <c r="Q26" s="35" t="s">
        <v>1097</v>
      </c>
      <c r="R26" s="35">
        <f>IF($B$31&lt;&gt;"",1,0)</f>
        <v>0</v>
      </c>
    </row>
    <row r="27" spans="1:18">
      <c r="A27" s="13" t="s">
        <v>849</v>
      </c>
      <c r="B27" s="5" t="s">
        <v>257</v>
      </c>
      <c r="P27" s="35" t="s">
        <v>1098</v>
      </c>
      <c r="Q27" s="35" t="s">
        <v>1099</v>
      </c>
      <c r="R27" s="35">
        <f>IF($B$32&lt;&gt;"",1,0)</f>
        <v>0</v>
      </c>
    </row>
    <row r="28" spans="1:18">
      <c r="A28" s="13" t="s">
        <v>850</v>
      </c>
      <c r="B28" s="44">
        <v>20</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258</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257</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866</v>
      </c>
      <c r="B42" s="43">
        <v>590</v>
      </c>
      <c r="D42" s="45" t="s">
        <v>867</v>
      </c>
      <c r="E42" s="43">
        <v>465</v>
      </c>
      <c r="F42" s="45" t="s">
        <v>266</v>
      </c>
      <c r="G42" s="45"/>
      <c r="P42" s="35" t="s">
        <v>1128</v>
      </c>
      <c r="Q42" s="35">
        <f>"H"&amp;IF(COUNT($T$166:$T$168)=0,166,MIN($T$166:$T$168))</f>
        <v>0</v>
      </c>
      <c r="R42" s="35">
        <f>IF(COUNT($T$166:$T$168)=0,1,0)</f>
        <v>0</v>
      </c>
    </row>
    <row r="43" spans="1:18">
      <c r="A43" s="45" t="s">
        <v>868</v>
      </c>
      <c r="B43" s="43">
        <v>25</v>
      </c>
      <c r="D43" s="45" t="s">
        <v>869</v>
      </c>
      <c r="E43" s="43">
        <v>242</v>
      </c>
      <c r="F43" s="45" t="s">
        <v>269</v>
      </c>
      <c r="G43" s="45"/>
      <c r="P43" s="35" t="s">
        <v>1129</v>
      </c>
      <c r="Q43" s="35" t="s">
        <v>1130</v>
      </c>
      <c r="R43" s="35">
        <f>IF(OR($B$20="P1",$B$171&lt;&gt;""),1,0)</f>
        <v>0</v>
      </c>
    </row>
    <row r="44" spans="1:18">
      <c r="A44" s="45" t="s">
        <v>870</v>
      </c>
      <c r="B44" s="43">
        <v>20</v>
      </c>
      <c r="D44" s="45" t="s">
        <v>871</v>
      </c>
      <c r="E44" s="43">
        <v>40</v>
      </c>
      <c r="F44" s="45" t="s">
        <v>270</v>
      </c>
      <c r="G44" s="45"/>
      <c r="P44" s="35" t="s">
        <v>1131</v>
      </c>
      <c r="Q44" s="35" t="s">
        <v>1132</v>
      </c>
      <c r="R44" s="35">
        <f>IF(ISNUMBER($B$172),1,0)</f>
        <v>0</v>
      </c>
    </row>
    <row r="45" spans="1:18">
      <c r="A45" s="45" t="s">
        <v>872</v>
      </c>
      <c r="B45" s="43">
        <v>30</v>
      </c>
      <c r="D45" s="45"/>
      <c r="E45" s="43"/>
      <c r="F45" s="45"/>
      <c r="G45" s="45"/>
      <c r="P45" s="35" t="s">
        <v>1133</v>
      </c>
      <c r="Q45" s="35" t="s">
        <v>1134</v>
      </c>
      <c r="R45" s="35">
        <f>IF(ISNUMBER($B$173),1,0)</f>
        <v>0</v>
      </c>
    </row>
    <row r="46" spans="1:18">
      <c r="A46" s="45" t="s">
        <v>873</v>
      </c>
      <c r="B46" s="43">
        <v>18</v>
      </c>
      <c r="D46" s="45"/>
      <c r="E46" s="43"/>
      <c r="F46" s="45"/>
      <c r="G46" s="45"/>
      <c r="P46" s="35" t="s">
        <v>1135</v>
      </c>
      <c r="Q46" s="35" t="s">
        <v>1136</v>
      </c>
      <c r="R46" s="35">
        <f>IF(ISNUMBER($B$174),1,0)</f>
        <v>0</v>
      </c>
    </row>
    <row r="47" spans="1:18">
      <c r="A47" s="45" t="s">
        <v>874</v>
      </c>
      <c r="B47" s="43">
        <v>20</v>
      </c>
      <c r="D47" s="45"/>
      <c r="E47" s="43"/>
      <c r="F47" s="45"/>
      <c r="G47" s="45"/>
      <c r="P47" s="35" t="s">
        <v>1137</v>
      </c>
      <c r="Q47" s="35" t="s">
        <v>1138</v>
      </c>
      <c r="R47" s="35">
        <f>IF(ISNUMBER($B$175),1,0)</f>
        <v>0</v>
      </c>
    </row>
    <row r="48" spans="1:18">
      <c r="A48" s="45" t="s">
        <v>875</v>
      </c>
      <c r="B48" s="43">
        <v>4</v>
      </c>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t="s">
        <v>258</v>
      </c>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887</v>
      </c>
      <c r="B57" s="45" t="s">
        <v>279</v>
      </c>
      <c r="C57" s="45"/>
      <c r="D57" s="45"/>
      <c r="E57" s="43">
        <v>425</v>
      </c>
      <c r="F57" s="5" t="s">
        <v>286</v>
      </c>
      <c r="G57" s="43">
        <v>20</v>
      </c>
      <c r="H57" s="47"/>
      <c r="P57" s="35" t="s">
        <v>1157</v>
      </c>
      <c r="Q57" s="35" t="s">
        <v>1158</v>
      </c>
      <c r="R57" s="35">
        <f>IF(OR($B$184&lt;&gt;"Non",ISNUMBER($B$185)),1,0)</f>
        <v>0</v>
      </c>
    </row>
    <row r="58" spans="1:18">
      <c r="A58" s="46" t="s">
        <v>888</v>
      </c>
      <c r="B58" s="45" t="s">
        <v>280</v>
      </c>
      <c r="C58" s="45"/>
      <c r="D58" s="45"/>
      <c r="E58" s="43">
        <v>40</v>
      </c>
      <c r="F58" s="5" t="s">
        <v>286</v>
      </c>
      <c r="G58" s="43">
        <v>2</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80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152</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140</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25</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0.48</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v>0.4</v>
      </c>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895</v>
      </c>
      <c r="B74" s="45" t="s">
        <v>896</v>
      </c>
      <c r="C74" s="45"/>
      <c r="D74" s="45"/>
      <c r="E74" s="45"/>
      <c r="F74" s="45"/>
      <c r="G74" s="45"/>
      <c r="H74" s="45"/>
    </row>
    <row r="75" spans="1:8">
      <c r="A75" s="45" t="s">
        <v>897</v>
      </c>
      <c r="B75" s="45" t="s">
        <v>898</v>
      </c>
      <c r="C75" s="45"/>
      <c r="D75" s="45"/>
      <c r="E75" s="45"/>
      <c r="F75" s="45"/>
      <c r="G75" s="45"/>
      <c r="H75" s="45"/>
    </row>
    <row r="76" spans="1:8">
      <c r="A76" s="45" t="s">
        <v>899</v>
      </c>
      <c r="B76" s="45" t="s">
        <v>900</v>
      </c>
      <c r="C76" s="45"/>
      <c r="D76" s="45"/>
      <c r="E76" s="45"/>
      <c r="F76" s="45"/>
      <c r="G76" s="45"/>
      <c r="H76" s="45"/>
    </row>
    <row r="77" spans="1:8">
      <c r="A77" s="45" t="s">
        <v>901</v>
      </c>
      <c r="B77" s="45" t="s">
        <v>902</v>
      </c>
      <c r="C77" s="45"/>
      <c r="D77" s="45"/>
      <c r="E77" s="45"/>
      <c r="F77" s="45"/>
      <c r="G77" s="45"/>
      <c r="H77" s="45"/>
    </row>
    <row r="78" spans="1:8">
      <c r="A78" s="45" t="s">
        <v>903</v>
      </c>
      <c r="B78" s="45" t="s">
        <v>904</v>
      </c>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0.137871</v>
      </c>
      <c r="C91" s="47" t="s">
        <v>914</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922</v>
      </c>
      <c r="B93" s="43">
        <v>25.9</v>
      </c>
      <c r="C93" s="50">
        <v>19.45</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923</v>
      </c>
      <c r="B94" s="43">
        <v>28.1</v>
      </c>
      <c r="C94" s="50">
        <v>19.45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924</v>
      </c>
      <c r="B95" s="43">
        <v>25.5</v>
      </c>
      <c r="C95" s="50">
        <v>19.45</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925</v>
      </c>
      <c r="B96" s="43">
        <v>27.7</v>
      </c>
      <c r="C96" s="50">
        <v>19.45</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926</v>
      </c>
      <c r="B97" s="43">
        <v>25.2</v>
      </c>
      <c r="C97" s="50">
        <v>19.45</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927</v>
      </c>
      <c r="B98" s="43">
        <v>27.2</v>
      </c>
      <c r="C98" s="50">
        <v>19.45</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649</v>
      </c>
      <c r="F166" s="51"/>
      <c r="G166" s="51"/>
      <c r="H166" s="47" t="s">
        <v>941</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653</v>
      </c>
      <c r="F167" s="51"/>
      <c r="G167" s="51"/>
      <c r="H167" s="47" t="s">
        <v>943</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657</v>
      </c>
      <c r="F168" s="51"/>
      <c r="G168" s="51"/>
      <c r="H168" s="47" t="s">
        <v>945</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row>
    <row r="172" spans="1:20">
      <c r="A172" s="13" t="s">
        <v>949</v>
      </c>
      <c r="B172" s="50">
        <v>1.36</v>
      </c>
    </row>
    <row r="173" spans="1:20">
      <c r="A173" s="13" t="s">
        <v>950</v>
      </c>
      <c r="B173" s="43">
        <v>6</v>
      </c>
    </row>
    <row r="174" spans="1:20">
      <c r="A174" s="13" t="s">
        <v>951</v>
      </c>
      <c r="B174" s="49">
        <v>0</v>
      </c>
    </row>
    <row r="175" spans="1:20">
      <c r="A175" s="13" t="s">
        <v>952</v>
      </c>
      <c r="B175" s="49">
        <v>0</v>
      </c>
    </row>
    <row r="176" spans="1:20">
      <c r="A176" s="13" t="s">
        <v>953</v>
      </c>
      <c r="B176" s="5" t="s">
        <v>258</v>
      </c>
    </row>
    <row r="177" spans="1:20">
      <c r="A177" s="13" t="s">
        <v>954</v>
      </c>
      <c r="B177" s="49">
        <v>1</v>
      </c>
    </row>
    <row r="178" spans="1:20">
      <c r="A178" s="13" t="s">
        <v>955</v>
      </c>
      <c r="B178" s="5" t="s">
        <v>275</v>
      </c>
    </row>
    <row r="179" spans="1:20">
      <c r="A179" s="13" t="s">
        <v>956</v>
      </c>
      <c r="B179" s="43">
        <v>25</v>
      </c>
    </row>
    <row r="180" spans="1:20">
      <c r="A180" s="13" t="s">
        <v>957</v>
      </c>
      <c r="B180" s="43">
        <v>20</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ht="45" customHeight="1">
      <c r="A190" s="21" t="s">
        <v>969</v>
      </c>
      <c r="B190" s="17"/>
      <c r="C190" s="28">
        <f>IFERROR(INDEX(P_PoidsDom,1,MATCH($B$20,P_PoidsHdr,0)),"")</f>
        <v>0</v>
      </c>
      <c r="D190" s="14">
        <f>IF(N(C190)=0,"",SUMPRODUCT(B191:B193,C191:C193)+P_InfoInsuff*SUMPRODUCT((1-ISNUMBER(B191:B193))*C191:C193))</f>
        <v>0</v>
      </c>
      <c r="E190" s="47" t="s">
        <v>970</v>
      </c>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313</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325</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386</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ht="45" customHeight="1">
      <c r="A198" s="21" t="s">
        <v>980</v>
      </c>
      <c r="B198" s="17"/>
      <c r="C198" s="28">
        <f>IFERROR(INDEX(P_PoidsDom,3,MATCH($B$20,P_PoidsHdr,0)),"")</f>
        <v>0</v>
      </c>
      <c r="D198" s="14">
        <f>IF(N(C198)=0,"",SUMPRODUCT(B199:B201,C199:C201)+P_InfoInsuff*SUMPRODUCT((1-ISNUMBER(B199:B201))*C199:C201))</f>
        <v>0</v>
      </c>
      <c r="E198" s="47" t="s">
        <v>981</v>
      </c>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393</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ht="45" customHeight="1">
      <c r="A202" s="21" t="s">
        <v>985</v>
      </c>
      <c r="B202" s="17"/>
      <c r="C202" s="28">
        <f>IFERROR(INDEX(P_PoidsDom,4,MATCH($B$20,P_PoidsHdr,0)),"")</f>
        <v>0</v>
      </c>
      <c r="D202" s="14">
        <f>IF(N(C202)=0,"",SUMPRODUCT(B203:B205,C203:C205)+P_InfoInsuff*SUMPRODUCT((1-ISNUMBER(B203:B205))*C203:C205))</f>
        <v>0</v>
      </c>
      <c r="E202" s="47" t="s">
        <v>986</v>
      </c>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409</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470</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477</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546</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ht="45" customHeight="1">
      <c r="A210" s="21" t="s">
        <v>994</v>
      </c>
      <c r="B210" s="17"/>
      <c r="C210" s="28">
        <f>IFERROR(INDEX(P_PoidsDom,6,MATCH($B$20,P_PoidsHdr,0)),"")</f>
        <v>0</v>
      </c>
      <c r="D210" s="14">
        <f>IF(N(C210)=0,"",SUMPRODUCT(B211:B213,C211:C213)+P_InfoInsuff*SUMPRODUCT((1-ISNUMBER(B211:B213))*C211:C213))</f>
        <v>0</v>
      </c>
      <c r="E210" s="47" t="s">
        <v>995</v>
      </c>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610</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615</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617</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629</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633</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646</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1062</v>
      </c>
      <c r="C280" s="47"/>
      <c r="D280" s="47"/>
      <c r="E280" s="47"/>
      <c r="F280" s="47"/>
      <c r="G280" s="47"/>
      <c r="H280" s="47"/>
    </row>
    <row r="281" spans="1:8" ht="45" customHeight="1">
      <c r="A281" s="22" t="s">
        <v>1063</v>
      </c>
      <c r="B281" s="47" t="s">
        <v>1064</v>
      </c>
      <c r="C281" s="47"/>
      <c r="D281" s="47"/>
      <c r="E281" s="47"/>
      <c r="F281" s="47"/>
      <c r="G281" s="47"/>
      <c r="H281" s="47"/>
    </row>
    <row r="282" spans="1:8" ht="45" customHeight="1">
      <c r="A282" s="22" t="s">
        <v>1065</v>
      </c>
      <c r="B282" s="47" t="s">
        <v>1066</v>
      </c>
      <c r="C282" s="47"/>
      <c r="D282" s="47"/>
      <c r="E282" s="47"/>
      <c r="F282" s="47"/>
      <c r="G282" s="47"/>
      <c r="H282" s="47"/>
    </row>
    <row r="283" spans="1:8" ht="60" customHeight="1">
      <c r="A283" s="22" t="s">
        <v>1067</v>
      </c>
      <c r="B283" s="47" t="s">
        <v>1068</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c r="C284" s="47"/>
      <c r="D284" s="47"/>
      <c r="E284" s="47"/>
      <c r="F284" s="47"/>
      <c r="G284" s="47"/>
      <c r="H284" s="47"/>
    </row>
    <row r="285" spans="1:8" ht="30" customHeight="1">
      <c r="A285" s="22" t="s">
        <v>1069</v>
      </c>
      <c r="B285" s="5" t="s">
        <v>98</v>
      </c>
      <c r="C285" s="5"/>
      <c r="D285" s="47" t="s">
        <v>1070</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6.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1169</v>
      </c>
      <c r="J1" s="35" t="s">
        <v>809</v>
      </c>
      <c r="K1" s="35" t="s">
        <v>810</v>
      </c>
    </row>
    <row r="2" spans="1:18">
      <c r="A2" s="36" t="s">
        <v>1170</v>
      </c>
    </row>
    <row r="3" spans="1:18" ht="42" customHeight="1">
      <c r="A3" s="37" t="s">
        <v>1171</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1172</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1173</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1174</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10</v>
      </c>
      <c r="C18" s="13">
        <f>IFERROR(INDEX(P_RegLib,MATCH(B18,P_Regimes,0)),"")</f>
        <v>0</v>
      </c>
      <c r="D18" s="13"/>
      <c r="E18" s="13"/>
      <c r="F18" s="13"/>
      <c r="G18" s="13"/>
      <c r="H18" s="13"/>
      <c r="P18" s="35" t="s">
        <v>1080</v>
      </c>
      <c r="Q18" s="35" t="s">
        <v>1081</v>
      </c>
      <c r="R18" s="35">
        <f>IF($B$19&lt;&gt;"",1,0)</f>
        <v>0</v>
      </c>
    </row>
    <row r="19" spans="1:18">
      <c r="A19" s="17" t="s">
        <v>838</v>
      </c>
      <c r="B19" s="5" t="s">
        <v>23</v>
      </c>
      <c r="C19" s="13">
        <f>IFERROR(INDEX(P_SecLib,MATCH(B19,P_SecCodes,0)),"")</f>
        <v>0</v>
      </c>
      <c r="D19" s="13"/>
      <c r="E19" s="13"/>
      <c r="F19" s="13"/>
      <c r="G19" s="13"/>
      <c r="H19" s="13"/>
      <c r="P19" s="35" t="s">
        <v>1082</v>
      </c>
      <c r="Q19" s="35" t="s">
        <v>1083</v>
      </c>
      <c r="R19" s="35">
        <f>IF($B$20&lt;&gt;"",1,0)</f>
        <v>0</v>
      </c>
    </row>
    <row r="20" spans="1:18">
      <c r="A20" s="17" t="s">
        <v>839</v>
      </c>
      <c r="B20" s="5" t="s">
        <v>50</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420</v>
      </c>
      <c r="P26" s="35" t="s">
        <v>1096</v>
      </c>
      <c r="Q26" s="35" t="s">
        <v>1097</v>
      </c>
      <c r="R26" s="35">
        <f>IF($B$31&lt;&gt;"",1,0)</f>
        <v>0</v>
      </c>
    </row>
    <row r="27" spans="1:18">
      <c r="A27" s="13" t="s">
        <v>849</v>
      </c>
      <c r="B27" s="5" t="s">
        <v>258</v>
      </c>
      <c r="P27" s="35" t="s">
        <v>1098</v>
      </c>
      <c r="Q27" s="35" t="s">
        <v>1099</v>
      </c>
      <c r="R27" s="35">
        <f>IF($B$32&lt;&gt;"",1,0)</f>
        <v>0</v>
      </c>
    </row>
    <row r="28" spans="1:18">
      <c r="A28" s="13" t="s">
        <v>850</v>
      </c>
      <c r="B28" s="44">
        <v>20</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258</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257</v>
      </c>
      <c r="P33" s="35" t="s">
        <v>1110</v>
      </c>
      <c r="Q33" s="35" t="s">
        <v>1111</v>
      </c>
      <c r="R33" s="35">
        <f>IF(N($E$50)&gt;0,1,0)</f>
        <v>0</v>
      </c>
    </row>
    <row r="34" spans="1:18">
      <c r="A34" s="13" t="s">
        <v>856</v>
      </c>
      <c r="B34" s="5" t="s">
        <v>257</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4</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1175</v>
      </c>
      <c r="B42" s="43">
        <v>1780</v>
      </c>
      <c r="D42" s="45" t="s">
        <v>1176</v>
      </c>
      <c r="E42" s="43">
        <v>1680</v>
      </c>
      <c r="F42" s="45" t="s">
        <v>266</v>
      </c>
      <c r="G42" s="45"/>
      <c r="P42" s="35" t="s">
        <v>1128</v>
      </c>
      <c r="Q42" s="35">
        <f>"H"&amp;IF(COUNT($T$166:$T$168)=0,166,MIN($T$166:$T$168))</f>
        <v>0</v>
      </c>
      <c r="R42" s="35">
        <f>IF(COUNT($T$166:$T$168)=0,1,0)</f>
        <v>0</v>
      </c>
    </row>
    <row r="43" spans="1:18">
      <c r="A43" s="45" t="s">
        <v>1177</v>
      </c>
      <c r="B43" s="43">
        <v>240</v>
      </c>
      <c r="D43" s="45" t="s">
        <v>268</v>
      </c>
      <c r="E43" s="43">
        <v>720</v>
      </c>
      <c r="F43" s="45" t="s">
        <v>268</v>
      </c>
      <c r="G43" s="45"/>
      <c r="P43" s="35" t="s">
        <v>1129</v>
      </c>
      <c r="Q43" s="35" t="s">
        <v>1130</v>
      </c>
      <c r="R43" s="35">
        <f>IF(OR($B$20="P1",$B$171&lt;&gt;""),1,0)</f>
        <v>0</v>
      </c>
    </row>
    <row r="44" spans="1:18">
      <c r="A44" s="45" t="s">
        <v>870</v>
      </c>
      <c r="B44" s="43">
        <v>95</v>
      </c>
      <c r="D44" s="45"/>
      <c r="E44" s="43"/>
      <c r="F44" s="45"/>
      <c r="G44" s="45"/>
      <c r="P44" s="35" t="s">
        <v>1131</v>
      </c>
      <c r="Q44" s="35" t="s">
        <v>1132</v>
      </c>
      <c r="R44" s="35">
        <f>IF(ISNUMBER($B$172),1,0)</f>
        <v>0</v>
      </c>
    </row>
    <row r="45" spans="1:18">
      <c r="A45" s="45" t="s">
        <v>872</v>
      </c>
      <c r="B45" s="43">
        <v>110</v>
      </c>
      <c r="D45" s="45"/>
      <c r="E45" s="43"/>
      <c r="F45" s="45"/>
      <c r="G45" s="45"/>
      <c r="P45" s="35" t="s">
        <v>1133</v>
      </c>
      <c r="Q45" s="35" t="s">
        <v>1134</v>
      </c>
      <c r="R45" s="35">
        <f>IF(ISNUMBER($B$173),1,0)</f>
        <v>0</v>
      </c>
    </row>
    <row r="46" spans="1:18">
      <c r="A46" s="45" t="s">
        <v>873</v>
      </c>
      <c r="B46" s="43">
        <v>100</v>
      </c>
      <c r="D46" s="45"/>
      <c r="E46" s="43"/>
      <c r="F46" s="45"/>
      <c r="G46" s="45"/>
      <c r="P46" s="35" t="s">
        <v>1135</v>
      </c>
      <c r="Q46" s="35" t="s">
        <v>1136</v>
      </c>
      <c r="R46" s="35">
        <f>IF(ISNUMBER($B$174),1,0)</f>
        <v>0</v>
      </c>
    </row>
    <row r="47" spans="1:18">
      <c r="A47" s="45" t="s">
        <v>874</v>
      </c>
      <c r="B47" s="43">
        <v>50</v>
      </c>
      <c r="D47" s="45"/>
      <c r="E47" s="43"/>
      <c r="F47" s="45"/>
      <c r="G47" s="45"/>
      <c r="P47" s="35" t="s">
        <v>1137</v>
      </c>
      <c r="Q47" s="35" t="s">
        <v>1138</v>
      </c>
      <c r="R47" s="35">
        <f>IF(ISNUMBER($B$175),1,0)</f>
        <v>0</v>
      </c>
    </row>
    <row r="48" spans="1:18">
      <c r="A48" s="45" t="s">
        <v>875</v>
      </c>
      <c r="B48" s="43">
        <v>25</v>
      </c>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t="s">
        <v>258</v>
      </c>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1178</v>
      </c>
      <c r="B57" s="45" t="s">
        <v>279</v>
      </c>
      <c r="C57" s="45"/>
      <c r="D57" s="45"/>
      <c r="E57" s="43">
        <v>270</v>
      </c>
      <c r="F57" s="5" t="s">
        <v>286</v>
      </c>
      <c r="G57" s="43">
        <v>20</v>
      </c>
      <c r="H57" s="47"/>
      <c r="P57" s="35" t="s">
        <v>1157</v>
      </c>
      <c r="Q57" s="35" t="s">
        <v>1158</v>
      </c>
      <c r="R57" s="35">
        <f>IF(OR($B$184&lt;&gt;"Non",ISNUMBER($B$185)),1,0)</f>
        <v>0</v>
      </c>
    </row>
    <row r="58" spans="1:18">
      <c r="A58" s="46" t="s">
        <v>1179</v>
      </c>
      <c r="B58" s="45" t="s">
        <v>279</v>
      </c>
      <c r="C58" s="45"/>
      <c r="D58" s="45"/>
      <c r="E58" s="43">
        <v>150</v>
      </c>
      <c r="F58" s="5" t="s">
        <v>287</v>
      </c>
      <c r="G58" s="43">
        <v>20</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100000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3.6</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83</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60</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25</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1180</v>
      </c>
      <c r="B74" s="45" t="s">
        <v>1181</v>
      </c>
      <c r="C74" s="45"/>
      <c r="D74" s="45"/>
      <c r="E74" s="45"/>
      <c r="F74" s="45"/>
      <c r="G74" s="45"/>
      <c r="H74" s="45"/>
    </row>
    <row r="75" spans="1:8">
      <c r="A75" s="45" t="s">
        <v>1182</v>
      </c>
      <c r="B75" s="45" t="s">
        <v>1183</v>
      </c>
      <c r="C75" s="45"/>
      <c r="D75" s="45"/>
      <c r="E75" s="45"/>
      <c r="F75" s="45"/>
      <c r="G75" s="45"/>
      <c r="H75" s="45"/>
    </row>
    <row r="76" spans="1:8">
      <c r="A76" s="45" t="s">
        <v>899</v>
      </c>
      <c r="B76" s="45" t="s">
        <v>1184</v>
      </c>
      <c r="C76" s="45"/>
      <c r="D76" s="45"/>
      <c r="E76" s="45"/>
      <c r="F76" s="45"/>
      <c r="G76" s="45"/>
      <c r="H76" s="45"/>
    </row>
    <row r="77" spans="1:8">
      <c r="A77" s="45" t="s">
        <v>1185</v>
      </c>
      <c r="B77" s="45" t="s">
        <v>1186</v>
      </c>
      <c r="C77" s="45"/>
      <c r="D77" s="45"/>
      <c r="E77" s="45"/>
      <c r="F77" s="45"/>
      <c r="G77" s="45"/>
      <c r="H77" s="45"/>
    </row>
    <row r="78" spans="1:8">
      <c r="A78" s="45" t="s">
        <v>903</v>
      </c>
      <c r="B78" s="45" t="s">
        <v>1187</v>
      </c>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0.109606</v>
      </c>
      <c r="C91" s="47" t="s">
        <v>1188</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1189</v>
      </c>
      <c r="B93" s="43">
        <v>90</v>
      </c>
      <c r="C93" s="50">
        <v>73.25</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1190</v>
      </c>
      <c r="B94" s="43">
        <v>93</v>
      </c>
      <c r="C94" s="50">
        <v>73.25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1191</v>
      </c>
      <c r="B95" s="43">
        <v>97</v>
      </c>
      <c r="C95" s="50">
        <v>73.25</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1192</v>
      </c>
      <c r="B96" s="43">
        <v>99</v>
      </c>
      <c r="C96" s="50">
        <v>73.25</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row>
    <row r="98" spans="1:8">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650</v>
      </c>
      <c r="F166" s="51"/>
      <c r="G166" s="51"/>
      <c r="H166" s="47" t="s">
        <v>1193</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1194</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659</v>
      </c>
      <c r="F168" s="51"/>
      <c r="G168" s="51"/>
      <c r="H168" s="47" t="s">
        <v>1195</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80</v>
      </c>
    </row>
    <row r="172" spans="1:20">
      <c r="A172" s="13" t="s">
        <v>949</v>
      </c>
      <c r="B172" s="50">
        <v>1.34</v>
      </c>
    </row>
    <row r="173" spans="1:20">
      <c r="A173" s="13" t="s">
        <v>950</v>
      </c>
      <c r="B173" s="43">
        <v>4</v>
      </c>
    </row>
    <row r="174" spans="1:20">
      <c r="A174" s="13" t="s">
        <v>951</v>
      </c>
      <c r="B174" s="49">
        <v>0.14</v>
      </c>
    </row>
    <row r="175" spans="1:20">
      <c r="A175" s="13" t="s">
        <v>952</v>
      </c>
      <c r="B175" s="49">
        <v>0</v>
      </c>
    </row>
    <row r="176" spans="1:20">
      <c r="A176" s="13" t="s">
        <v>953</v>
      </c>
      <c r="B176" s="5" t="s">
        <v>258</v>
      </c>
    </row>
    <row r="177" spans="1:20">
      <c r="A177" s="13" t="s">
        <v>954</v>
      </c>
      <c r="B177" s="49">
        <v>1</v>
      </c>
    </row>
    <row r="178" spans="1:20">
      <c r="A178" s="13" t="s">
        <v>955</v>
      </c>
      <c r="B178" s="5" t="s">
        <v>275</v>
      </c>
    </row>
    <row r="179" spans="1:20">
      <c r="A179" s="13" t="s">
        <v>956</v>
      </c>
      <c r="B179" s="43">
        <v>25</v>
      </c>
    </row>
    <row r="180" spans="1:20">
      <c r="A180" s="13" t="s">
        <v>957</v>
      </c>
      <c r="B180" s="43">
        <v>20</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314</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ht="45" customHeight="1">
      <c r="A194" s="21" t="s">
        <v>976</v>
      </c>
      <c r="B194" s="17"/>
      <c r="C194" s="28">
        <f>IFERROR(INDEX(P_PoidsDom,2,MATCH($B$20,P_PoidsHdr,0)),"")</f>
        <v>0</v>
      </c>
      <c r="D194" s="14">
        <f>IF(N(C194)=0,"",SUMPRODUCT(B195:B197,C195:C197)+P_InfoInsuff*SUMPRODUCT((1-ISNUMBER(B195:B197))*C195:C197))</f>
        <v>0</v>
      </c>
      <c r="E194" s="47" t="s">
        <v>1196</v>
      </c>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330</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387</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399</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403</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ht="45" customHeight="1">
      <c r="A202" s="21" t="s">
        <v>985</v>
      </c>
      <c r="B202" s="17"/>
      <c r="C202" s="28">
        <f>IFERROR(INDEX(P_PoidsDom,4,MATCH($B$20,P_PoidsHdr,0)),"")</f>
        <v>0</v>
      </c>
      <c r="D202" s="14">
        <f>IF(N(C202)=0,"",SUMPRODUCT(B203:B205,C203:C205)+P_InfoInsuff*SUMPRODUCT((1-ISNUMBER(B203:B205))*C203:C205))</f>
        <v>0</v>
      </c>
      <c r="E202" s="47" t="s">
        <v>1197</v>
      </c>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415</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471</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482</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ht="45" customHeight="1">
      <c r="A206" s="21" t="s">
        <v>990</v>
      </c>
      <c r="B206" s="17"/>
      <c r="C206" s="28">
        <f>IFERROR(INDEX(P_PoidsDom,5,MATCH($B$20,P_PoidsHdr,0)),"")</f>
        <v>0</v>
      </c>
      <c r="D206" s="14">
        <f>IF(N(C206)=0,"",SUMPRODUCT(B207:B209,C207:C209)+P_InfoInsuff*SUMPRODUCT((1-ISNUMBER(B207:B209))*C207:C209))</f>
        <v>0</v>
      </c>
      <c r="E206" s="47" t="s">
        <v>1198</v>
      </c>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552</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607</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610</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615</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617</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ht="45" customHeight="1">
      <c r="A214" s="21" t="s">
        <v>999</v>
      </c>
      <c r="B214" s="17"/>
      <c r="C214" s="28">
        <f>IFERROR(INDEX(P_PoidsDom,8,MATCH($B$20,P_PoidsHdr,0)),"")</f>
        <v>0</v>
      </c>
      <c r="D214" s="14">
        <f>IF(N(C214)=0,"",SUMPRODUCT(B215:B217,C215:C217)+P_InfoInsuff*SUMPRODUCT((1-ISNUMBER(B215:B217))*C215:C217))</f>
        <v>0</v>
      </c>
      <c r="E214" s="47" t="s">
        <v>1199</v>
      </c>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627</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635</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646</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1200</v>
      </c>
      <c r="C280" s="47"/>
      <c r="D280" s="47"/>
      <c r="E280" s="47"/>
      <c r="F280" s="47"/>
      <c r="G280" s="47"/>
      <c r="H280" s="47"/>
    </row>
    <row r="281" spans="1:8" ht="45" customHeight="1">
      <c r="A281" s="22" t="s">
        <v>1063</v>
      </c>
      <c r="B281" s="47" t="s">
        <v>1201</v>
      </c>
      <c r="C281" s="47"/>
      <c r="D281" s="47"/>
      <c r="E281" s="47"/>
      <c r="F281" s="47"/>
      <c r="G281" s="47"/>
      <c r="H281" s="47"/>
    </row>
    <row r="282" spans="1:8" ht="45" customHeight="1">
      <c r="A282" s="22" t="s">
        <v>1065</v>
      </c>
      <c r="B282" s="47" t="s">
        <v>1202</v>
      </c>
      <c r="C282" s="47"/>
      <c r="D282" s="47"/>
      <c r="E282" s="47"/>
      <c r="F282" s="47"/>
      <c r="G282" s="47"/>
      <c r="H282" s="47"/>
    </row>
    <row r="283" spans="1:8" ht="60" customHeight="1">
      <c r="A283" s="22" t="s">
        <v>1067</v>
      </c>
      <c r="B283" s="47" t="s">
        <v>1203</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c r="C284" s="47"/>
      <c r="D284" s="47"/>
      <c r="E284" s="47"/>
      <c r="F284" s="47"/>
      <c r="G284" s="47"/>
      <c r="H284" s="47"/>
    </row>
    <row r="285" spans="1:8" ht="30" customHeight="1">
      <c r="A285" s="22" t="s">
        <v>1069</v>
      </c>
      <c r="B285" s="5" t="s">
        <v>290</v>
      </c>
      <c r="C285" s="5"/>
      <c r="D285" s="47" t="s">
        <v>1204</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7.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1205</v>
      </c>
      <c r="J1" s="35" t="s">
        <v>809</v>
      </c>
      <c r="K1" s="35" t="s">
        <v>810</v>
      </c>
    </row>
    <row r="2" spans="1:18">
      <c r="A2" s="36" t="s">
        <v>1206</v>
      </c>
    </row>
    <row r="3" spans="1:18" ht="42" customHeight="1">
      <c r="A3" s="37" t="s">
        <v>1207</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1208</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1209</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1210</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14</v>
      </c>
      <c r="C18" s="13">
        <f>IFERROR(INDEX(P_RegLib,MATCH(B18,P_Regimes,0)),"")</f>
        <v>0</v>
      </c>
      <c r="D18" s="13"/>
      <c r="E18" s="13"/>
      <c r="F18" s="13"/>
      <c r="G18" s="13"/>
      <c r="H18" s="13"/>
      <c r="P18" s="35" t="s">
        <v>1080</v>
      </c>
      <c r="Q18" s="35" t="s">
        <v>1081</v>
      </c>
      <c r="R18" s="35">
        <f>IF($B$19&lt;&gt;"",1,0)</f>
        <v>0</v>
      </c>
    </row>
    <row r="19" spans="1:18">
      <c r="A19" s="17" t="s">
        <v>838</v>
      </c>
      <c r="B19" s="5" t="s">
        <v>41</v>
      </c>
      <c r="C19" s="13">
        <f>IFERROR(INDEX(P_SecLib,MATCH(B19,P_SecCodes,0)),"")</f>
        <v>0</v>
      </c>
      <c r="D19" s="13"/>
      <c r="E19" s="13"/>
      <c r="F19" s="13"/>
      <c r="G19" s="13"/>
      <c r="H19" s="13"/>
      <c r="P19" s="35" t="s">
        <v>1082</v>
      </c>
      <c r="Q19" s="35" t="s">
        <v>1083</v>
      </c>
      <c r="R19" s="35">
        <f>IF($B$20&lt;&gt;"",1,0)</f>
        <v>0</v>
      </c>
    </row>
    <row r="20" spans="1:18">
      <c r="A20" s="17" t="s">
        <v>839</v>
      </c>
      <c r="B20" s="5" t="s">
        <v>50</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240</v>
      </c>
      <c r="P26" s="35" t="s">
        <v>1096</v>
      </c>
      <c r="Q26" s="35" t="s">
        <v>1097</v>
      </c>
      <c r="R26" s="35">
        <f>IF($B$31&lt;&gt;"",1,0)</f>
        <v>0</v>
      </c>
    </row>
    <row r="27" spans="1:18">
      <c r="A27" s="13" t="s">
        <v>849</v>
      </c>
      <c r="B27" s="5" t="s">
        <v>257</v>
      </c>
      <c r="P27" s="35" t="s">
        <v>1098</v>
      </c>
      <c r="Q27" s="35" t="s">
        <v>1099</v>
      </c>
      <c r="R27" s="35">
        <f>IF($B$32&lt;&gt;"",1,0)</f>
        <v>0</v>
      </c>
    </row>
    <row r="28" spans="1:18">
      <c r="A28" s="13" t="s">
        <v>850</v>
      </c>
      <c r="B28" s="44">
        <v>15</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258</v>
      </c>
      <c r="P30" s="35" t="s">
        <v>1104</v>
      </c>
      <c r="Q30" s="35" t="s">
        <v>1105</v>
      </c>
      <c r="R30" s="35">
        <f>IF($B$35&lt;&gt;"",1,0)</f>
        <v>0</v>
      </c>
    </row>
    <row r="31" spans="1:18">
      <c r="A31" s="13" t="s">
        <v>853</v>
      </c>
      <c r="B31" s="5" t="s">
        <v>258</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1211</v>
      </c>
      <c r="B42" s="43">
        <v>330</v>
      </c>
      <c r="D42" s="45" t="s">
        <v>1212</v>
      </c>
      <c r="E42" s="43">
        <v>240</v>
      </c>
      <c r="F42" s="45" t="s">
        <v>266</v>
      </c>
      <c r="G42" s="45"/>
      <c r="P42" s="35" t="s">
        <v>1128</v>
      </c>
      <c r="Q42" s="35">
        <f>"H"&amp;IF(COUNT($T$166:$T$168)=0,166,MIN($T$166:$T$168))</f>
        <v>0</v>
      </c>
      <c r="R42" s="35">
        <f>IF(COUNT($T$166:$T$168)=0,1,0)</f>
        <v>0</v>
      </c>
    </row>
    <row r="43" spans="1:18">
      <c r="A43" s="45" t="s">
        <v>1213</v>
      </c>
      <c r="B43" s="43">
        <v>60</v>
      </c>
      <c r="D43" s="45" t="s">
        <v>268</v>
      </c>
      <c r="E43" s="43">
        <v>240</v>
      </c>
      <c r="F43" s="45" t="s">
        <v>268</v>
      </c>
      <c r="G43" s="45"/>
      <c r="P43" s="35" t="s">
        <v>1129</v>
      </c>
      <c r="Q43" s="35" t="s">
        <v>1130</v>
      </c>
      <c r="R43" s="35">
        <f>IF(OR($B$20="P1",$B$171&lt;&gt;""),1,0)</f>
        <v>0</v>
      </c>
    </row>
    <row r="44" spans="1:18">
      <c r="A44" s="45" t="s">
        <v>1214</v>
      </c>
      <c r="B44" s="43">
        <v>45</v>
      </c>
      <c r="D44" s="45"/>
      <c r="E44" s="43"/>
      <c r="F44" s="45"/>
      <c r="G44" s="45"/>
      <c r="P44" s="35" t="s">
        <v>1131</v>
      </c>
      <c r="Q44" s="35" t="s">
        <v>1132</v>
      </c>
      <c r="R44" s="35">
        <f>IF(ISNUMBER($B$172),1,0)</f>
        <v>0</v>
      </c>
    </row>
    <row r="45" spans="1:18">
      <c r="A45" s="45" t="s">
        <v>1215</v>
      </c>
      <c r="B45" s="43">
        <v>30</v>
      </c>
      <c r="D45" s="45"/>
      <c r="E45" s="43"/>
      <c r="F45" s="45"/>
      <c r="G45" s="45"/>
      <c r="P45" s="35" t="s">
        <v>1133</v>
      </c>
      <c r="Q45" s="35" t="s">
        <v>1134</v>
      </c>
      <c r="R45" s="35">
        <f>IF(ISNUMBER($B$173),1,0)</f>
        <v>0</v>
      </c>
    </row>
    <row r="46" spans="1:18">
      <c r="A46" s="45" t="s">
        <v>874</v>
      </c>
      <c r="B46" s="43">
        <v>15</v>
      </c>
      <c r="D46" s="45"/>
      <c r="E46" s="43"/>
      <c r="F46" s="45"/>
      <c r="G46" s="45"/>
      <c r="P46" s="35" t="s">
        <v>1135</v>
      </c>
      <c r="Q46" s="35" t="s">
        <v>1136</v>
      </c>
      <c r="R46" s="35">
        <f>IF(ISNUMBER($B$174),1,0)</f>
        <v>0</v>
      </c>
    </row>
    <row r="47" spans="1:18">
      <c r="A47" s="45"/>
      <c r="B47" s="43"/>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t="s">
        <v>258</v>
      </c>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1216</v>
      </c>
      <c r="B57" s="45" t="s">
        <v>279</v>
      </c>
      <c r="C57" s="45"/>
      <c r="D57" s="45"/>
      <c r="E57" s="43">
        <v>240</v>
      </c>
      <c r="F57" s="5" t="s">
        <v>286</v>
      </c>
      <c r="G57" s="43">
        <v>15</v>
      </c>
      <c r="H57" s="47"/>
      <c r="P57" s="35" t="s">
        <v>1157</v>
      </c>
      <c r="Q57" s="35" t="s">
        <v>1158</v>
      </c>
      <c r="R57" s="35">
        <f>IF(OR($B$184&lt;&gt;"Non",ISNUMBER($B$185)),1,0)</f>
        <v>0</v>
      </c>
    </row>
    <row r="58" spans="1:18">
      <c r="A58" s="46"/>
      <c r="B58" s="45"/>
      <c r="C58" s="45"/>
      <c r="D58" s="45"/>
      <c r="E58" s="43"/>
      <c r="F58" s="5"/>
      <c r="G58" s="43"/>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220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65</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1350</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878</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55</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t="s">
        <v>1217</v>
      </c>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1218</v>
      </c>
      <c r="B74" s="45" t="s">
        <v>1219</v>
      </c>
      <c r="C74" s="45"/>
      <c r="D74" s="45"/>
      <c r="E74" s="45"/>
      <c r="F74" s="45"/>
      <c r="G74" s="45"/>
      <c r="H74" s="45"/>
    </row>
    <row r="75" spans="1:8">
      <c r="A75" s="45" t="s">
        <v>1220</v>
      </c>
      <c r="B75" s="45" t="s">
        <v>900</v>
      </c>
      <c r="C75" s="45"/>
      <c r="D75" s="45"/>
      <c r="E75" s="45"/>
      <c r="F75" s="45"/>
      <c r="G75" s="45"/>
      <c r="H75" s="45"/>
    </row>
    <row r="76" spans="1:8">
      <c r="A76" s="45" t="s">
        <v>1221</v>
      </c>
      <c r="B76" s="45" t="s">
        <v>1222</v>
      </c>
      <c r="C76" s="45"/>
      <c r="D76" s="45"/>
      <c r="E76" s="45"/>
      <c r="F76" s="45"/>
      <c r="G76" s="45"/>
      <c r="H76" s="45"/>
    </row>
    <row r="77" spans="1:8">
      <c r="A77" s="45" t="s">
        <v>1223</v>
      </c>
      <c r="B77" s="45" t="s">
        <v>1224</v>
      </c>
      <c r="C77" s="45"/>
      <c r="D77" s="45"/>
      <c r="E77" s="45"/>
      <c r="F77" s="45"/>
      <c r="G77" s="45"/>
      <c r="H77" s="45"/>
    </row>
    <row r="78" spans="1:8">
      <c r="A78" s="45" t="s">
        <v>903</v>
      </c>
      <c r="B78" s="45" t="s">
        <v>1225</v>
      </c>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0.289778</v>
      </c>
      <c r="C91" s="47" t="s">
        <v>1226</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1227</v>
      </c>
      <c r="B93" s="43">
        <v>16.5</v>
      </c>
      <c r="C93" s="50">
        <v>12.75</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1228</v>
      </c>
      <c r="B94" s="43">
        <v>13.5</v>
      </c>
      <c r="C94" s="50">
        <v>12.75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1229</v>
      </c>
      <c r="B95" s="43">
        <v>17.2</v>
      </c>
      <c r="C95" s="50">
        <v>12.75</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1230</v>
      </c>
      <c r="B96" s="43">
        <v>14.1</v>
      </c>
      <c r="C96" s="50">
        <v>12.75</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row>
    <row r="98" spans="1:8">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650</v>
      </c>
      <c r="F166" s="51"/>
      <c r="G166" s="51"/>
      <c r="H166" s="47" t="s">
        <v>1231</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653</v>
      </c>
      <c r="F167" s="51"/>
      <c r="G167" s="51"/>
      <c r="H167" s="47" t="s">
        <v>1232</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658</v>
      </c>
      <c r="F168" s="51"/>
      <c r="G168" s="51"/>
      <c r="H168" s="47" t="s">
        <v>1233</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50</v>
      </c>
    </row>
    <row r="172" spans="1:20">
      <c r="A172" s="13" t="s">
        <v>949</v>
      </c>
      <c r="B172" s="50">
        <v>1.175</v>
      </c>
    </row>
    <row r="173" spans="1:20">
      <c r="A173" s="13" t="s">
        <v>950</v>
      </c>
      <c r="B173" s="43">
        <v>6</v>
      </c>
    </row>
    <row r="174" spans="1:20">
      <c r="A174" s="13" t="s">
        <v>951</v>
      </c>
      <c r="B174" s="49">
        <v>0</v>
      </c>
    </row>
    <row r="175" spans="1:20">
      <c r="A175" s="13" t="s">
        <v>952</v>
      </c>
      <c r="B175" s="49">
        <v>0</v>
      </c>
    </row>
    <row r="176" spans="1:20">
      <c r="A176" s="13" t="s">
        <v>953</v>
      </c>
      <c r="B176" s="5" t="s">
        <v>258</v>
      </c>
    </row>
    <row r="177" spans="1:20">
      <c r="A177" s="13" t="s">
        <v>954</v>
      </c>
      <c r="B177" s="49">
        <v>0.3</v>
      </c>
    </row>
    <row r="178" spans="1:20">
      <c r="A178" s="13" t="s">
        <v>955</v>
      </c>
      <c r="B178" s="5" t="s">
        <v>277</v>
      </c>
    </row>
    <row r="179" spans="1:20">
      <c r="A179" s="13" t="s">
        <v>956</v>
      </c>
      <c r="B179" s="43"/>
    </row>
    <row r="180" spans="1:20">
      <c r="A180" s="13" t="s">
        <v>957</v>
      </c>
      <c r="B180" s="43">
        <v>15</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ht="45" customHeight="1">
      <c r="A190" s="21" t="s">
        <v>969</v>
      </c>
      <c r="B190" s="17"/>
      <c r="C190" s="28">
        <f>IFERROR(INDEX(P_PoidsDom,1,MATCH($B$20,P_PoidsHdr,0)),"")</f>
        <v>0</v>
      </c>
      <c r="D190" s="14">
        <f>IF(N(C190)=0,"",SUMPRODUCT(B191:B193,C191:C193)+P_InfoInsuff*SUMPRODUCT((1-ISNUMBER(B191:B193))*C191:C193))</f>
        <v>0</v>
      </c>
      <c r="E190" s="47" t="s">
        <v>1234</v>
      </c>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309</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313</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317</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375</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385</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393</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401</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ht="45" customHeight="1">
      <c r="A202" s="21" t="s">
        <v>985</v>
      </c>
      <c r="B202" s="17"/>
      <c r="C202" s="28">
        <f>IFERROR(INDEX(P_PoidsDom,4,MATCH($B$20,P_PoidsHdr,0)),"")</f>
        <v>0</v>
      </c>
      <c r="D202" s="14">
        <f>IF(N(C202)=0,"",SUMPRODUCT(B203:B205,C203:C205)+P_InfoInsuff*SUMPRODUCT((1-ISNUMBER(B203:B205))*C203:C205))</f>
        <v>0</v>
      </c>
      <c r="E202" s="47" t="s">
        <v>1235</v>
      </c>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461</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471</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529</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537</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596</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611</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614</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617</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ht="45" customHeight="1">
      <c r="A214" s="21" t="s">
        <v>999</v>
      </c>
      <c r="B214" s="17"/>
      <c r="C214" s="28">
        <f>IFERROR(INDEX(P_PoidsDom,8,MATCH($B$20,P_PoidsHdr,0)),"")</f>
        <v>0</v>
      </c>
      <c r="D214" s="14">
        <f>IF(N(C214)=0,"",SUMPRODUCT(B215:B217,C215:C217)+P_InfoInsuff*SUMPRODUCT((1-ISNUMBER(B215:B217))*C215:C217))</f>
        <v>0</v>
      </c>
      <c r="E214" s="47" t="s">
        <v>1236</v>
      </c>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621</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625</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629</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ht="45" customHeight="1">
      <c r="A218" s="21" t="s">
        <v>1003</v>
      </c>
      <c r="B218" s="17"/>
      <c r="C218" s="28">
        <f>IFERROR(INDEX(P_PoidsDom,9,MATCH($B$20,P_PoidsHdr,0)),"")</f>
        <v>0</v>
      </c>
      <c r="D218" s="14">
        <f>IF(N(C218)=0,"",SUMPRODUCT(B219:B222,C219:C222)+P_InfoInsuff*SUMPRODUCT((1-ISNUMBER(B219:B222))*C219:C222))</f>
        <v>0</v>
      </c>
      <c r="E218" s="47" t="s">
        <v>1237</v>
      </c>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634</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637</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641</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647</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1238</v>
      </c>
      <c r="C280" s="47"/>
      <c r="D280" s="47"/>
      <c r="E280" s="47"/>
      <c r="F280" s="47"/>
      <c r="G280" s="47"/>
      <c r="H280" s="47"/>
    </row>
    <row r="281" spans="1:8" ht="45" customHeight="1">
      <c r="A281" s="22" t="s">
        <v>1063</v>
      </c>
      <c r="B281" s="47" t="s">
        <v>1239</v>
      </c>
      <c r="C281" s="47"/>
      <c r="D281" s="47"/>
      <c r="E281" s="47"/>
      <c r="F281" s="47"/>
      <c r="G281" s="47"/>
      <c r="H281" s="47"/>
    </row>
    <row r="282" spans="1:8" ht="45" customHeight="1">
      <c r="A282" s="22" t="s">
        <v>1065</v>
      </c>
      <c r="B282" s="47" t="s">
        <v>1240</v>
      </c>
      <c r="C282" s="47"/>
      <c r="D282" s="47"/>
      <c r="E282" s="47"/>
      <c r="F282" s="47"/>
      <c r="G282" s="47"/>
      <c r="H282" s="47"/>
    </row>
    <row r="283" spans="1:8" ht="60" customHeight="1">
      <c r="A283" s="22" t="s">
        <v>1067</v>
      </c>
      <c r="B283" s="47" t="s">
        <v>1241</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1242</v>
      </c>
      <c r="C284" s="47"/>
      <c r="D284" s="47"/>
      <c r="E284" s="47"/>
      <c r="F284" s="47"/>
      <c r="G284" s="47"/>
      <c r="H284" s="47"/>
    </row>
    <row r="285" spans="1:8" ht="30" customHeight="1">
      <c r="A285" s="22" t="s">
        <v>1069</v>
      </c>
      <c r="B285" s="5" t="s">
        <v>291</v>
      </c>
      <c r="C285" s="5"/>
      <c r="D285" s="47" t="s">
        <v>1243</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8.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1244</v>
      </c>
      <c r="J1" s="35" t="s">
        <v>809</v>
      </c>
      <c r="K1" s="35" t="s">
        <v>810</v>
      </c>
    </row>
    <row r="2" spans="1:18">
      <c r="A2" s="36" t="s">
        <v>1245</v>
      </c>
    </row>
    <row r="3" spans="1:18" ht="42" customHeight="1">
      <c r="A3" s="37" t="s">
        <v>1246</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1247</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1248</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1249</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12</v>
      </c>
      <c r="C18" s="13">
        <f>IFERROR(INDEX(P_RegLib,MATCH(B18,P_Regimes,0)),"")</f>
        <v>0</v>
      </c>
      <c r="D18" s="13"/>
      <c r="E18" s="13"/>
      <c r="F18" s="13"/>
      <c r="G18" s="13"/>
      <c r="H18" s="13"/>
      <c r="P18" s="35" t="s">
        <v>1080</v>
      </c>
      <c r="Q18" s="35" t="s">
        <v>1081</v>
      </c>
      <c r="R18" s="35">
        <f>IF($B$19&lt;&gt;"",1,0)</f>
        <v>0</v>
      </c>
    </row>
    <row r="19" spans="1:18">
      <c r="A19" s="17" t="s">
        <v>838</v>
      </c>
      <c r="B19" s="5" t="s">
        <v>39</v>
      </c>
      <c r="C19" s="13">
        <f>IFERROR(INDEX(P_SecLib,MATCH(B19,P_SecCodes,0)),"")</f>
        <v>0</v>
      </c>
      <c r="D19" s="13"/>
      <c r="E19" s="13"/>
      <c r="F19" s="13"/>
      <c r="G19" s="13"/>
      <c r="H19" s="13"/>
      <c r="P19" s="35" t="s">
        <v>1082</v>
      </c>
      <c r="Q19" s="35" t="s">
        <v>1083</v>
      </c>
      <c r="R19" s="35">
        <f>IF($B$20&lt;&gt;"",1,0)</f>
        <v>0</v>
      </c>
    </row>
    <row r="20" spans="1:18">
      <c r="A20" s="17" t="s">
        <v>839</v>
      </c>
      <c r="B20" s="5" t="s">
        <v>52</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250</v>
      </c>
      <c r="P26" s="35" t="s">
        <v>1096</v>
      </c>
      <c r="Q26" s="35" t="s">
        <v>1097</v>
      </c>
      <c r="R26" s="35">
        <f>IF($B$31&lt;&gt;"",1,0)</f>
        <v>0</v>
      </c>
    </row>
    <row r="27" spans="1:18">
      <c r="A27" s="13" t="s">
        <v>849</v>
      </c>
      <c r="B27" s="5" t="s">
        <v>258</v>
      </c>
      <c r="P27" s="35" t="s">
        <v>1098</v>
      </c>
      <c r="Q27" s="35" t="s">
        <v>1099</v>
      </c>
      <c r="R27" s="35">
        <f>IF($B$32&lt;&gt;"",1,0)</f>
        <v>0</v>
      </c>
    </row>
    <row r="28" spans="1:18">
      <c r="A28" s="13" t="s">
        <v>850</v>
      </c>
      <c r="B28" s="44">
        <v>10</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258</v>
      </c>
      <c r="P30" s="35" t="s">
        <v>1104</v>
      </c>
      <c r="Q30" s="35" t="s">
        <v>1105</v>
      </c>
      <c r="R30" s="35">
        <f>IF($B$35&lt;&gt;"",1,0)</f>
        <v>0</v>
      </c>
    </row>
    <row r="31" spans="1:18">
      <c r="A31" s="13" t="s">
        <v>853</v>
      </c>
      <c r="B31" s="5" t="s">
        <v>258</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1250</v>
      </c>
      <c r="B42" s="43">
        <v>300</v>
      </c>
      <c r="D42" s="45" t="s">
        <v>1251</v>
      </c>
      <c r="E42" s="43">
        <v>250</v>
      </c>
      <c r="F42" s="45" t="s">
        <v>266</v>
      </c>
      <c r="G42" s="45"/>
      <c r="P42" s="35" t="s">
        <v>1128</v>
      </c>
      <c r="Q42" s="35">
        <f>"H"&amp;IF(COUNT($T$166:$T$168)=0,166,MIN($T$166:$T$168))</f>
        <v>0</v>
      </c>
      <c r="R42" s="35">
        <f>IF(COUNT($T$166:$T$168)=0,1,0)</f>
        <v>0</v>
      </c>
    </row>
    <row r="43" spans="1:18">
      <c r="A43" s="45" t="s">
        <v>1252</v>
      </c>
      <c r="B43" s="43">
        <v>70</v>
      </c>
      <c r="D43" s="45" t="s">
        <v>268</v>
      </c>
      <c r="E43" s="43">
        <v>170</v>
      </c>
      <c r="F43" s="45" t="s">
        <v>268</v>
      </c>
      <c r="G43" s="45"/>
      <c r="P43" s="35" t="s">
        <v>1129</v>
      </c>
      <c r="Q43" s="35" t="s">
        <v>1130</v>
      </c>
      <c r="R43" s="35">
        <f>IF(OR($B$20="P1",$B$171&lt;&gt;""),1,0)</f>
        <v>0</v>
      </c>
    </row>
    <row r="44" spans="1:18">
      <c r="A44" s="45" t="s">
        <v>1253</v>
      </c>
      <c r="B44" s="43">
        <v>25</v>
      </c>
      <c r="D44" s="45"/>
      <c r="E44" s="43"/>
      <c r="F44" s="45"/>
      <c r="G44" s="45"/>
      <c r="P44" s="35" t="s">
        <v>1131</v>
      </c>
      <c r="Q44" s="35" t="s">
        <v>1132</v>
      </c>
      <c r="R44" s="35">
        <f>IF(ISNUMBER($B$172),1,0)</f>
        <v>0</v>
      </c>
    </row>
    <row r="45" spans="1:18">
      <c r="A45" s="45" t="s">
        <v>1254</v>
      </c>
      <c r="B45" s="43">
        <v>17</v>
      </c>
      <c r="D45" s="45"/>
      <c r="E45" s="43"/>
      <c r="F45" s="45"/>
      <c r="G45" s="45"/>
      <c r="P45" s="35" t="s">
        <v>1133</v>
      </c>
      <c r="Q45" s="35" t="s">
        <v>1134</v>
      </c>
      <c r="R45" s="35">
        <f>IF(ISNUMBER($B$173),1,0)</f>
        <v>0</v>
      </c>
    </row>
    <row r="46" spans="1:18">
      <c r="A46" s="45" t="s">
        <v>1255</v>
      </c>
      <c r="B46" s="43">
        <v>8</v>
      </c>
      <c r="D46" s="45"/>
      <c r="E46" s="43"/>
      <c r="F46" s="45"/>
      <c r="G46" s="45"/>
      <c r="P46" s="35" t="s">
        <v>1135</v>
      </c>
      <c r="Q46" s="35" t="s">
        <v>1136</v>
      </c>
      <c r="R46" s="35">
        <f>IF(ISNUMBER($B$174),1,0)</f>
        <v>0</v>
      </c>
    </row>
    <row r="47" spans="1:18">
      <c r="A47" s="45"/>
      <c r="B47" s="43"/>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t="s">
        <v>258</v>
      </c>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1256</v>
      </c>
      <c r="B57" s="45" t="s">
        <v>279</v>
      </c>
      <c r="C57" s="45"/>
      <c r="D57" s="45"/>
      <c r="E57" s="43">
        <v>250</v>
      </c>
      <c r="F57" s="5" t="s">
        <v>286</v>
      </c>
      <c r="G57" s="43">
        <v>10</v>
      </c>
      <c r="H57" s="47"/>
      <c r="P57" s="35" t="s">
        <v>1157</v>
      </c>
      <c r="Q57" s="35" t="s">
        <v>1158</v>
      </c>
      <c r="R57" s="35">
        <f>IF(OR($B$184&lt;&gt;"Non",ISNUMBER($B$185)),1,0)</f>
        <v>0</v>
      </c>
    </row>
    <row r="58" spans="1:18">
      <c r="A58" s="46"/>
      <c r="B58" s="45"/>
      <c r="C58" s="45"/>
      <c r="D58" s="45"/>
      <c r="E58" s="43"/>
      <c r="F58" s="5"/>
      <c r="G58" s="43"/>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60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3.2</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70</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40</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1218</v>
      </c>
      <c r="B74" s="45" t="s">
        <v>1257</v>
      </c>
      <c r="C74" s="45"/>
      <c r="D74" s="45"/>
      <c r="E74" s="45"/>
      <c r="F74" s="45"/>
      <c r="G74" s="45"/>
      <c r="H74" s="45"/>
    </row>
    <row r="75" spans="1:8">
      <c r="A75" s="45" t="s">
        <v>1220</v>
      </c>
      <c r="B75" s="45" t="s">
        <v>1258</v>
      </c>
      <c r="C75" s="45"/>
      <c r="D75" s="45"/>
      <c r="E75" s="45"/>
      <c r="F75" s="45"/>
      <c r="G75" s="45"/>
      <c r="H75" s="45"/>
    </row>
    <row r="76" spans="1:8">
      <c r="A76" s="45" t="s">
        <v>899</v>
      </c>
      <c r="B76" s="45" t="s">
        <v>1183</v>
      </c>
      <c r="C76" s="45"/>
      <c r="D76" s="45"/>
      <c r="E76" s="45"/>
      <c r="F76" s="45"/>
      <c r="G76" s="45"/>
      <c r="H76" s="45"/>
    </row>
    <row r="77" spans="1:8">
      <c r="A77" s="45" t="s">
        <v>1223</v>
      </c>
      <c r="B77" s="45" t="s">
        <v>1259</v>
      </c>
      <c r="C77" s="45"/>
      <c r="D77" s="45"/>
      <c r="E77" s="45"/>
      <c r="F77" s="45"/>
      <c r="G77" s="45"/>
      <c r="H77" s="45"/>
    </row>
    <row r="78" spans="1:8">
      <c r="A78" s="45" t="s">
        <v>1260</v>
      </c>
      <c r="B78" s="45" t="s">
        <v>1261</v>
      </c>
      <c r="C78" s="45"/>
      <c r="D78" s="45"/>
      <c r="E78" s="45"/>
      <c r="F78" s="45"/>
      <c r="G78" s="45"/>
      <c r="H78" s="45"/>
    </row>
    <row r="79" spans="1:8">
      <c r="A79" s="45" t="s">
        <v>903</v>
      </c>
      <c r="B79" s="45" t="s">
        <v>1262</v>
      </c>
      <c r="C79" s="45"/>
      <c r="D79" s="45"/>
      <c r="E79" s="45"/>
      <c r="F79" s="45"/>
      <c r="G79" s="45"/>
      <c r="H79" s="45"/>
    </row>
    <row r="80" spans="1:8">
      <c r="A80" s="45" t="s">
        <v>1263</v>
      </c>
      <c r="B80" s="45" t="s">
        <v>1264</v>
      </c>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0.3285</v>
      </c>
      <c r="C91" s="47" t="s">
        <v>1265</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1266</v>
      </c>
      <c r="B93" s="43">
        <v>42</v>
      </c>
      <c r="C93" s="50">
        <v>17</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1267</v>
      </c>
      <c r="B94" s="43">
        <v>10</v>
      </c>
      <c r="C94" s="50">
        <v>17</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1268</v>
      </c>
      <c r="B95" s="43">
        <v>43</v>
      </c>
      <c r="C95" s="50">
        <v>17</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1269</v>
      </c>
      <c r="B96" s="43">
        <v>10.5</v>
      </c>
      <c r="C96" s="50">
        <v>17</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row>
    <row r="98" spans="1:8">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651</v>
      </c>
      <c r="F166" s="51"/>
      <c r="G166" s="51"/>
      <c r="H166" s="47" t="s">
        <v>1270</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653</v>
      </c>
      <c r="F167" s="51"/>
      <c r="G167" s="51"/>
      <c r="H167" s="47" t="s">
        <v>1271</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660</v>
      </c>
      <c r="F168" s="51"/>
      <c r="G168" s="51"/>
      <c r="H168" s="47" t="s">
        <v>1272</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80</v>
      </c>
    </row>
    <row r="172" spans="1:20">
      <c r="A172" s="13" t="s">
        <v>949</v>
      </c>
      <c r="B172" s="50">
        <v>1.53</v>
      </c>
    </row>
    <row r="173" spans="1:20">
      <c r="A173" s="13" t="s">
        <v>950</v>
      </c>
      <c r="B173" s="43">
        <v>3</v>
      </c>
    </row>
    <row r="174" spans="1:20">
      <c r="A174" s="13" t="s">
        <v>951</v>
      </c>
      <c r="B174" s="49">
        <v>1.32</v>
      </c>
    </row>
    <row r="175" spans="1:20">
      <c r="A175" s="13" t="s">
        <v>952</v>
      </c>
      <c r="B175" s="49">
        <v>0</v>
      </c>
    </row>
    <row r="176" spans="1:20">
      <c r="A176" s="13" t="s">
        <v>953</v>
      </c>
      <c r="B176" s="5" t="s">
        <v>258</v>
      </c>
    </row>
    <row r="177" spans="1:20">
      <c r="A177" s="13" t="s">
        <v>954</v>
      </c>
      <c r="B177" s="49">
        <v>0.4</v>
      </c>
    </row>
    <row r="178" spans="1:20">
      <c r="A178" s="13" t="s">
        <v>955</v>
      </c>
      <c r="B178" s="5" t="s">
        <v>277</v>
      </c>
    </row>
    <row r="179" spans="1:20">
      <c r="A179" s="13" t="s">
        <v>956</v>
      </c>
      <c r="B179" s="43">
        <v>10</v>
      </c>
    </row>
    <row r="180" spans="1:20">
      <c r="A180" s="13" t="s">
        <v>957</v>
      </c>
      <c r="B180" s="43">
        <v>10</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315</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371</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387</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ht="45" customHeight="1">
      <c r="A202" s="21" t="s">
        <v>985</v>
      </c>
      <c r="B202" s="17"/>
      <c r="C202" s="28">
        <f>IFERROR(INDEX(P_PoidsDom,4,MATCH($B$20,P_PoidsHdr,0)),"")</f>
        <v>0</v>
      </c>
      <c r="D202" s="14">
        <f>IF(N(C202)=0,"",SUMPRODUCT(B203:B205,C203:C205)+P_InfoInsuff*SUMPRODUCT((1-ISNUMBER(B203:B205))*C203:C205))</f>
        <v>0</v>
      </c>
      <c r="E202" s="47" t="s">
        <v>1273</v>
      </c>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456</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471</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524</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591</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607</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611</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615</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ht="45" customHeight="1">
      <c r="A218" s="21" t="s">
        <v>1003</v>
      </c>
      <c r="B218" s="17"/>
      <c r="C218" s="28">
        <f>IFERROR(INDEX(P_PoidsDom,9,MATCH($B$20,P_PoidsHdr,0)),"")</f>
        <v>0</v>
      </c>
      <c r="D218" s="14">
        <f>IF(N(C218)=0,"",SUMPRODUCT(B219:B222,C219:C222)+P_InfoInsuff*SUMPRODUCT((1-ISNUMBER(B219:B222))*C219:C222))</f>
        <v>0</v>
      </c>
      <c r="E218" s="47" t="s">
        <v>1274</v>
      </c>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635</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643</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648</v>
      </c>
      <c r="F222" s="51"/>
      <c r="G222" s="51"/>
      <c r="H222" s="47" t="s">
        <v>1275</v>
      </c>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1276</v>
      </c>
      <c r="C280" s="47"/>
      <c r="D280" s="47"/>
      <c r="E280" s="47"/>
      <c r="F280" s="47"/>
      <c r="G280" s="47"/>
      <c r="H280" s="47"/>
    </row>
    <row r="281" spans="1:8" ht="45" customHeight="1">
      <c r="A281" s="22" t="s">
        <v>1063</v>
      </c>
      <c r="B281" s="47" t="s">
        <v>1277</v>
      </c>
      <c r="C281" s="47"/>
      <c r="D281" s="47"/>
      <c r="E281" s="47"/>
      <c r="F281" s="47"/>
      <c r="G281" s="47"/>
      <c r="H281" s="47"/>
    </row>
    <row r="282" spans="1:8" ht="45" customHeight="1">
      <c r="A282" s="22" t="s">
        <v>1065</v>
      </c>
      <c r="B282" s="47" t="s">
        <v>1278</v>
      </c>
      <c r="C282" s="47"/>
      <c r="D282" s="47"/>
      <c r="E282" s="47"/>
      <c r="F282" s="47"/>
      <c r="G282" s="47"/>
      <c r="H282" s="47"/>
    </row>
    <row r="283" spans="1:8" ht="60" customHeight="1">
      <c r="A283" s="22" t="s">
        <v>1067</v>
      </c>
      <c r="B283" s="47" t="s">
        <v>1279</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1280</v>
      </c>
      <c r="C284" s="47"/>
      <c r="D284" s="47"/>
      <c r="E284" s="47"/>
      <c r="F284" s="47"/>
      <c r="G284" s="47"/>
      <c r="H284" s="47"/>
    </row>
    <row r="285" spans="1:8" ht="30" customHeight="1">
      <c r="A285" s="22" t="s">
        <v>1069</v>
      </c>
      <c r="B285" s="5" t="s">
        <v>292</v>
      </c>
      <c r="C285" s="5"/>
      <c r="D285" s="47" t="s">
        <v>1281</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9.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1282</v>
      </c>
      <c r="J1" s="35" t="s">
        <v>809</v>
      </c>
      <c r="K1" s="35" t="s">
        <v>810</v>
      </c>
    </row>
    <row r="2" spans="1:18">
      <c r="A2" s="36" t="s">
        <v>1245</v>
      </c>
    </row>
    <row r="3" spans="1:18" ht="42" customHeight="1">
      <c r="A3" s="37" t="s">
        <v>1283</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1247</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1248</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1249</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12</v>
      </c>
      <c r="C18" s="13">
        <f>IFERROR(INDEX(P_RegLib,MATCH(B18,P_Regimes,0)),"")</f>
        <v>0</v>
      </c>
      <c r="D18" s="13"/>
      <c r="E18" s="13"/>
      <c r="F18" s="13"/>
      <c r="G18" s="13"/>
      <c r="H18" s="13"/>
      <c r="P18" s="35" t="s">
        <v>1080</v>
      </c>
      <c r="Q18" s="35" t="s">
        <v>1081</v>
      </c>
      <c r="R18" s="35">
        <f>IF($B$19&lt;&gt;"",1,0)</f>
        <v>0</v>
      </c>
    </row>
    <row r="19" spans="1:18">
      <c r="A19" s="17" t="s">
        <v>838</v>
      </c>
      <c r="B19" s="5" t="s">
        <v>39</v>
      </c>
      <c r="C19" s="13">
        <f>IFERROR(INDEX(P_SecLib,MATCH(B19,P_SecCodes,0)),"")</f>
        <v>0</v>
      </c>
      <c r="D19" s="13"/>
      <c r="E19" s="13"/>
      <c r="F19" s="13"/>
      <c r="G19" s="13"/>
      <c r="H19" s="13"/>
      <c r="P19" s="35" t="s">
        <v>1082</v>
      </c>
      <c r="Q19" s="35" t="s">
        <v>1083</v>
      </c>
      <c r="R19" s="35">
        <f>IF($B$20&lt;&gt;"",1,0)</f>
        <v>0</v>
      </c>
    </row>
    <row r="20" spans="1:18">
      <c r="A20" s="17" t="s">
        <v>839</v>
      </c>
      <c r="B20" s="5" t="s">
        <v>52</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210</v>
      </c>
      <c r="P26" s="35" t="s">
        <v>1096</v>
      </c>
      <c r="Q26" s="35" t="s">
        <v>1097</v>
      </c>
      <c r="R26" s="35">
        <f>IF($B$31&lt;&gt;"",1,0)</f>
        <v>0</v>
      </c>
    </row>
    <row r="27" spans="1:18">
      <c r="A27" s="13" t="s">
        <v>849</v>
      </c>
      <c r="B27" s="5" t="s">
        <v>258</v>
      </c>
      <c r="P27" s="35" t="s">
        <v>1098</v>
      </c>
      <c r="Q27" s="35" t="s">
        <v>1099</v>
      </c>
      <c r="R27" s="35">
        <f>IF($B$32&lt;&gt;"",1,0)</f>
        <v>0</v>
      </c>
    </row>
    <row r="28" spans="1:18">
      <c r="A28" s="13" t="s">
        <v>850</v>
      </c>
      <c r="B28" s="44">
        <v>10</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258</v>
      </c>
      <c r="P30" s="35" t="s">
        <v>1104</v>
      </c>
      <c r="Q30" s="35" t="s">
        <v>1105</v>
      </c>
      <c r="R30" s="35">
        <f>IF($B$35&lt;&gt;"",1,0)</f>
        <v>0</v>
      </c>
    </row>
    <row r="31" spans="1:18">
      <c r="A31" s="13" t="s">
        <v>853</v>
      </c>
      <c r="B31" s="5" t="s">
        <v>258</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1250</v>
      </c>
      <c r="B42" s="43">
        <v>300</v>
      </c>
      <c r="D42" s="45" t="s">
        <v>1284</v>
      </c>
      <c r="E42" s="43">
        <v>210</v>
      </c>
      <c r="F42" s="45" t="s">
        <v>266</v>
      </c>
      <c r="G42" s="45"/>
      <c r="P42" s="35" t="s">
        <v>1128</v>
      </c>
      <c r="Q42" s="35">
        <f>"H"&amp;IF(COUNT($T$166:$T$168)=0,166,MIN($T$166:$T$168))</f>
        <v>0</v>
      </c>
      <c r="R42" s="35">
        <f>IF(COUNT($T$166:$T$168)=0,1,0)</f>
        <v>0</v>
      </c>
    </row>
    <row r="43" spans="1:18">
      <c r="A43" s="45" t="s">
        <v>1252</v>
      </c>
      <c r="B43" s="43">
        <v>70</v>
      </c>
      <c r="D43" s="45" t="s">
        <v>268</v>
      </c>
      <c r="E43" s="43">
        <v>210</v>
      </c>
      <c r="F43" s="45" t="s">
        <v>268</v>
      </c>
      <c r="G43" s="45"/>
      <c r="P43" s="35" t="s">
        <v>1129</v>
      </c>
      <c r="Q43" s="35" t="s">
        <v>1130</v>
      </c>
      <c r="R43" s="35">
        <f>IF(OR($B$20="P1",$B$171&lt;&gt;""),1,0)</f>
        <v>0</v>
      </c>
    </row>
    <row r="44" spans="1:18">
      <c r="A44" s="45" t="s">
        <v>1253</v>
      </c>
      <c r="B44" s="43">
        <v>25</v>
      </c>
      <c r="D44" s="45" t="s">
        <v>1285</v>
      </c>
      <c r="E44" s="43">
        <v>25</v>
      </c>
      <c r="F44" s="45" t="s">
        <v>271</v>
      </c>
      <c r="G44" s="45"/>
      <c r="P44" s="35" t="s">
        <v>1131</v>
      </c>
      <c r="Q44" s="35" t="s">
        <v>1132</v>
      </c>
      <c r="R44" s="35">
        <f>IF(ISNUMBER($B$172),1,0)</f>
        <v>0</v>
      </c>
    </row>
    <row r="45" spans="1:18">
      <c r="A45" s="45" t="s">
        <v>1254</v>
      </c>
      <c r="B45" s="43">
        <v>17</v>
      </c>
      <c r="D45" s="45"/>
      <c r="E45" s="43"/>
      <c r="F45" s="45"/>
      <c r="G45" s="45"/>
      <c r="P45" s="35" t="s">
        <v>1133</v>
      </c>
      <c r="Q45" s="35" t="s">
        <v>1134</v>
      </c>
      <c r="R45" s="35">
        <f>IF(ISNUMBER($B$173),1,0)</f>
        <v>0</v>
      </c>
    </row>
    <row r="46" spans="1:18">
      <c r="A46" s="45" t="s">
        <v>1255</v>
      </c>
      <c r="B46" s="43">
        <v>8</v>
      </c>
      <c r="D46" s="45"/>
      <c r="E46" s="43"/>
      <c r="F46" s="45"/>
      <c r="G46" s="45"/>
      <c r="P46" s="35" t="s">
        <v>1135</v>
      </c>
      <c r="Q46" s="35" t="s">
        <v>1136</v>
      </c>
      <c r="R46" s="35">
        <f>IF(ISNUMBER($B$174),1,0)</f>
        <v>0</v>
      </c>
    </row>
    <row r="47" spans="1:18">
      <c r="A47" s="45"/>
      <c r="B47" s="43"/>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t="s">
        <v>258</v>
      </c>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1286</v>
      </c>
      <c r="B57" s="45" t="s">
        <v>279</v>
      </c>
      <c r="C57" s="45"/>
      <c r="D57" s="45"/>
      <c r="E57" s="43">
        <v>210</v>
      </c>
      <c r="F57" s="5" t="s">
        <v>286</v>
      </c>
      <c r="G57" s="43">
        <v>10</v>
      </c>
      <c r="H57" s="47"/>
      <c r="P57" s="35" t="s">
        <v>1157</v>
      </c>
      <c r="Q57" s="35" t="s">
        <v>1158</v>
      </c>
      <c r="R57" s="35">
        <f>IF(OR($B$184&lt;&gt;"Non",ISNUMBER($B$185)),1,0)</f>
        <v>0</v>
      </c>
    </row>
    <row r="58" spans="1:18">
      <c r="A58" s="46" t="s">
        <v>1287</v>
      </c>
      <c r="B58" s="45" t="s">
        <v>281</v>
      </c>
      <c r="C58" s="45"/>
      <c r="D58" s="45"/>
      <c r="E58" s="43">
        <v>25</v>
      </c>
      <c r="F58" s="5" t="s">
        <v>286</v>
      </c>
      <c r="G58" s="43">
        <v>1</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60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3.2</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70</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40</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1218</v>
      </c>
      <c r="B74" s="45" t="s">
        <v>1288</v>
      </c>
      <c r="C74" s="45"/>
      <c r="D74" s="45"/>
      <c r="E74" s="45"/>
      <c r="F74" s="45"/>
      <c r="G74" s="45"/>
      <c r="H74" s="45"/>
    </row>
    <row r="75" spans="1:8">
      <c r="A75" s="45" t="s">
        <v>1223</v>
      </c>
      <c r="B75" s="45" t="s">
        <v>1289</v>
      </c>
      <c r="C75" s="45"/>
      <c r="D75" s="45"/>
      <c r="E75" s="45"/>
      <c r="F75" s="45"/>
      <c r="G75" s="45"/>
      <c r="H75" s="45"/>
    </row>
    <row r="76" spans="1:8">
      <c r="A76" s="45" t="s">
        <v>1290</v>
      </c>
      <c r="B76" s="45" t="s">
        <v>1291</v>
      </c>
      <c r="C76" s="45"/>
      <c r="D76" s="45"/>
      <c r="E76" s="45"/>
      <c r="F76" s="45"/>
      <c r="G76" s="45"/>
      <c r="H76" s="45"/>
    </row>
    <row r="77" spans="1:8">
      <c r="A77" s="45" t="s">
        <v>1292</v>
      </c>
      <c r="B77" s="45" t="s">
        <v>1293</v>
      </c>
      <c r="C77" s="45"/>
      <c r="D77" s="45"/>
      <c r="E77" s="45"/>
      <c r="F77" s="45"/>
      <c r="G77" s="45"/>
      <c r="H77" s="45"/>
    </row>
    <row r="78" spans="1:8">
      <c r="A78" s="45" t="s">
        <v>1294</v>
      </c>
      <c r="B78" s="45" t="s">
        <v>1295</v>
      </c>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0.32619</v>
      </c>
      <c r="C91" s="47" t="s">
        <v>1296</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1266</v>
      </c>
      <c r="B93" s="43">
        <v>42</v>
      </c>
      <c r="C93" s="50">
        <v>25</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1267</v>
      </c>
      <c r="B94" s="43">
        <v>10</v>
      </c>
      <c r="C94" s="50">
        <v>3.5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1268</v>
      </c>
      <c r="B95" s="43">
        <v>43</v>
      </c>
      <c r="C95" s="50">
        <v>25</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1269</v>
      </c>
      <c r="B96" s="43">
        <v>10.5</v>
      </c>
      <c r="C96" s="50">
        <v>3.5</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row>
    <row r="98" spans="1:8">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649</v>
      </c>
      <c r="F166" s="51"/>
      <c r="G166" s="51"/>
      <c r="H166" s="47" t="s">
        <v>1297</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653</v>
      </c>
      <c r="F167" s="51"/>
      <c r="G167" s="51"/>
      <c r="H167" s="47" t="s">
        <v>1298</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658</v>
      </c>
      <c r="F168" s="51"/>
      <c r="G168" s="51"/>
      <c r="H168" s="47" t="s">
        <v>1299</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100</v>
      </c>
    </row>
    <row r="172" spans="1:20">
      <c r="A172" s="13" t="s">
        <v>949</v>
      </c>
      <c r="B172" s="50">
        <v>1.82</v>
      </c>
    </row>
    <row r="173" spans="1:20">
      <c r="A173" s="13" t="s">
        <v>950</v>
      </c>
      <c r="B173" s="43">
        <v>6</v>
      </c>
    </row>
    <row r="174" spans="1:20">
      <c r="A174" s="13" t="s">
        <v>951</v>
      </c>
      <c r="B174" s="49">
        <v>0.16</v>
      </c>
    </row>
    <row r="175" spans="1:20">
      <c r="A175" s="13" t="s">
        <v>952</v>
      </c>
      <c r="B175" s="49">
        <v>0</v>
      </c>
    </row>
    <row r="176" spans="1:20">
      <c r="A176" s="13" t="s">
        <v>953</v>
      </c>
      <c r="B176" s="5" t="s">
        <v>258</v>
      </c>
    </row>
    <row r="177" spans="1:20">
      <c r="A177" s="13" t="s">
        <v>954</v>
      </c>
      <c r="B177" s="49">
        <v>0.4</v>
      </c>
    </row>
    <row r="178" spans="1:20">
      <c r="A178" s="13" t="s">
        <v>955</v>
      </c>
      <c r="B178" s="5" t="s">
        <v>277</v>
      </c>
    </row>
    <row r="179" spans="1:20">
      <c r="A179" s="13" t="s">
        <v>956</v>
      </c>
      <c r="B179" s="43">
        <v>10</v>
      </c>
    </row>
    <row r="180" spans="1:20">
      <c r="A180" s="13" t="s">
        <v>957</v>
      </c>
      <c r="B180" s="43">
        <v>10</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315</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371</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387</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c r="A202" s="21" t="s">
        <v>985</v>
      </c>
      <c r="B202" s="17"/>
      <c r="C202" s="28">
        <f>IFERROR(INDEX(P_PoidsDom,4,MATCH($B$20,P_PoidsHdr,0)),"")</f>
        <v>0</v>
      </c>
      <c r="D202" s="14">
        <f>IF(N(C202)=0,"",SUMPRODUCT(B203:B205,C203:C205)+P_InfoInsuff*SUMPRODUCT((1-ISNUMBER(B203:B205))*C203:C205))</f>
        <v>0</v>
      </c>
      <c r="E202" s="47"/>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456</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471</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524</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591</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607</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611</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615</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635</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643</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648</v>
      </c>
      <c r="F222" s="51"/>
      <c r="G222" s="51"/>
      <c r="H222" s="47" t="s">
        <v>1300</v>
      </c>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1301</v>
      </c>
      <c r="C280" s="47"/>
      <c r="D280" s="47"/>
      <c r="E280" s="47"/>
      <c r="F280" s="47"/>
      <c r="G280" s="47"/>
      <c r="H280" s="47"/>
    </row>
    <row r="281" spans="1:8" ht="45" customHeight="1">
      <c r="A281" s="22" t="s">
        <v>1063</v>
      </c>
      <c r="B281" s="47" t="s">
        <v>1302</v>
      </c>
      <c r="C281" s="47"/>
      <c r="D281" s="47"/>
      <c r="E281" s="47"/>
      <c r="F281" s="47"/>
      <c r="G281" s="47"/>
      <c r="H281" s="47"/>
    </row>
    <row r="282" spans="1:8" ht="45" customHeight="1">
      <c r="A282" s="22" t="s">
        <v>1065</v>
      </c>
      <c r="B282" s="47" t="s">
        <v>1303</v>
      </c>
      <c r="C282" s="47"/>
      <c r="D282" s="47"/>
      <c r="E282" s="47"/>
      <c r="F282" s="47"/>
      <c r="G282" s="47"/>
      <c r="H282" s="47"/>
    </row>
    <row r="283" spans="1:8" ht="60" customHeight="1">
      <c r="A283" s="22" t="s">
        <v>1067</v>
      </c>
      <c r="B283" s="47" t="s">
        <v>1304</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1305</v>
      </c>
      <c r="C284" s="47"/>
      <c r="D284" s="47"/>
      <c r="E284" s="47"/>
      <c r="F284" s="47"/>
      <c r="G284" s="47"/>
      <c r="H284" s="47"/>
    </row>
    <row r="285" spans="1:8" ht="30" customHeight="1">
      <c r="A285" s="22" t="s">
        <v>1069</v>
      </c>
      <c r="B285" s="5" t="s">
        <v>290</v>
      </c>
      <c r="C285" s="5"/>
      <c r="D285" s="47" t="s">
        <v>1306</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10.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1307</v>
      </c>
      <c r="J1" s="35" t="s">
        <v>809</v>
      </c>
      <c r="K1" s="35" t="s">
        <v>810</v>
      </c>
    </row>
    <row r="2" spans="1:18">
      <c r="A2" s="36" t="s">
        <v>1308</v>
      </c>
    </row>
    <row r="3" spans="1:18" ht="42" customHeight="1">
      <c r="A3" s="37" t="s">
        <v>1309</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1310</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1311</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1312</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8</v>
      </c>
      <c r="C18" s="13">
        <f>IFERROR(INDEX(P_RegLib,MATCH(B18,P_Regimes,0)),"")</f>
        <v>0</v>
      </c>
      <c r="D18" s="13"/>
      <c r="E18" s="13"/>
      <c r="F18" s="13"/>
      <c r="G18" s="13"/>
      <c r="H18" s="13"/>
      <c r="P18" s="35" t="s">
        <v>1080</v>
      </c>
      <c r="Q18" s="35" t="s">
        <v>1081</v>
      </c>
      <c r="R18" s="35">
        <f>IF($B$19&lt;&gt;"",1,0)</f>
        <v>0</v>
      </c>
    </row>
    <row r="19" spans="1:18">
      <c r="A19" s="17" t="s">
        <v>838</v>
      </c>
      <c r="B19" s="5" t="s">
        <v>21</v>
      </c>
      <c r="C19" s="13">
        <f>IFERROR(INDEX(P_SecLib,MATCH(B19,P_SecCodes,0)),"")</f>
        <v>0</v>
      </c>
      <c r="D19" s="13"/>
      <c r="E19" s="13"/>
      <c r="F19" s="13"/>
      <c r="G19" s="13"/>
      <c r="H19" s="13"/>
      <c r="P19" s="35" t="s">
        <v>1082</v>
      </c>
      <c r="Q19" s="35" t="s">
        <v>1083</v>
      </c>
      <c r="R19" s="35">
        <f>IF($B$20&lt;&gt;"",1,0)</f>
        <v>0</v>
      </c>
    </row>
    <row r="20" spans="1:18">
      <c r="A20" s="17" t="s">
        <v>839</v>
      </c>
      <c r="B20" s="5" t="s">
        <v>48</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60</v>
      </c>
      <c r="P26" s="35" t="s">
        <v>1096</v>
      </c>
      <c r="Q26" s="35" t="s">
        <v>1097</v>
      </c>
      <c r="R26" s="35">
        <f>IF($B$31&lt;&gt;"",1,0)</f>
        <v>0</v>
      </c>
    </row>
    <row r="27" spans="1:18">
      <c r="A27" s="13" t="s">
        <v>849</v>
      </c>
      <c r="B27" s="5" t="s">
        <v>257</v>
      </c>
      <c r="P27" s="35" t="s">
        <v>1098</v>
      </c>
      <c r="Q27" s="35" t="s">
        <v>1099</v>
      </c>
      <c r="R27" s="35">
        <f>IF($B$32&lt;&gt;"",1,0)</f>
        <v>0</v>
      </c>
    </row>
    <row r="28" spans="1:18">
      <c r="A28" s="13" t="s">
        <v>850</v>
      </c>
      <c r="B28" s="44">
        <v>12</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2</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1313</v>
      </c>
      <c r="B42" s="43">
        <v>88</v>
      </c>
      <c r="D42" s="45" t="s">
        <v>1314</v>
      </c>
      <c r="E42" s="43">
        <v>60</v>
      </c>
      <c r="F42" s="45" t="s">
        <v>266</v>
      </c>
      <c r="G42" s="45"/>
      <c r="P42" s="35" t="s">
        <v>1128</v>
      </c>
      <c r="Q42" s="35">
        <f>"H"&amp;IF(COUNT($T$166:$T$168)=0,166,MIN($T$166:$T$168))</f>
        <v>0</v>
      </c>
      <c r="R42" s="35">
        <f>IF(COUNT($T$166:$T$168)=0,1,0)</f>
        <v>0</v>
      </c>
    </row>
    <row r="43" spans="1:18">
      <c r="A43" s="45" t="s">
        <v>1315</v>
      </c>
      <c r="B43" s="43">
        <v>7</v>
      </c>
      <c r="D43" s="45" t="s">
        <v>268</v>
      </c>
      <c r="E43" s="43">
        <v>48</v>
      </c>
      <c r="F43" s="45" t="s">
        <v>268</v>
      </c>
      <c r="G43" s="45"/>
      <c r="P43" s="35" t="s">
        <v>1129</v>
      </c>
      <c r="Q43" s="35" t="s">
        <v>1130</v>
      </c>
      <c r="R43" s="35">
        <f>IF(OR($B$20="P1",$B$171&lt;&gt;""),1,0)</f>
        <v>0</v>
      </c>
    </row>
    <row r="44" spans="1:18">
      <c r="A44" s="45" t="s">
        <v>1316</v>
      </c>
      <c r="B44" s="43">
        <v>5</v>
      </c>
      <c r="D44" s="45"/>
      <c r="E44" s="43"/>
      <c r="F44" s="45"/>
      <c r="G44" s="45"/>
      <c r="P44" s="35" t="s">
        <v>1131</v>
      </c>
      <c r="Q44" s="35" t="s">
        <v>1132</v>
      </c>
      <c r="R44" s="35">
        <f>IF(ISNUMBER($B$172),1,0)</f>
        <v>0</v>
      </c>
    </row>
    <row r="45" spans="1:18">
      <c r="A45" s="45" t="s">
        <v>873</v>
      </c>
      <c r="B45" s="43">
        <v>2</v>
      </c>
      <c r="D45" s="45"/>
      <c r="E45" s="43"/>
      <c r="F45" s="45"/>
      <c r="G45" s="45"/>
      <c r="P45" s="35" t="s">
        <v>1133</v>
      </c>
      <c r="Q45" s="35" t="s">
        <v>1134</v>
      </c>
      <c r="R45" s="35">
        <f>IF(ISNUMBER($B$173),1,0)</f>
        <v>0</v>
      </c>
    </row>
    <row r="46" spans="1:18">
      <c r="A46" s="45" t="s">
        <v>1255</v>
      </c>
      <c r="B46" s="43">
        <v>3.6</v>
      </c>
      <c r="D46" s="45"/>
      <c r="E46" s="43"/>
      <c r="F46" s="45"/>
      <c r="G46" s="45"/>
      <c r="P46" s="35" t="s">
        <v>1135</v>
      </c>
      <c r="Q46" s="35" t="s">
        <v>1136</v>
      </c>
      <c r="R46" s="35">
        <f>IF(ISNUMBER($B$174),1,0)</f>
        <v>0</v>
      </c>
    </row>
    <row r="47" spans="1:18">
      <c r="A47" s="45"/>
      <c r="B47" s="43"/>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t="s">
        <v>258</v>
      </c>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1317</v>
      </c>
      <c r="B57" s="45" t="s">
        <v>279</v>
      </c>
      <c r="C57" s="45"/>
      <c r="D57" s="45"/>
      <c r="E57" s="43">
        <v>60</v>
      </c>
      <c r="F57" s="5" t="s">
        <v>286</v>
      </c>
      <c r="G57" s="43">
        <v>12</v>
      </c>
      <c r="H57" s="47"/>
      <c r="P57" s="35" t="s">
        <v>1157</v>
      </c>
      <c r="Q57" s="35" t="s">
        <v>1158</v>
      </c>
      <c r="R57" s="35">
        <f>IF(OR($B$184&lt;&gt;"Non",ISNUMBER($B$185)),1,0)</f>
        <v>0</v>
      </c>
    </row>
    <row r="58" spans="1:18">
      <c r="A58" s="46"/>
      <c r="B58" s="45"/>
      <c r="C58" s="45"/>
      <c r="D58" s="45"/>
      <c r="E58" s="43"/>
      <c r="F58" s="5"/>
      <c r="G58" s="43"/>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12</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21.6</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20.1</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15</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0.8</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v>0.5</v>
      </c>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1318</v>
      </c>
      <c r="B74" s="45" t="s">
        <v>1319</v>
      </c>
      <c r="C74" s="45"/>
      <c r="D74" s="45"/>
      <c r="E74" s="45"/>
      <c r="F74" s="45"/>
      <c r="G74" s="45"/>
      <c r="H74" s="45"/>
    </row>
    <row r="75" spans="1:8">
      <c r="A75" s="45" t="s">
        <v>1218</v>
      </c>
      <c r="B75" s="45" t="s">
        <v>1320</v>
      </c>
      <c r="C75" s="45"/>
      <c r="D75" s="45"/>
      <c r="E75" s="45"/>
      <c r="F75" s="45"/>
      <c r="G75" s="45"/>
      <c r="H75" s="45"/>
    </row>
    <row r="76" spans="1:8">
      <c r="A76" s="45" t="s">
        <v>1220</v>
      </c>
      <c r="B76" s="45" t="s">
        <v>1321</v>
      </c>
      <c r="C76" s="45"/>
      <c r="D76" s="45"/>
      <c r="E76" s="45"/>
      <c r="F76" s="45"/>
      <c r="G76" s="45"/>
      <c r="H76" s="45"/>
    </row>
    <row r="77" spans="1:8">
      <c r="A77" s="45" t="s">
        <v>1223</v>
      </c>
      <c r="B77" s="45" t="s">
        <v>1322</v>
      </c>
      <c r="C77" s="45"/>
      <c r="D77" s="45"/>
      <c r="E77" s="45"/>
      <c r="F77" s="45"/>
      <c r="G77" s="45"/>
      <c r="H77" s="45"/>
    </row>
    <row r="78" spans="1:8">
      <c r="A78" s="45" t="s">
        <v>903</v>
      </c>
      <c r="B78" s="45" t="s">
        <v>1323</v>
      </c>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0.066813</v>
      </c>
      <c r="C91" s="47" t="s">
        <v>1324</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922</v>
      </c>
      <c r="B93" s="43">
        <v>6.3</v>
      </c>
      <c r="C93" s="50">
        <v>3.58</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923</v>
      </c>
      <c r="B94" s="43">
        <v>6.9</v>
      </c>
      <c r="C94" s="50">
        <v>3.58</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1325</v>
      </c>
      <c r="B95" s="43">
        <v>6</v>
      </c>
      <c r="C95" s="50">
        <v>3.58</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1326</v>
      </c>
      <c r="B96" s="43">
        <v>6.6</v>
      </c>
      <c r="C96" s="50">
        <v>3.58</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row>
    <row r="98" spans="1:8">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649</v>
      </c>
      <c r="F166" s="51"/>
      <c r="G166" s="51"/>
      <c r="H166" s="47" t="s">
        <v>1327</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653</v>
      </c>
      <c r="F167" s="51"/>
      <c r="G167" s="51"/>
      <c r="H167" s="47" t="s">
        <v>1328</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657</v>
      </c>
      <c r="F168" s="51"/>
      <c r="G168" s="51"/>
      <c r="H168" s="47" t="s">
        <v>1329</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row>
    <row r="172" spans="1:20">
      <c r="A172" s="13" t="s">
        <v>949</v>
      </c>
      <c r="B172" s="50">
        <v>1.78</v>
      </c>
    </row>
    <row r="173" spans="1:20">
      <c r="A173" s="13" t="s">
        <v>950</v>
      </c>
      <c r="B173" s="43">
        <v>6</v>
      </c>
    </row>
    <row r="174" spans="1:20">
      <c r="A174" s="13" t="s">
        <v>951</v>
      </c>
      <c r="B174" s="49">
        <v>0</v>
      </c>
    </row>
    <row r="175" spans="1:20">
      <c r="A175" s="13" t="s">
        <v>952</v>
      </c>
      <c r="B175" s="49">
        <v>0</v>
      </c>
    </row>
    <row r="176" spans="1:20">
      <c r="A176" s="13" t="s">
        <v>953</v>
      </c>
      <c r="B176" s="5" t="s">
        <v>258</v>
      </c>
    </row>
    <row r="177" spans="1:20">
      <c r="A177" s="13" t="s">
        <v>954</v>
      </c>
      <c r="B177" s="49">
        <v>1</v>
      </c>
    </row>
    <row r="178" spans="1:20">
      <c r="A178" s="13" t="s">
        <v>955</v>
      </c>
      <c r="B178" s="5" t="s">
        <v>277</v>
      </c>
    </row>
    <row r="179" spans="1:20">
      <c r="A179" s="13" t="s">
        <v>956</v>
      </c>
      <c r="B179" s="43">
        <v>15</v>
      </c>
    </row>
    <row r="180" spans="1:20">
      <c r="A180" s="13" t="s">
        <v>957</v>
      </c>
      <c r="B180" s="43">
        <v>12</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314</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319</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325</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386</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389</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397</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c r="A202" s="21" t="s">
        <v>985</v>
      </c>
      <c r="B202" s="17"/>
      <c r="C202" s="28">
        <f>IFERROR(INDEX(P_PoidsDom,4,MATCH($B$20,P_PoidsHdr,0)),"")</f>
        <v>0</v>
      </c>
      <c r="D202" s="14">
        <f>IF(N(C202)=0,"",SUMPRODUCT(B203:B205,C203:C205)+P_InfoInsuff*SUMPRODUCT((1-ISNUMBER(B203:B205))*C203:C205))</f>
        <v>0</v>
      </c>
      <c r="E202" s="47"/>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410</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471</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478</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546</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ht="45" customHeight="1">
      <c r="A210" s="21" t="s">
        <v>994</v>
      </c>
      <c r="B210" s="17"/>
      <c r="C210" s="28">
        <f>IFERROR(INDEX(P_PoidsDom,6,MATCH($B$20,P_PoidsHdr,0)),"")</f>
        <v>0</v>
      </c>
      <c r="D210" s="14">
        <f>IF(N(C210)=0,"",SUMPRODUCT(B211:B213,C211:C213)+P_InfoInsuff*SUMPRODUCT((1-ISNUMBER(B211:B213))*C211:C213))</f>
        <v>0</v>
      </c>
      <c r="E210" s="47" t="s">
        <v>1330</v>
      </c>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611</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614</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633</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643</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646</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1331</v>
      </c>
      <c r="C280" s="47"/>
      <c r="D280" s="47"/>
      <c r="E280" s="47"/>
      <c r="F280" s="47"/>
      <c r="G280" s="47"/>
      <c r="H280" s="47"/>
    </row>
    <row r="281" spans="1:8" ht="45" customHeight="1">
      <c r="A281" s="22" t="s">
        <v>1063</v>
      </c>
      <c r="B281" s="47" t="s">
        <v>1332</v>
      </c>
      <c r="C281" s="47"/>
      <c r="D281" s="47"/>
      <c r="E281" s="47"/>
      <c r="F281" s="47"/>
      <c r="G281" s="47"/>
      <c r="H281" s="47"/>
    </row>
    <row r="282" spans="1:8" ht="45" customHeight="1">
      <c r="A282" s="22" t="s">
        <v>1065</v>
      </c>
      <c r="B282" s="47" t="s">
        <v>1333</v>
      </c>
      <c r="C282" s="47"/>
      <c r="D282" s="47"/>
      <c r="E282" s="47"/>
      <c r="F282" s="47"/>
      <c r="G282" s="47"/>
      <c r="H282" s="47"/>
    </row>
    <row r="283" spans="1:8" ht="60" customHeight="1">
      <c r="A283" s="22" t="s">
        <v>1067</v>
      </c>
      <c r="B283" s="47" t="s">
        <v>1334</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1335</v>
      </c>
      <c r="C284" s="47"/>
      <c r="D284" s="47"/>
      <c r="E284" s="47"/>
      <c r="F284" s="47"/>
      <c r="G284" s="47"/>
      <c r="H284" s="47"/>
    </row>
    <row r="285" spans="1:8" ht="30" customHeight="1">
      <c r="A285" s="22" t="s">
        <v>1069</v>
      </c>
      <c r="B285" s="5" t="s">
        <v>290</v>
      </c>
      <c r="C285" s="5"/>
      <c r="D285" s="47" t="s">
        <v>1336</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11.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1337</v>
      </c>
      <c r="J1" s="35" t="s">
        <v>809</v>
      </c>
      <c r="K1" s="35" t="s">
        <v>810</v>
      </c>
    </row>
    <row r="2" spans="1:18">
      <c r="A2" s="36" t="s">
        <v>1338</v>
      </c>
    </row>
    <row r="3" spans="1:18" ht="42" customHeight="1">
      <c r="A3" s="37" t="s">
        <v>1339</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1340</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1341</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1342</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8</v>
      </c>
      <c r="C18" s="13">
        <f>IFERROR(INDEX(P_RegLib,MATCH(B18,P_Regimes,0)),"")</f>
        <v>0</v>
      </c>
      <c r="D18" s="13"/>
      <c r="E18" s="13"/>
      <c r="F18" s="13"/>
      <c r="G18" s="13"/>
      <c r="H18" s="13"/>
      <c r="P18" s="35" t="s">
        <v>1080</v>
      </c>
      <c r="Q18" s="35" t="s">
        <v>1081</v>
      </c>
      <c r="R18" s="35">
        <f>IF($B$19&lt;&gt;"",1,0)</f>
        <v>0</v>
      </c>
    </row>
    <row r="19" spans="1:18">
      <c r="A19" s="17" t="s">
        <v>838</v>
      </c>
      <c r="B19" s="5" t="s">
        <v>21</v>
      </c>
      <c r="C19" s="13">
        <f>IFERROR(INDEX(P_SecLib,MATCH(B19,P_SecCodes,0)),"")</f>
        <v>0</v>
      </c>
      <c r="D19" s="13"/>
      <c r="E19" s="13"/>
      <c r="F19" s="13"/>
      <c r="G19" s="13"/>
      <c r="H19" s="13"/>
      <c r="P19" s="35" t="s">
        <v>1082</v>
      </c>
      <c r="Q19" s="35" t="s">
        <v>1083</v>
      </c>
      <c r="R19" s="35">
        <f>IF($B$20&lt;&gt;"",1,0)</f>
        <v>0</v>
      </c>
    </row>
    <row r="20" spans="1:18">
      <c r="A20" s="17" t="s">
        <v>839</v>
      </c>
      <c r="B20" s="5" t="s">
        <v>48</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470</v>
      </c>
      <c r="P26" s="35" t="s">
        <v>1096</v>
      </c>
      <c r="Q26" s="35" t="s">
        <v>1097</v>
      </c>
      <c r="R26" s="35">
        <f>IF($B$31&lt;&gt;"",1,0)</f>
        <v>0</v>
      </c>
    </row>
    <row r="27" spans="1:18">
      <c r="A27" s="13" t="s">
        <v>849</v>
      </c>
      <c r="B27" s="5" t="s">
        <v>257</v>
      </c>
      <c r="P27" s="35" t="s">
        <v>1098</v>
      </c>
      <c r="Q27" s="35" t="s">
        <v>1099</v>
      </c>
      <c r="R27" s="35">
        <f>IF($B$32&lt;&gt;"",1,0)</f>
        <v>0</v>
      </c>
    </row>
    <row r="28" spans="1:18">
      <c r="A28" s="13" t="s">
        <v>850</v>
      </c>
      <c r="B28" s="44">
        <v>18</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1343</v>
      </c>
      <c r="B42" s="43">
        <v>1180</v>
      </c>
      <c r="D42" s="45" t="s">
        <v>1344</v>
      </c>
      <c r="E42" s="43">
        <v>1000</v>
      </c>
      <c r="F42" s="45" t="s">
        <v>266</v>
      </c>
      <c r="G42" s="45"/>
      <c r="P42" s="35" t="s">
        <v>1128</v>
      </c>
      <c r="Q42" s="35">
        <f>"H"&amp;IF(COUNT($T$166:$T$168)=0,166,MIN($T$166:$T$168))</f>
        <v>0</v>
      </c>
      <c r="R42" s="35">
        <f>IF(COUNT($T$166:$T$168)=0,1,0)</f>
        <v>0</v>
      </c>
    </row>
    <row r="43" spans="1:18">
      <c r="A43" s="45" t="s">
        <v>1345</v>
      </c>
      <c r="B43" s="43">
        <v>70</v>
      </c>
      <c r="D43" s="45" t="s">
        <v>268</v>
      </c>
      <c r="E43" s="43">
        <v>400</v>
      </c>
      <c r="F43" s="45" t="s">
        <v>268</v>
      </c>
      <c r="G43" s="45"/>
      <c r="P43" s="35" t="s">
        <v>1129</v>
      </c>
      <c r="Q43" s="35" t="s">
        <v>1130</v>
      </c>
      <c r="R43" s="35">
        <f>IF(OR($B$20="P1",$B$171&lt;&gt;""),1,0)</f>
        <v>0</v>
      </c>
    </row>
    <row r="44" spans="1:18">
      <c r="A44" s="45" t="s">
        <v>1346</v>
      </c>
      <c r="B44" s="43">
        <v>45</v>
      </c>
      <c r="D44" s="45" t="s">
        <v>1347</v>
      </c>
      <c r="E44" s="43">
        <v>50</v>
      </c>
      <c r="F44" s="45" t="s">
        <v>269</v>
      </c>
      <c r="G44" s="45"/>
      <c r="P44" s="35" t="s">
        <v>1131</v>
      </c>
      <c r="Q44" s="35" t="s">
        <v>1132</v>
      </c>
      <c r="R44" s="35">
        <f>IF(ISNUMBER($B$172),1,0)</f>
        <v>0</v>
      </c>
    </row>
    <row r="45" spans="1:18">
      <c r="A45" s="45" t="s">
        <v>872</v>
      </c>
      <c r="B45" s="43">
        <v>60</v>
      </c>
      <c r="D45" s="45" t="s">
        <v>1348</v>
      </c>
      <c r="E45" s="43">
        <v>160</v>
      </c>
      <c r="F45" s="45" t="s">
        <v>270</v>
      </c>
      <c r="G45" s="45"/>
      <c r="P45" s="35" t="s">
        <v>1133</v>
      </c>
      <c r="Q45" s="35" t="s">
        <v>1134</v>
      </c>
      <c r="R45" s="35">
        <f>IF(ISNUMBER($B$173),1,0)</f>
        <v>0</v>
      </c>
    </row>
    <row r="46" spans="1:18">
      <c r="A46" s="45" t="s">
        <v>873</v>
      </c>
      <c r="B46" s="43">
        <v>52</v>
      </c>
      <c r="D46" s="45"/>
      <c r="E46" s="43"/>
      <c r="F46" s="45"/>
      <c r="G46" s="45"/>
      <c r="P46" s="35" t="s">
        <v>1135</v>
      </c>
      <c r="Q46" s="35" t="s">
        <v>1136</v>
      </c>
      <c r="R46" s="35">
        <f>IF(ISNUMBER($B$174),1,0)</f>
        <v>0</v>
      </c>
    </row>
    <row r="47" spans="1:18">
      <c r="A47" s="45" t="s">
        <v>874</v>
      </c>
      <c r="B47" s="43">
        <v>35</v>
      </c>
      <c r="D47" s="45"/>
      <c r="E47" s="43"/>
      <c r="F47" s="45"/>
      <c r="G47" s="45"/>
      <c r="P47" s="35" t="s">
        <v>1137</v>
      </c>
      <c r="Q47" s="35" t="s">
        <v>1138</v>
      </c>
      <c r="R47" s="35">
        <f>IF(ISNUMBER($B$175),1,0)</f>
        <v>0</v>
      </c>
    </row>
    <row r="48" spans="1:18">
      <c r="A48" s="45" t="s">
        <v>875</v>
      </c>
      <c r="B48" s="43">
        <v>8</v>
      </c>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1349</v>
      </c>
      <c r="B57" s="45" t="s">
        <v>279</v>
      </c>
      <c r="C57" s="45"/>
      <c r="D57" s="45"/>
      <c r="E57" s="43">
        <v>430</v>
      </c>
      <c r="F57" s="5" t="s">
        <v>286</v>
      </c>
      <c r="G57" s="43">
        <v>18</v>
      </c>
      <c r="H57" s="47"/>
      <c r="P57" s="35" t="s">
        <v>1157</v>
      </c>
      <c r="Q57" s="35" t="s">
        <v>1158</v>
      </c>
      <c r="R57" s="35">
        <f>IF(OR($B$184&lt;&gt;"Non",ISNUMBER($B$185)),1,0)</f>
        <v>0</v>
      </c>
    </row>
    <row r="58" spans="1:18">
      <c r="A58" s="46" t="s">
        <v>1350</v>
      </c>
      <c r="B58" s="45" t="s">
        <v>280</v>
      </c>
      <c r="C58" s="45"/>
      <c r="D58" s="45"/>
      <c r="E58" s="43">
        <v>40</v>
      </c>
      <c r="F58" s="5" t="s">
        <v>286</v>
      </c>
      <c r="G58" s="43">
        <v>2</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140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520</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470</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20</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0.45</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v>0.3</v>
      </c>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895</v>
      </c>
      <c r="B74" s="45" t="s">
        <v>1351</v>
      </c>
      <c r="C74" s="45"/>
      <c r="D74" s="45"/>
      <c r="E74" s="45"/>
      <c r="F74" s="45"/>
      <c r="G74" s="45"/>
      <c r="H74" s="45"/>
    </row>
    <row r="75" spans="1:8">
      <c r="A75" s="45" t="s">
        <v>897</v>
      </c>
      <c r="B75" s="45" t="s">
        <v>1352</v>
      </c>
      <c r="C75" s="45"/>
      <c r="D75" s="45"/>
      <c r="E75" s="45"/>
      <c r="F75" s="45"/>
      <c r="G75" s="45"/>
      <c r="H75" s="45"/>
    </row>
    <row r="76" spans="1:8">
      <c r="A76" s="45" t="s">
        <v>901</v>
      </c>
      <c r="B76" s="45" t="s">
        <v>1353</v>
      </c>
      <c r="C76" s="45"/>
      <c r="D76" s="45"/>
      <c r="E76" s="45"/>
      <c r="F76" s="45"/>
      <c r="G76" s="45"/>
      <c r="H76" s="45"/>
    </row>
    <row r="77" spans="1:8">
      <c r="A77" s="45" t="s">
        <v>903</v>
      </c>
      <c r="B77" s="45" t="s">
        <v>1354</v>
      </c>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0.09</v>
      </c>
      <c r="C91" s="47" t="s">
        <v>1355</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922</v>
      </c>
      <c r="B93" s="43">
        <v>84</v>
      </c>
      <c r="C93" s="50">
        <v>48</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923</v>
      </c>
      <c r="B94" s="43">
        <v>88</v>
      </c>
      <c r="C94" s="50">
        <v>48</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1356</v>
      </c>
      <c r="B95" s="43">
        <v>86</v>
      </c>
      <c r="C95" s="50">
        <v>48</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1357</v>
      </c>
      <c r="B96" s="43">
        <v>90</v>
      </c>
      <c r="C96" s="50">
        <v>48</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1358</v>
      </c>
      <c r="B97" s="43">
        <v>85</v>
      </c>
      <c r="C97" s="50">
        <v>48</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1359</v>
      </c>
      <c r="B98" s="43">
        <v>89</v>
      </c>
      <c r="C98" s="50">
        <v>48</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1360</v>
      </c>
      <c r="B99" s="43">
        <v>87</v>
      </c>
      <c r="C99" s="50">
        <v>48</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1361</v>
      </c>
      <c r="B100" s="43">
        <v>91</v>
      </c>
      <c r="C100" s="50">
        <v>48</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t="s">
        <v>1229</v>
      </c>
      <c r="B101" s="43">
        <v>86</v>
      </c>
      <c r="C101" s="50">
        <v>47</v>
      </c>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t="s">
        <v>1230</v>
      </c>
      <c r="B102" s="43">
        <v>90</v>
      </c>
      <c r="C102" s="50">
        <v>47</v>
      </c>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649</v>
      </c>
      <c r="F166" s="51"/>
      <c r="G166" s="51"/>
      <c r="H166" s="47" t="s">
        <v>1362</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1363</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657</v>
      </c>
      <c r="F168" s="51"/>
      <c r="G168" s="51"/>
      <c r="H168" s="47" t="s">
        <v>1364</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row>
    <row r="172" spans="1:20">
      <c r="A172" s="13" t="s">
        <v>949</v>
      </c>
      <c r="B172" s="50">
        <v>1.62</v>
      </c>
    </row>
    <row r="173" spans="1:20">
      <c r="A173" s="13" t="s">
        <v>950</v>
      </c>
      <c r="B173" s="43">
        <v>6</v>
      </c>
    </row>
    <row r="174" spans="1:20">
      <c r="A174" s="13" t="s">
        <v>951</v>
      </c>
      <c r="B174" s="49">
        <v>0</v>
      </c>
    </row>
    <row r="175" spans="1:20">
      <c r="A175" s="13" t="s">
        <v>952</v>
      </c>
      <c r="B175" s="49">
        <v>0</v>
      </c>
    </row>
    <row r="176" spans="1:20">
      <c r="A176" s="13" t="s">
        <v>953</v>
      </c>
      <c r="B176" s="5" t="s">
        <v>258</v>
      </c>
    </row>
    <row r="177" spans="1:20">
      <c r="A177" s="13" t="s">
        <v>954</v>
      </c>
      <c r="B177" s="49">
        <v>1</v>
      </c>
    </row>
    <row r="178" spans="1:20">
      <c r="A178" s="13" t="s">
        <v>955</v>
      </c>
      <c r="B178" s="5" t="s">
        <v>275</v>
      </c>
    </row>
    <row r="179" spans="1:20">
      <c r="A179" s="13" t="s">
        <v>956</v>
      </c>
      <c r="B179" s="43">
        <v>20</v>
      </c>
    </row>
    <row r="180" spans="1:20">
      <c r="A180" s="13" t="s">
        <v>957</v>
      </c>
      <c r="B180" s="43">
        <v>18</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v>0</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ht="45" customHeight="1">
      <c r="A190" s="21" t="s">
        <v>969</v>
      </c>
      <c r="B190" s="17"/>
      <c r="C190" s="28">
        <f>IFERROR(INDEX(P_PoidsDom,1,MATCH($B$20,P_PoidsHdr,0)),"")</f>
        <v>0</v>
      </c>
      <c r="D190" s="14">
        <f>IF(N(C190)=0,"",SUMPRODUCT(B191:B193,C191:C193)+P_InfoInsuff*SUMPRODUCT((1-ISNUMBER(B191:B193))*C191:C193))</f>
        <v>0</v>
      </c>
      <c r="E190" s="47" t="s">
        <v>1365</v>
      </c>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309</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313</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ht="45" customHeight="1">
      <c r="A194" s="21" t="s">
        <v>976</v>
      </c>
      <c r="B194" s="17"/>
      <c r="C194" s="28">
        <f>IFERROR(INDEX(P_PoidsDom,2,MATCH($B$20,P_PoidsHdr,0)),"")</f>
        <v>0</v>
      </c>
      <c r="D194" s="14">
        <f>IF(N(C194)=0,"",SUMPRODUCT(B195:B197,C195:C197)+P_InfoInsuff*SUMPRODUCT((1-ISNUMBER(B195:B197))*C195:C197))</f>
        <v>0</v>
      </c>
      <c r="E194" s="47" t="s">
        <v>1366</v>
      </c>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325</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385</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393</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401</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ht="45" customHeight="1">
      <c r="A202" s="21" t="s">
        <v>985</v>
      </c>
      <c r="B202" s="17"/>
      <c r="C202" s="28">
        <f>IFERROR(INDEX(P_PoidsDom,4,MATCH($B$20,P_PoidsHdr,0)),"")</f>
        <v>0</v>
      </c>
      <c r="D202" s="14">
        <f>IF(N(C202)=0,"",SUMPRODUCT(B203:B205,C203:C205)+P_InfoInsuff*SUMPRODUCT((1-ISNUMBER(B203:B205))*C203:C205))</f>
        <v>0</v>
      </c>
      <c r="E202" s="47" t="s">
        <v>1367</v>
      </c>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409</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470</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477</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537</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545</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ht="45" customHeight="1">
      <c r="A210" s="21" t="s">
        <v>994</v>
      </c>
      <c r="B210" s="17"/>
      <c r="C210" s="28">
        <f>IFERROR(INDEX(P_PoidsDom,6,MATCH($B$20,P_PoidsHdr,0)),"")</f>
        <v>0</v>
      </c>
      <c r="D210" s="14">
        <f>IF(N(C210)=0,"",SUMPRODUCT(B211:B213,C211:C213)+P_InfoInsuff*SUMPRODUCT((1-ISNUMBER(B211:B213))*C211:C213))</f>
        <v>0</v>
      </c>
      <c r="E210" s="47" t="s">
        <v>1368</v>
      </c>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610</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613</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617</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621</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625</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629</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633</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641</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646</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1369</v>
      </c>
      <c r="C280" s="47"/>
      <c r="D280" s="47"/>
      <c r="E280" s="47"/>
      <c r="F280" s="47"/>
      <c r="G280" s="47"/>
      <c r="H280" s="47"/>
    </row>
    <row r="281" spans="1:8" ht="45" customHeight="1">
      <c r="A281" s="22" t="s">
        <v>1063</v>
      </c>
      <c r="B281" s="47" t="s">
        <v>1370</v>
      </c>
      <c r="C281" s="47"/>
      <c r="D281" s="47"/>
      <c r="E281" s="47"/>
      <c r="F281" s="47"/>
      <c r="G281" s="47"/>
      <c r="H281" s="47"/>
    </row>
    <row r="282" spans="1:8" ht="45" customHeight="1">
      <c r="A282" s="22" t="s">
        <v>1065</v>
      </c>
      <c r="B282" s="47" t="s">
        <v>1371</v>
      </c>
      <c r="C282" s="47"/>
      <c r="D282" s="47"/>
      <c r="E282" s="47"/>
      <c r="F282" s="47"/>
      <c r="G282" s="47"/>
      <c r="H282" s="47"/>
    </row>
    <row r="283" spans="1:8" ht="60" customHeight="1">
      <c r="A283" s="22" t="s">
        <v>1067</v>
      </c>
      <c r="B283" s="47" t="s">
        <v>1372</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c r="C284" s="47"/>
      <c r="D284" s="47"/>
      <c r="E284" s="47"/>
      <c r="F284" s="47"/>
      <c r="G284" s="47"/>
      <c r="H284" s="47"/>
    </row>
    <row r="285" spans="1:8" ht="30" customHeight="1">
      <c r="A285" s="22" t="s">
        <v>1069</v>
      </c>
      <c r="B285" s="5" t="s">
        <v>98</v>
      </c>
      <c r="C285" s="5"/>
      <c r="D285" s="47" t="s">
        <v>1373</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12.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1374</v>
      </c>
      <c r="J1" s="35" t="s">
        <v>809</v>
      </c>
      <c r="K1" s="35" t="s">
        <v>810</v>
      </c>
    </row>
    <row r="2" spans="1:18">
      <c r="A2" s="36" t="s">
        <v>1375</v>
      </c>
    </row>
    <row r="3" spans="1:18" ht="42" customHeight="1">
      <c r="A3" s="37" t="s">
        <v>1376</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1377</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1378</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1379</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10</v>
      </c>
      <c r="C18" s="13">
        <f>IFERROR(INDEX(P_RegLib,MATCH(B18,P_Regimes,0)),"")</f>
        <v>0</v>
      </c>
      <c r="D18" s="13"/>
      <c r="E18" s="13"/>
      <c r="F18" s="13"/>
      <c r="G18" s="13"/>
      <c r="H18" s="13"/>
      <c r="P18" s="35" t="s">
        <v>1080</v>
      </c>
      <c r="Q18" s="35" t="s">
        <v>1081</v>
      </c>
      <c r="R18" s="35">
        <f>IF($B$19&lt;&gt;"",1,0)</f>
        <v>0</v>
      </c>
    </row>
    <row r="19" spans="1:18">
      <c r="A19" s="17" t="s">
        <v>838</v>
      </c>
      <c r="B19" s="5" t="s">
        <v>23</v>
      </c>
      <c r="C19" s="13">
        <f>IFERROR(INDEX(P_SecLib,MATCH(B19,P_SecCodes,0)),"")</f>
        <v>0</v>
      </c>
      <c r="D19" s="13"/>
      <c r="E19" s="13"/>
      <c r="F19" s="13"/>
      <c r="G19" s="13"/>
      <c r="H19" s="13"/>
      <c r="P19" s="35" t="s">
        <v>1082</v>
      </c>
      <c r="Q19" s="35" t="s">
        <v>1083</v>
      </c>
      <c r="R19" s="35">
        <f>IF($B$20&lt;&gt;"",1,0)</f>
        <v>0</v>
      </c>
    </row>
    <row r="20" spans="1:18">
      <c r="A20" s="17" t="s">
        <v>839</v>
      </c>
      <c r="B20" s="5" t="s">
        <v>50</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520</v>
      </c>
      <c r="P26" s="35" t="s">
        <v>1096</v>
      </c>
      <c r="Q26" s="35" t="s">
        <v>1097</v>
      </c>
      <c r="R26" s="35">
        <f>IF($B$31&lt;&gt;"",1,0)</f>
        <v>0</v>
      </c>
    </row>
    <row r="27" spans="1:18">
      <c r="A27" s="13" t="s">
        <v>849</v>
      </c>
      <c r="B27" s="5" t="s">
        <v>258</v>
      </c>
      <c r="P27" s="35" t="s">
        <v>1098</v>
      </c>
      <c r="Q27" s="35" t="s">
        <v>1099</v>
      </c>
      <c r="R27" s="35">
        <f>IF($B$32&lt;&gt;"",1,0)</f>
        <v>0</v>
      </c>
    </row>
    <row r="28" spans="1:18">
      <c r="A28" s="13" t="s">
        <v>850</v>
      </c>
      <c r="B28" s="44">
        <v>20</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257</v>
      </c>
      <c r="P33" s="35" t="s">
        <v>1110</v>
      </c>
      <c r="Q33" s="35" t="s">
        <v>1111</v>
      </c>
      <c r="R33" s="35">
        <f>IF(N($E$50)&gt;0,1,0)</f>
        <v>0</v>
      </c>
    </row>
    <row r="34" spans="1:18">
      <c r="A34" s="13" t="s">
        <v>856</v>
      </c>
      <c r="B34" s="5" t="s">
        <v>257</v>
      </c>
      <c r="P34" s="35" t="s">
        <v>1112</v>
      </c>
      <c r="Q34" s="35" t="s">
        <v>1113</v>
      </c>
      <c r="R34" s="35">
        <f>IF(SUMPRODUCT(ISNUMBER($E$42:$E$49)*($F$42:$F$49=""))=0,1,0)</f>
        <v>0</v>
      </c>
    </row>
    <row r="35" spans="1:18">
      <c r="A35" s="13" t="s">
        <v>857</v>
      </c>
      <c r="B35" s="5" t="s">
        <v>257</v>
      </c>
      <c r="P35" s="35" t="s">
        <v>1114</v>
      </c>
      <c r="Q35" s="35" t="s">
        <v>1115</v>
      </c>
      <c r="R35" s="35">
        <f>IF(OR(NOT(AND($B$20="P1",ISNUMBER($B$51),N($B$51)&gt;=P_N3_V,N($B$51)&lt;P_N3_F)),$B$53&lt;&gt;""),1,0)</f>
        <v>0</v>
      </c>
    </row>
    <row r="36" spans="1:18">
      <c r="A36" s="13" t="s">
        <v>858</v>
      </c>
      <c r="B36" s="44">
        <v>4</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1175</v>
      </c>
      <c r="B42" s="43">
        <v>1060</v>
      </c>
      <c r="D42" s="45" t="s">
        <v>1380</v>
      </c>
      <c r="E42" s="43">
        <v>1000</v>
      </c>
      <c r="F42" s="45" t="s">
        <v>266</v>
      </c>
      <c r="G42" s="45"/>
      <c r="P42" s="35" t="s">
        <v>1128</v>
      </c>
      <c r="Q42" s="35">
        <f>"H"&amp;IF(COUNT($T$166:$T$168)=0,166,MIN($T$166:$T$168))</f>
        <v>0</v>
      </c>
      <c r="R42" s="35">
        <f>IF(COUNT($T$166:$T$168)=0,1,0)</f>
        <v>0</v>
      </c>
    </row>
    <row r="43" spans="1:18">
      <c r="A43" s="45" t="s">
        <v>1381</v>
      </c>
      <c r="B43" s="43">
        <v>180</v>
      </c>
      <c r="D43" s="45" t="s">
        <v>268</v>
      </c>
      <c r="E43" s="43">
        <v>380</v>
      </c>
      <c r="F43" s="45" t="s">
        <v>268</v>
      </c>
      <c r="G43" s="45"/>
      <c r="P43" s="35" t="s">
        <v>1129</v>
      </c>
      <c r="Q43" s="35" t="s">
        <v>1130</v>
      </c>
      <c r="R43" s="35">
        <f>IF(OR($B$20="P1",$B$171&lt;&gt;""),1,0)</f>
        <v>0</v>
      </c>
    </row>
    <row r="44" spans="1:18">
      <c r="A44" s="45" t="s">
        <v>1382</v>
      </c>
      <c r="B44" s="43">
        <v>60</v>
      </c>
      <c r="D44" s="45" t="s">
        <v>1383</v>
      </c>
      <c r="E44" s="43">
        <v>60</v>
      </c>
      <c r="F44" s="45" t="s">
        <v>272</v>
      </c>
      <c r="G44" s="45"/>
      <c r="P44" s="35" t="s">
        <v>1131</v>
      </c>
      <c r="Q44" s="35" t="s">
        <v>1132</v>
      </c>
      <c r="R44" s="35">
        <f>IF(ISNUMBER($B$172),1,0)</f>
        <v>0</v>
      </c>
    </row>
    <row r="45" spans="1:18">
      <c r="A45" s="45" t="s">
        <v>873</v>
      </c>
      <c r="B45" s="43">
        <v>70</v>
      </c>
      <c r="D45" s="45"/>
      <c r="E45" s="43"/>
      <c r="F45" s="45"/>
      <c r="G45" s="45"/>
      <c r="P45" s="35" t="s">
        <v>1133</v>
      </c>
      <c r="Q45" s="35" t="s">
        <v>1134</v>
      </c>
      <c r="R45" s="35">
        <f>IF(ISNUMBER($B$173),1,0)</f>
        <v>0</v>
      </c>
    </row>
    <row r="46" spans="1:18">
      <c r="A46" s="45" t="s">
        <v>1255</v>
      </c>
      <c r="B46" s="43">
        <v>45</v>
      </c>
      <c r="D46" s="45"/>
      <c r="E46" s="43"/>
      <c r="F46" s="45"/>
      <c r="G46" s="45"/>
      <c r="P46" s="35" t="s">
        <v>1135</v>
      </c>
      <c r="Q46" s="35" t="s">
        <v>1136</v>
      </c>
      <c r="R46" s="35">
        <f>IF(ISNUMBER($B$174),1,0)</f>
        <v>0</v>
      </c>
    </row>
    <row r="47" spans="1:18">
      <c r="A47" s="45" t="s">
        <v>1384</v>
      </c>
      <c r="B47" s="43">
        <v>15</v>
      </c>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1385</v>
      </c>
      <c r="B57" s="45" t="s">
        <v>279</v>
      </c>
      <c r="C57" s="45"/>
      <c r="D57" s="45"/>
      <c r="E57" s="43">
        <v>360</v>
      </c>
      <c r="F57" s="5" t="s">
        <v>286</v>
      </c>
      <c r="G57" s="43">
        <v>20</v>
      </c>
      <c r="H57" s="47"/>
      <c r="P57" s="35" t="s">
        <v>1157</v>
      </c>
      <c r="Q57" s="35" t="s">
        <v>1158</v>
      </c>
      <c r="R57" s="35">
        <f>IF(OR($B$184&lt;&gt;"Non",ISNUMBER($B$185)),1,0)</f>
        <v>0</v>
      </c>
    </row>
    <row r="58" spans="1:18">
      <c r="A58" s="46" t="s">
        <v>1386</v>
      </c>
      <c r="B58" s="45" t="s">
        <v>279</v>
      </c>
      <c r="C58" s="45"/>
      <c r="D58" s="45"/>
      <c r="E58" s="43">
        <v>160</v>
      </c>
      <c r="F58" s="5" t="s">
        <v>287</v>
      </c>
      <c r="G58" s="43">
        <v>20</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120000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3.4</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72</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80</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25</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895</v>
      </c>
      <c r="B74" s="45" t="s">
        <v>1387</v>
      </c>
      <c r="C74" s="45"/>
      <c r="D74" s="45"/>
      <c r="E74" s="45"/>
      <c r="F74" s="45"/>
      <c r="G74" s="45"/>
      <c r="H74" s="45"/>
    </row>
    <row r="75" spans="1:8">
      <c r="A75" s="45" t="s">
        <v>901</v>
      </c>
      <c r="B75" s="45" t="s">
        <v>1388</v>
      </c>
      <c r="C75" s="45"/>
      <c r="D75" s="45"/>
      <c r="E75" s="45"/>
      <c r="F75" s="45"/>
      <c r="G75" s="45"/>
      <c r="H75" s="45"/>
    </row>
    <row r="76" spans="1:8">
      <c r="A76" s="45" t="s">
        <v>903</v>
      </c>
      <c r="B76" s="45" t="s">
        <v>1219</v>
      </c>
      <c r="C76" s="45"/>
      <c r="D76" s="45"/>
      <c r="E76" s="45"/>
      <c r="F76" s="45"/>
      <c r="G76" s="45"/>
      <c r="H76" s="45"/>
    </row>
    <row r="77" spans="1:8">
      <c r="A77" s="45"/>
      <c r="B77" s="45"/>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0.08</v>
      </c>
      <c r="C91" s="47" t="s">
        <v>1389</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922</v>
      </c>
      <c r="B93" s="43">
        <v>63</v>
      </c>
      <c r="C93" s="50">
        <v>49</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923</v>
      </c>
      <c r="B94" s="43">
        <v>64</v>
      </c>
      <c r="C94" s="50">
        <v>49</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1356</v>
      </c>
      <c r="B95" s="43">
        <v>66</v>
      </c>
      <c r="C95" s="50">
        <v>49</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1357</v>
      </c>
      <c r="B96" s="43">
        <v>65</v>
      </c>
      <c r="C96" s="50">
        <v>49</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1358</v>
      </c>
      <c r="B97" s="43">
        <v>67</v>
      </c>
      <c r="C97" s="50">
        <v>49</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1359</v>
      </c>
      <c r="B98" s="43">
        <v>66</v>
      </c>
      <c r="C98" s="50">
        <v>49</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1360</v>
      </c>
      <c r="B99" s="43">
        <v>68</v>
      </c>
      <c r="C99" s="50">
        <v>49</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1361</v>
      </c>
      <c r="B100" s="43">
        <v>67</v>
      </c>
      <c r="C100" s="50">
        <v>49</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t="s">
        <v>1229</v>
      </c>
      <c r="B101" s="43">
        <v>69</v>
      </c>
      <c r="C101" s="50">
        <v>49</v>
      </c>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t="s">
        <v>1230</v>
      </c>
      <c r="B102" s="43">
        <v>68</v>
      </c>
      <c r="C102" s="50">
        <v>49</v>
      </c>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650</v>
      </c>
      <c r="F166" s="51"/>
      <c r="G166" s="51"/>
      <c r="H166" s="47" t="s">
        <v>1390</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1391</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659</v>
      </c>
      <c r="F168" s="51"/>
      <c r="G168" s="51"/>
      <c r="H168" s="47" t="s">
        <v>1392</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80</v>
      </c>
    </row>
    <row r="172" spans="1:20">
      <c r="A172" s="13" t="s">
        <v>949</v>
      </c>
      <c r="B172" s="50">
        <v>1.38</v>
      </c>
    </row>
    <row r="173" spans="1:20">
      <c r="A173" s="13" t="s">
        <v>950</v>
      </c>
      <c r="B173" s="43">
        <v>6</v>
      </c>
    </row>
    <row r="174" spans="1:20">
      <c r="A174" s="13" t="s">
        <v>951</v>
      </c>
      <c r="B174" s="49">
        <v>0.12</v>
      </c>
    </row>
    <row r="175" spans="1:20">
      <c r="A175" s="13" t="s">
        <v>952</v>
      </c>
      <c r="B175" s="49">
        <v>0</v>
      </c>
    </row>
    <row r="176" spans="1:20">
      <c r="A176" s="13" t="s">
        <v>953</v>
      </c>
      <c r="B176" s="5" t="s">
        <v>258</v>
      </c>
    </row>
    <row r="177" spans="1:20">
      <c r="A177" s="13" t="s">
        <v>954</v>
      </c>
      <c r="B177" s="49">
        <v>0.95</v>
      </c>
    </row>
    <row r="178" spans="1:20">
      <c r="A178" s="13" t="s">
        <v>955</v>
      </c>
      <c r="B178" s="5" t="s">
        <v>275</v>
      </c>
    </row>
    <row r="179" spans="1:20">
      <c r="A179" s="13" t="s">
        <v>956</v>
      </c>
      <c r="B179" s="43">
        <v>25</v>
      </c>
    </row>
    <row r="180" spans="1:20">
      <c r="A180" s="13" t="s">
        <v>957</v>
      </c>
      <c r="B180" s="43">
        <v>20</v>
      </c>
    </row>
    <row r="181" spans="1:20">
      <c r="A181" s="13" t="s">
        <v>958</v>
      </c>
      <c r="B181" s="5" t="s">
        <v>258</v>
      </c>
    </row>
    <row r="182" spans="1:20">
      <c r="A182" s="13" t="s">
        <v>959</v>
      </c>
      <c r="B182" s="5" t="s">
        <v>257</v>
      </c>
    </row>
    <row r="183" spans="1:20">
      <c r="A183" s="13" t="s">
        <v>960</v>
      </c>
      <c r="B183" s="5" t="s">
        <v>257</v>
      </c>
    </row>
    <row r="184" spans="1:20">
      <c r="A184" s="13" t="s">
        <v>961</v>
      </c>
      <c r="B184" s="5" t="s">
        <v>257</v>
      </c>
    </row>
    <row r="185" spans="1:20">
      <c r="A185" s="13" t="s">
        <v>962</v>
      </c>
      <c r="B185" s="43">
        <v>0</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314</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331</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386</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c r="A202" s="21" t="s">
        <v>985</v>
      </c>
      <c r="B202" s="17"/>
      <c r="C202" s="28">
        <f>IFERROR(INDEX(P_PoidsDom,4,MATCH($B$20,P_PoidsHdr,0)),"")</f>
        <v>0</v>
      </c>
      <c r="D202" s="14">
        <f>IF(N(C202)=0,"",SUMPRODUCT(B203:B205,C203:C205)+P_InfoInsuff*SUMPRODUCT((1-ISNUMBER(B203:B205))*C203:C205))</f>
        <v>0</v>
      </c>
      <c r="E202" s="47"/>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414</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470</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483</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ht="45" customHeight="1">
      <c r="A206" s="21" t="s">
        <v>990</v>
      </c>
      <c r="B206" s="17"/>
      <c r="C206" s="28">
        <f>IFERROR(INDEX(P_PoidsDom,5,MATCH($B$20,P_PoidsHdr,0)),"")</f>
        <v>0</v>
      </c>
      <c r="D206" s="14">
        <f>IF(N(C206)=0,"",SUMPRODUCT(B207:B209,C207:C209)+P_InfoInsuff*SUMPRODUCT((1-ISNUMBER(B207:B209))*C207:C209))</f>
        <v>0</v>
      </c>
      <c r="E206" s="47" t="s">
        <v>1393</v>
      </c>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552</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ht="45" customHeight="1">
      <c r="A210" s="21" t="s">
        <v>994</v>
      </c>
      <c r="B210" s="17"/>
      <c r="C210" s="28">
        <f>IFERROR(INDEX(P_PoidsDom,6,MATCH($B$20,P_PoidsHdr,0)),"")</f>
        <v>0</v>
      </c>
      <c r="D210" s="14">
        <f>IF(N(C210)=0,"",SUMPRODUCT(B211:B213,C211:C213)+P_InfoInsuff*SUMPRODUCT((1-ISNUMBER(B211:B213))*C211:C213))</f>
        <v>0</v>
      </c>
      <c r="E210" s="47" t="s">
        <v>1394</v>
      </c>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610</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615</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ht="45" customHeight="1">
      <c r="A218" s="21" t="s">
        <v>1003</v>
      </c>
      <c r="B218" s="17"/>
      <c r="C218" s="28">
        <f>IFERROR(INDEX(P_PoidsDom,9,MATCH($B$20,P_PoidsHdr,0)),"")</f>
        <v>0</v>
      </c>
      <c r="D218" s="14">
        <f>IF(N(C218)=0,"",SUMPRODUCT(B219:B222,C219:C222)+P_InfoInsuff*SUMPRODUCT((1-ISNUMBER(B219:B222))*C219:C222))</f>
        <v>0</v>
      </c>
      <c r="E218" s="47" t="s">
        <v>1395</v>
      </c>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634</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647</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1396</v>
      </c>
      <c r="C280" s="47"/>
      <c r="D280" s="47"/>
      <c r="E280" s="47"/>
      <c r="F280" s="47"/>
      <c r="G280" s="47"/>
      <c r="H280" s="47"/>
    </row>
    <row r="281" spans="1:8" ht="45" customHeight="1">
      <c r="A281" s="22" t="s">
        <v>1063</v>
      </c>
      <c r="B281" s="47" t="s">
        <v>1397</v>
      </c>
      <c r="C281" s="47"/>
      <c r="D281" s="47"/>
      <c r="E281" s="47"/>
      <c r="F281" s="47"/>
      <c r="G281" s="47"/>
      <c r="H281" s="47"/>
    </row>
    <row r="282" spans="1:8" ht="45" customHeight="1">
      <c r="A282" s="22" t="s">
        <v>1065</v>
      </c>
      <c r="B282" s="47" t="s">
        <v>1398</v>
      </c>
      <c r="C282" s="47"/>
      <c r="D282" s="47"/>
      <c r="E282" s="47"/>
      <c r="F282" s="47"/>
      <c r="G282" s="47"/>
      <c r="H282" s="47"/>
    </row>
    <row r="283" spans="1:8" ht="60" customHeight="1">
      <c r="A283" s="22" t="s">
        <v>1067</v>
      </c>
      <c r="B283" s="47" t="s">
        <v>1399</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c r="C284" s="47"/>
      <c r="D284" s="47"/>
      <c r="E284" s="47"/>
      <c r="F284" s="47"/>
      <c r="G284" s="47"/>
      <c r="H284" s="47"/>
    </row>
    <row r="285" spans="1:8" ht="30" customHeight="1">
      <c r="A285" s="22" t="s">
        <v>1069</v>
      </c>
      <c r="B285" s="5" t="s">
        <v>290</v>
      </c>
      <c r="C285" s="5"/>
      <c r="D285" s="47" t="s">
        <v>1400</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13.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1401</v>
      </c>
      <c r="J1" s="35" t="s">
        <v>809</v>
      </c>
      <c r="K1" s="35" t="s">
        <v>810</v>
      </c>
    </row>
    <row r="2" spans="1:18">
      <c r="A2" s="36" t="s">
        <v>1402</v>
      </c>
    </row>
    <row r="3" spans="1:18" ht="42" customHeight="1">
      <c r="A3" s="37" t="s">
        <v>1403</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1404</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1405</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1406</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12</v>
      </c>
      <c r="C18" s="13">
        <f>IFERROR(INDEX(P_RegLib,MATCH(B18,P_Regimes,0)),"")</f>
        <v>0</v>
      </c>
      <c r="D18" s="13"/>
      <c r="E18" s="13"/>
      <c r="F18" s="13"/>
      <c r="G18" s="13"/>
      <c r="H18" s="13"/>
      <c r="P18" s="35" t="s">
        <v>1080</v>
      </c>
      <c r="Q18" s="35" t="s">
        <v>1081</v>
      </c>
      <c r="R18" s="35">
        <f>IF($B$19&lt;&gt;"",1,0)</f>
        <v>0</v>
      </c>
    </row>
    <row r="19" spans="1:18">
      <c r="A19" s="17" t="s">
        <v>838</v>
      </c>
      <c r="B19" s="5" t="s">
        <v>25</v>
      </c>
      <c r="C19" s="13">
        <f>IFERROR(INDEX(P_SecLib,MATCH(B19,P_SecCodes,0)),"")</f>
        <v>0</v>
      </c>
      <c r="D19" s="13"/>
      <c r="E19" s="13"/>
      <c r="F19" s="13"/>
      <c r="G19" s="13"/>
      <c r="H19" s="13"/>
      <c r="P19" s="35" t="s">
        <v>1082</v>
      </c>
      <c r="Q19" s="35" t="s">
        <v>1083</v>
      </c>
      <c r="R19" s="35">
        <f>IF($B$20&lt;&gt;"",1,0)</f>
        <v>0</v>
      </c>
    </row>
    <row r="20" spans="1:18">
      <c r="A20" s="17" t="s">
        <v>839</v>
      </c>
      <c r="B20" s="5" t="s">
        <v>50</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360</v>
      </c>
      <c r="P26" s="35" t="s">
        <v>1096</v>
      </c>
      <c r="Q26" s="35" t="s">
        <v>1097</v>
      </c>
      <c r="R26" s="35">
        <f>IF($B$31&lt;&gt;"",1,0)</f>
        <v>0</v>
      </c>
    </row>
    <row r="27" spans="1:18">
      <c r="A27" s="13" t="s">
        <v>849</v>
      </c>
      <c r="B27" s="5" t="s">
        <v>257</v>
      </c>
      <c r="P27" s="35" t="s">
        <v>1098</v>
      </c>
      <c r="Q27" s="35" t="s">
        <v>1099</v>
      </c>
      <c r="R27" s="35">
        <f>IF($B$32&lt;&gt;"",1,0)</f>
        <v>0</v>
      </c>
    </row>
    <row r="28" spans="1:18">
      <c r="A28" s="13" t="s">
        <v>850</v>
      </c>
      <c r="B28" s="44">
        <v>12</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1407</v>
      </c>
      <c r="B42" s="43">
        <v>720</v>
      </c>
      <c r="D42" s="45" t="s">
        <v>1408</v>
      </c>
      <c r="E42" s="43">
        <v>600</v>
      </c>
      <c r="F42" s="45" t="s">
        <v>266</v>
      </c>
      <c r="G42" s="45"/>
      <c r="P42" s="35" t="s">
        <v>1128</v>
      </c>
      <c r="Q42" s="35">
        <f>"H"&amp;IF(COUNT($T$166:$T$168)=0,166,MIN($T$166:$T$168))</f>
        <v>0</v>
      </c>
      <c r="R42" s="35">
        <f>IF(COUNT($T$166:$T$168)=0,1,0)</f>
        <v>0</v>
      </c>
    </row>
    <row r="43" spans="1:18">
      <c r="A43" s="45" t="s">
        <v>1409</v>
      </c>
      <c r="B43" s="43">
        <v>90</v>
      </c>
      <c r="D43" s="45" t="s">
        <v>268</v>
      </c>
      <c r="E43" s="43">
        <v>340</v>
      </c>
      <c r="F43" s="45" t="s">
        <v>268</v>
      </c>
      <c r="G43" s="45"/>
      <c r="P43" s="35" t="s">
        <v>1129</v>
      </c>
      <c r="Q43" s="35" t="s">
        <v>1130</v>
      </c>
      <c r="R43" s="35">
        <f>IF(OR($B$20="P1",$B$171&lt;&gt;""),1,0)</f>
        <v>0</v>
      </c>
    </row>
    <row r="44" spans="1:18">
      <c r="A44" s="45" t="s">
        <v>1410</v>
      </c>
      <c r="B44" s="43">
        <v>40</v>
      </c>
      <c r="D44" s="45"/>
      <c r="E44" s="43"/>
      <c r="F44" s="45"/>
      <c r="G44" s="45"/>
      <c r="P44" s="35" t="s">
        <v>1131</v>
      </c>
      <c r="Q44" s="35" t="s">
        <v>1132</v>
      </c>
      <c r="R44" s="35">
        <f>IF(ISNUMBER($B$172),1,0)</f>
        <v>0</v>
      </c>
    </row>
    <row r="45" spans="1:18">
      <c r="A45" s="45" t="s">
        <v>873</v>
      </c>
      <c r="B45" s="43">
        <v>35</v>
      </c>
      <c r="D45" s="45"/>
      <c r="E45" s="43"/>
      <c r="F45" s="45"/>
      <c r="G45" s="45"/>
      <c r="P45" s="35" t="s">
        <v>1133</v>
      </c>
      <c r="Q45" s="35" t="s">
        <v>1134</v>
      </c>
      <c r="R45" s="35">
        <f>IF(ISNUMBER($B$173),1,0)</f>
        <v>0</v>
      </c>
    </row>
    <row r="46" spans="1:18">
      <c r="A46" s="45" t="s">
        <v>1255</v>
      </c>
      <c r="B46" s="43">
        <v>30</v>
      </c>
      <c r="D46" s="45"/>
      <c r="E46" s="43"/>
      <c r="F46" s="45"/>
      <c r="G46" s="45"/>
      <c r="P46" s="35" t="s">
        <v>1135</v>
      </c>
      <c r="Q46" s="35" t="s">
        <v>1136</v>
      </c>
      <c r="R46" s="35">
        <f>IF(ISNUMBER($B$174),1,0)</f>
        <v>0</v>
      </c>
    </row>
    <row r="47" spans="1:18">
      <c r="A47" s="45" t="s">
        <v>1384</v>
      </c>
      <c r="B47" s="43">
        <v>10</v>
      </c>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1411</v>
      </c>
      <c r="B57" s="45" t="s">
        <v>279</v>
      </c>
      <c r="C57" s="45"/>
      <c r="D57" s="45"/>
      <c r="E57" s="43">
        <v>330</v>
      </c>
      <c r="F57" s="5" t="s">
        <v>286</v>
      </c>
      <c r="G57" s="43">
        <v>12</v>
      </c>
      <c r="H57" s="47"/>
      <c r="P57" s="35" t="s">
        <v>1157</v>
      </c>
      <c r="Q57" s="35" t="s">
        <v>1158</v>
      </c>
      <c r="R57" s="35">
        <f>IF(OR($B$184&lt;&gt;"Non",ISNUMBER($B$185)),1,0)</f>
        <v>0</v>
      </c>
    </row>
    <row r="58" spans="1:18">
      <c r="A58" s="46" t="s">
        <v>1412</v>
      </c>
      <c r="B58" s="45" t="s">
        <v>282</v>
      </c>
      <c r="C58" s="45"/>
      <c r="D58" s="45"/>
      <c r="E58" s="43">
        <v>30</v>
      </c>
      <c r="F58" s="5" t="s">
        <v>286</v>
      </c>
      <c r="G58" s="43">
        <v>3</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24</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62</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6.5</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1.45</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35</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1413</v>
      </c>
      <c r="B74" s="45" t="s">
        <v>1414</v>
      </c>
      <c r="C74" s="45"/>
      <c r="D74" s="45"/>
      <c r="E74" s="45"/>
      <c r="F74" s="45"/>
      <c r="G74" s="45"/>
      <c r="H74" s="45"/>
    </row>
    <row r="75" spans="1:8">
      <c r="A75" s="45" t="s">
        <v>901</v>
      </c>
      <c r="B75" s="45" t="s">
        <v>1415</v>
      </c>
      <c r="C75" s="45"/>
      <c r="D75" s="45"/>
      <c r="E75" s="45"/>
      <c r="F75" s="45"/>
      <c r="G75" s="45"/>
      <c r="H75" s="45"/>
    </row>
    <row r="76" spans="1:8">
      <c r="A76" s="45"/>
      <c r="B76" s="45"/>
      <c r="C76" s="45"/>
      <c r="D76" s="45"/>
      <c r="E76" s="45"/>
      <c r="F76" s="45"/>
      <c r="G76" s="45"/>
      <c r="H76" s="45"/>
    </row>
    <row r="77" spans="1:8">
      <c r="A77" s="45"/>
      <c r="B77" s="45"/>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0.33</v>
      </c>
      <c r="C91" s="47" t="s">
        <v>1416</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1356</v>
      </c>
      <c r="B93" s="43">
        <v>56</v>
      </c>
      <c r="C93" s="50">
        <v>38</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1357</v>
      </c>
      <c r="B94" s="43">
        <v>57</v>
      </c>
      <c r="C94" s="50">
        <v>38</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1358</v>
      </c>
      <c r="B95" s="43">
        <v>59</v>
      </c>
      <c r="C95" s="50">
        <v>39</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1359</v>
      </c>
      <c r="B96" s="43">
        <v>62</v>
      </c>
      <c r="C96" s="50">
        <v>40</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1360</v>
      </c>
      <c r="B97" s="43">
        <v>64</v>
      </c>
      <c r="C97" s="50">
        <v>41</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1361</v>
      </c>
      <c r="B98" s="43">
        <v>66</v>
      </c>
      <c r="C98" s="50">
        <v>41</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1229</v>
      </c>
      <c r="B99" s="43">
        <v>67</v>
      </c>
      <c r="C99" s="50">
        <v>42</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1230</v>
      </c>
      <c r="B100" s="43">
        <v>68</v>
      </c>
      <c r="C100" s="50">
        <v>42</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650</v>
      </c>
      <c r="F166" s="51"/>
      <c r="G166" s="51"/>
      <c r="H166" s="47" t="s">
        <v>1417</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1418</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658</v>
      </c>
      <c r="F168" s="51"/>
      <c r="G168" s="51"/>
      <c r="H168" s="47" t="s">
        <v>1419</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80</v>
      </c>
    </row>
    <row r="172" spans="1:20">
      <c r="A172" s="13" t="s">
        <v>949</v>
      </c>
      <c r="B172" s="50">
        <v>1.41</v>
      </c>
    </row>
    <row r="173" spans="1:20">
      <c r="A173" s="13" t="s">
        <v>950</v>
      </c>
      <c r="B173" s="43">
        <v>6</v>
      </c>
    </row>
    <row r="174" spans="1:20">
      <c r="A174" s="13" t="s">
        <v>951</v>
      </c>
      <c r="B174" s="49">
        <v>0</v>
      </c>
    </row>
    <row r="175" spans="1:20">
      <c r="A175" s="13" t="s">
        <v>952</v>
      </c>
      <c r="B175" s="49">
        <v>0</v>
      </c>
    </row>
    <row r="176" spans="1:20">
      <c r="A176" s="13" t="s">
        <v>953</v>
      </c>
      <c r="B176" s="5" t="s">
        <v>258</v>
      </c>
    </row>
    <row r="177" spans="1:20">
      <c r="A177" s="13" t="s">
        <v>954</v>
      </c>
      <c r="B177" s="49">
        <v>0.35</v>
      </c>
    </row>
    <row r="178" spans="1:20">
      <c r="A178" s="13" t="s">
        <v>955</v>
      </c>
      <c r="B178" s="5" t="s">
        <v>275</v>
      </c>
    </row>
    <row r="179" spans="1:20">
      <c r="A179" s="13" t="s">
        <v>956</v>
      </c>
      <c r="B179" s="43">
        <v>7</v>
      </c>
    </row>
    <row r="180" spans="1:20">
      <c r="A180" s="13" t="s">
        <v>957</v>
      </c>
      <c r="B180" s="43">
        <v>12</v>
      </c>
    </row>
    <row r="181" spans="1:20">
      <c r="A181" s="13" t="s">
        <v>958</v>
      </c>
      <c r="B181" s="5" t="s">
        <v>257</v>
      </c>
    </row>
    <row r="182" spans="1:20">
      <c r="A182" s="13" t="s">
        <v>959</v>
      </c>
      <c r="B182" s="5" t="s">
        <v>258</v>
      </c>
    </row>
    <row r="183" spans="1:20">
      <c r="A183" s="13" t="s">
        <v>960</v>
      </c>
      <c r="B183" s="5" t="s">
        <v>257</v>
      </c>
    </row>
    <row r="184" spans="1:20">
      <c r="A184" s="13" t="s">
        <v>961</v>
      </c>
      <c r="B184" s="5" t="s">
        <v>257</v>
      </c>
    </row>
    <row r="185" spans="1:20">
      <c r="A185" s="13" t="s">
        <v>962</v>
      </c>
      <c r="B185" s="43">
        <v>0</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314</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335</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386</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ht="45" customHeight="1">
      <c r="A202" s="21" t="s">
        <v>985</v>
      </c>
      <c r="B202" s="17"/>
      <c r="C202" s="28">
        <f>IFERROR(INDEX(P_PoidsDom,4,MATCH($B$20,P_PoidsHdr,0)),"")</f>
        <v>0</v>
      </c>
      <c r="D202" s="14">
        <f>IF(N(C202)=0,"",SUMPRODUCT(B203:B205,C203:C205)+P_InfoInsuff*SUMPRODUCT((1-ISNUMBER(B203:B205))*C203:C205))</f>
        <v>0</v>
      </c>
      <c r="E202" s="47" t="s">
        <v>1420</v>
      </c>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421</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470</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489</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556</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ht="45" customHeight="1">
      <c r="A210" s="21" t="s">
        <v>994</v>
      </c>
      <c r="B210" s="17"/>
      <c r="C210" s="28">
        <f>IFERROR(INDEX(P_PoidsDom,6,MATCH($B$20,P_PoidsHdr,0)),"")</f>
        <v>0</v>
      </c>
      <c r="D210" s="14">
        <f>IF(N(C210)=0,"",SUMPRODUCT(B211:B213,C211:C213)+P_InfoInsuff*SUMPRODUCT((1-ISNUMBER(B211:B213))*C211:C213))</f>
        <v>0</v>
      </c>
      <c r="E210" s="47" t="s">
        <v>1421</v>
      </c>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610</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614</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634</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646</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1422</v>
      </c>
      <c r="C280" s="47"/>
      <c r="D280" s="47"/>
      <c r="E280" s="47"/>
      <c r="F280" s="47"/>
      <c r="G280" s="47"/>
      <c r="H280" s="47"/>
    </row>
    <row r="281" spans="1:8" ht="45" customHeight="1">
      <c r="A281" s="22" t="s">
        <v>1063</v>
      </c>
      <c r="B281" s="47" t="s">
        <v>1423</v>
      </c>
      <c r="C281" s="47"/>
      <c r="D281" s="47"/>
      <c r="E281" s="47"/>
      <c r="F281" s="47"/>
      <c r="G281" s="47"/>
      <c r="H281" s="47"/>
    </row>
    <row r="282" spans="1:8" ht="45" customHeight="1">
      <c r="A282" s="22" t="s">
        <v>1065</v>
      </c>
      <c r="B282" s="47" t="s">
        <v>1424</v>
      </c>
      <c r="C282" s="47"/>
      <c r="D282" s="47"/>
      <c r="E282" s="47"/>
      <c r="F282" s="47"/>
      <c r="G282" s="47"/>
      <c r="H282" s="47"/>
    </row>
    <row r="283" spans="1:8" ht="60" customHeight="1">
      <c r="A283" s="22" t="s">
        <v>1067</v>
      </c>
      <c r="B283" s="47" t="s">
        <v>1425</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1426</v>
      </c>
      <c r="C284" s="47"/>
      <c r="D284" s="47"/>
      <c r="E284" s="47"/>
      <c r="F284" s="47"/>
      <c r="G284" s="47"/>
      <c r="H284" s="47"/>
    </row>
    <row r="285" spans="1:8" ht="30" customHeight="1">
      <c r="A285" s="22" t="s">
        <v>1069</v>
      </c>
      <c r="B285" s="5" t="s">
        <v>291</v>
      </c>
      <c r="C285" s="5"/>
      <c r="D285" s="47" t="s">
        <v>1427</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14.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1428</v>
      </c>
      <c r="J1" s="35" t="s">
        <v>809</v>
      </c>
      <c r="K1" s="35" t="s">
        <v>810</v>
      </c>
    </row>
    <row r="2" spans="1:18">
      <c r="A2" s="36" t="s">
        <v>1429</v>
      </c>
    </row>
    <row r="3" spans="1:18" ht="42" customHeight="1">
      <c r="A3" s="37" t="s">
        <v>1430</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1431</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1432</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1433</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14</v>
      </c>
      <c r="C18" s="13">
        <f>IFERROR(INDEX(P_RegLib,MATCH(B18,P_Regimes,0)),"")</f>
        <v>0</v>
      </c>
      <c r="D18" s="13"/>
      <c r="E18" s="13"/>
      <c r="F18" s="13"/>
      <c r="G18" s="13"/>
      <c r="H18" s="13"/>
      <c r="P18" s="35" t="s">
        <v>1080</v>
      </c>
      <c r="Q18" s="35" t="s">
        <v>1081</v>
      </c>
      <c r="R18" s="35">
        <f>IF($B$19&lt;&gt;"",1,0)</f>
        <v>0</v>
      </c>
    </row>
    <row r="19" spans="1:18">
      <c r="A19" s="17" t="s">
        <v>838</v>
      </c>
      <c r="B19" s="5" t="s">
        <v>27</v>
      </c>
      <c r="C19" s="13">
        <f>IFERROR(INDEX(P_SecLib,MATCH(B19,P_SecCodes,0)),"")</f>
        <v>0</v>
      </c>
      <c r="D19" s="13"/>
      <c r="E19" s="13"/>
      <c r="F19" s="13"/>
      <c r="G19" s="13"/>
      <c r="H19" s="13"/>
      <c r="P19" s="35" t="s">
        <v>1082</v>
      </c>
      <c r="Q19" s="35" t="s">
        <v>1083</v>
      </c>
      <c r="R19" s="35">
        <f>IF($B$20&lt;&gt;"",1,0)</f>
        <v>0</v>
      </c>
    </row>
    <row r="20" spans="1:18">
      <c r="A20" s="17" t="s">
        <v>839</v>
      </c>
      <c r="B20" s="5" t="s">
        <v>52</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650</v>
      </c>
      <c r="P26" s="35" t="s">
        <v>1096</v>
      </c>
      <c r="Q26" s="35" t="s">
        <v>1097</v>
      </c>
      <c r="R26" s="35">
        <f>IF($B$31&lt;&gt;"",1,0)</f>
        <v>0</v>
      </c>
    </row>
    <row r="27" spans="1:18">
      <c r="A27" s="13" t="s">
        <v>849</v>
      </c>
      <c r="B27" s="5" t="s">
        <v>257</v>
      </c>
      <c r="P27" s="35" t="s">
        <v>1098</v>
      </c>
      <c r="Q27" s="35" t="s">
        <v>1099</v>
      </c>
      <c r="R27" s="35">
        <f>IF($B$32&lt;&gt;"",1,0)</f>
        <v>0</v>
      </c>
    </row>
    <row r="28" spans="1:18">
      <c r="A28" s="13" t="s">
        <v>850</v>
      </c>
      <c r="B28" s="44">
        <v>16</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257</v>
      </c>
      <c r="P33" s="35" t="s">
        <v>1110</v>
      </c>
      <c r="Q33" s="35" t="s">
        <v>1111</v>
      </c>
      <c r="R33" s="35">
        <f>IF(N($E$50)&gt;0,1,0)</f>
        <v>0</v>
      </c>
    </row>
    <row r="34" spans="1:18">
      <c r="A34" s="13" t="s">
        <v>856</v>
      </c>
      <c r="B34" s="5" t="s">
        <v>257</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2</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1434</v>
      </c>
      <c r="B42" s="43">
        <v>2350</v>
      </c>
      <c r="D42" s="45" t="s">
        <v>1435</v>
      </c>
      <c r="E42" s="43">
        <v>2200</v>
      </c>
      <c r="F42" s="45" t="s">
        <v>266</v>
      </c>
      <c r="G42" s="45"/>
      <c r="P42" s="35" t="s">
        <v>1128</v>
      </c>
      <c r="Q42" s="35">
        <f>"H"&amp;IF(COUNT($T$166:$T$168)=0,166,MIN($T$166:$T$168))</f>
        <v>0</v>
      </c>
      <c r="R42" s="35">
        <f>IF(COUNT($T$166:$T$168)=0,1,0)</f>
        <v>0</v>
      </c>
    </row>
    <row r="43" spans="1:18">
      <c r="A43" s="45" t="s">
        <v>1436</v>
      </c>
      <c r="B43" s="43">
        <v>310</v>
      </c>
      <c r="D43" s="45" t="s">
        <v>1437</v>
      </c>
      <c r="E43" s="43">
        <v>650</v>
      </c>
      <c r="F43" s="45" t="s">
        <v>268</v>
      </c>
      <c r="G43" s="45"/>
      <c r="P43" s="35" t="s">
        <v>1129</v>
      </c>
      <c r="Q43" s="35" t="s">
        <v>1130</v>
      </c>
      <c r="R43" s="35">
        <f>IF(OR($B$20="P1",$B$171&lt;&gt;""),1,0)</f>
        <v>0</v>
      </c>
    </row>
    <row r="44" spans="1:18">
      <c r="A44" s="45" t="s">
        <v>1438</v>
      </c>
      <c r="B44" s="43">
        <v>90</v>
      </c>
      <c r="D44" s="45"/>
      <c r="E44" s="43"/>
      <c r="F44" s="45"/>
      <c r="G44" s="45"/>
      <c r="P44" s="35" t="s">
        <v>1131</v>
      </c>
      <c r="Q44" s="35" t="s">
        <v>1132</v>
      </c>
      <c r="R44" s="35">
        <f>IF(ISNUMBER($B$172),1,0)</f>
        <v>0</v>
      </c>
    </row>
    <row r="45" spans="1:18">
      <c r="A45" s="45"/>
      <c r="B45" s="43"/>
      <c r="D45" s="45"/>
      <c r="E45" s="43"/>
      <c r="F45" s="45"/>
      <c r="G45" s="45"/>
      <c r="P45" s="35" t="s">
        <v>1133</v>
      </c>
      <c r="Q45" s="35" t="s">
        <v>1134</v>
      </c>
      <c r="R45" s="35">
        <f>IF(ISNUMBER($B$173),1,0)</f>
        <v>0</v>
      </c>
    </row>
    <row r="46" spans="1:18">
      <c r="A46" s="45"/>
      <c r="B46" s="43"/>
      <c r="D46" s="45"/>
      <c r="E46" s="43"/>
      <c r="F46" s="45"/>
      <c r="G46" s="45"/>
      <c r="P46" s="35" t="s">
        <v>1135</v>
      </c>
      <c r="Q46" s="35" t="s">
        <v>1136</v>
      </c>
      <c r="R46" s="35">
        <f>IF(ISNUMBER($B$174),1,0)</f>
        <v>0</v>
      </c>
    </row>
    <row r="47" spans="1:18">
      <c r="A47" s="45"/>
      <c r="B47" s="43"/>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1439</v>
      </c>
      <c r="B57" s="45" t="s">
        <v>279</v>
      </c>
      <c r="C57" s="45"/>
      <c r="D57" s="45"/>
      <c r="E57" s="43">
        <v>600</v>
      </c>
      <c r="F57" s="5" t="s">
        <v>286</v>
      </c>
      <c r="G57" s="43">
        <v>16</v>
      </c>
      <c r="H57" s="47"/>
      <c r="P57" s="35" t="s">
        <v>1157</v>
      </c>
      <c r="Q57" s="35" t="s">
        <v>1158</v>
      </c>
      <c r="R57" s="35">
        <f>IF(OR($B$184&lt;&gt;"Non",ISNUMBER($B$185)),1,0)</f>
        <v>0</v>
      </c>
    </row>
    <row r="58" spans="1:18">
      <c r="A58" s="46" t="s">
        <v>1440</v>
      </c>
      <c r="B58" s="45" t="s">
        <v>283</v>
      </c>
      <c r="C58" s="45"/>
      <c r="D58" s="45"/>
      <c r="E58" s="43">
        <v>50</v>
      </c>
      <c r="F58" s="5" t="s">
        <v>286</v>
      </c>
      <c r="G58" s="43">
        <v>16</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21400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0</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t="s">
        <v>1441</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t="s">
        <v>258</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24</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1442</v>
      </c>
      <c r="B74" s="45" t="s">
        <v>1443</v>
      </c>
      <c r="C74" s="45"/>
      <c r="D74" s="45"/>
      <c r="E74" s="45"/>
      <c r="F74" s="45"/>
      <c r="G74" s="45"/>
      <c r="H74" s="45"/>
    </row>
    <row r="75" spans="1:8">
      <c r="A75" s="45" t="s">
        <v>895</v>
      </c>
      <c r="B75" s="45" t="s">
        <v>1444</v>
      </c>
      <c r="C75" s="45"/>
      <c r="D75" s="45"/>
      <c r="E75" s="45"/>
      <c r="F75" s="45"/>
      <c r="G75" s="45"/>
      <c r="H75" s="45"/>
    </row>
    <row r="76" spans="1:8">
      <c r="A76" s="45" t="s">
        <v>901</v>
      </c>
      <c r="B76" s="45" t="s">
        <v>1445</v>
      </c>
      <c r="C76" s="45"/>
      <c r="D76" s="45"/>
      <c r="E76" s="45"/>
      <c r="F76" s="45"/>
      <c r="G76" s="45"/>
      <c r="H76" s="45"/>
    </row>
    <row r="77" spans="1:8">
      <c r="A77" s="45" t="s">
        <v>903</v>
      </c>
      <c r="B77" s="45" t="s">
        <v>1446</v>
      </c>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0.15</v>
      </c>
      <c r="C91" s="47" t="s">
        <v>1447</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1448</v>
      </c>
      <c r="B93" s="43">
        <v>150</v>
      </c>
      <c r="C93" s="50">
        <v>108</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1449</v>
      </c>
      <c r="B94" s="43">
        <v>154</v>
      </c>
      <c r="C94" s="50">
        <v>108</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1450</v>
      </c>
      <c r="B95" s="43">
        <v>149</v>
      </c>
      <c r="C95" s="50">
        <v>109</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1451</v>
      </c>
      <c r="B96" s="43">
        <v>158</v>
      </c>
      <c r="C96" s="50">
        <v>109</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1452</v>
      </c>
      <c r="B97" s="43">
        <v>152</v>
      </c>
      <c r="C97" s="50">
        <v>110</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1453</v>
      </c>
      <c r="B98" s="43">
        <v>162</v>
      </c>
      <c r="C98" s="50">
        <v>110</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924</v>
      </c>
      <c r="B99" s="43">
        <v>158</v>
      </c>
      <c r="C99" s="50">
        <v>111</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925</v>
      </c>
      <c r="B100" s="43">
        <v>166</v>
      </c>
      <c r="C100" s="50">
        <v>111</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t="s">
        <v>1454</v>
      </c>
      <c r="B101" s="43">
        <v>162</v>
      </c>
      <c r="C101" s="50">
        <v>112</v>
      </c>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t="s">
        <v>1455</v>
      </c>
      <c r="B102" s="43">
        <v>171</v>
      </c>
      <c r="C102" s="50">
        <v>112</v>
      </c>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649</v>
      </c>
      <c r="F166" s="51"/>
      <c r="G166" s="51"/>
      <c r="H166" s="47" t="s">
        <v>1456</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1457</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658</v>
      </c>
      <c r="F168" s="51"/>
      <c r="G168" s="51"/>
      <c r="H168" s="47" t="s">
        <v>1458</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80</v>
      </c>
    </row>
    <row r="172" spans="1:20">
      <c r="A172" s="13" t="s">
        <v>949</v>
      </c>
      <c r="B172" s="50">
        <v>1.42</v>
      </c>
    </row>
    <row r="173" spans="1:20">
      <c r="A173" s="13" t="s">
        <v>950</v>
      </c>
      <c r="B173" s="43">
        <v>6</v>
      </c>
    </row>
    <row r="174" spans="1:20">
      <c r="A174" s="13" t="s">
        <v>951</v>
      </c>
      <c r="B174" s="49">
        <v>0</v>
      </c>
    </row>
    <row r="175" spans="1:20">
      <c r="A175" s="13" t="s">
        <v>952</v>
      </c>
      <c r="B175" s="49">
        <v>0</v>
      </c>
    </row>
    <row r="176" spans="1:20">
      <c r="A176" s="13" t="s">
        <v>953</v>
      </c>
      <c r="B176" s="5" t="s">
        <v>258</v>
      </c>
    </row>
    <row r="177" spans="1:20">
      <c r="A177" s="13" t="s">
        <v>954</v>
      </c>
      <c r="B177" s="49">
        <v>0</v>
      </c>
    </row>
    <row r="178" spans="1:20">
      <c r="A178" s="13" t="s">
        <v>955</v>
      </c>
      <c r="B178" s="5" t="s">
        <v>277</v>
      </c>
    </row>
    <row r="179" spans="1:20">
      <c r="A179" s="13" t="s">
        <v>956</v>
      </c>
      <c r="B179" s="43"/>
    </row>
    <row r="180" spans="1:20">
      <c r="A180" s="13" t="s">
        <v>957</v>
      </c>
      <c r="B180" s="43">
        <v>16</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v>0</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ht="45" customHeight="1">
      <c r="A190" s="21" t="s">
        <v>969</v>
      </c>
      <c r="B190" s="17"/>
      <c r="C190" s="28">
        <f>IFERROR(INDEX(P_PoidsDom,1,MATCH($B$20,P_PoidsHdr,0)),"")</f>
        <v>0</v>
      </c>
      <c r="D190" s="14">
        <f>IF(N(C190)=0,"",SUMPRODUCT(B191:B193,C191:C193)+P_InfoInsuff*SUMPRODUCT((1-ISNUMBER(B191:B193))*C191:C193))</f>
        <v>0</v>
      </c>
      <c r="E190" s="47" t="s">
        <v>1459</v>
      </c>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315</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340</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386</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ht="45" customHeight="1">
      <c r="A202" s="21" t="s">
        <v>985</v>
      </c>
      <c r="B202" s="17"/>
      <c r="C202" s="28">
        <f>IFERROR(INDEX(P_PoidsDom,4,MATCH($B$20,P_PoidsHdr,0)),"")</f>
        <v>0</v>
      </c>
      <c r="D202" s="14">
        <f>IF(N(C202)=0,"",SUMPRODUCT(B203:B205,C203:C205)+P_InfoInsuff*SUMPRODUCT((1-ISNUMBER(B203:B205))*C203:C205))</f>
        <v>0</v>
      </c>
      <c r="E202" s="47" t="s">
        <v>1460</v>
      </c>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426</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470</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494</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561</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610</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614</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617</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629</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634</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646</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1461</v>
      </c>
      <c r="C280" s="47"/>
      <c r="D280" s="47"/>
      <c r="E280" s="47"/>
      <c r="F280" s="47"/>
      <c r="G280" s="47"/>
      <c r="H280" s="47"/>
    </row>
    <row r="281" spans="1:8" ht="45" customHeight="1">
      <c r="A281" s="22" t="s">
        <v>1063</v>
      </c>
      <c r="B281" s="47" t="s">
        <v>1462</v>
      </c>
      <c r="C281" s="47"/>
      <c r="D281" s="47"/>
      <c r="E281" s="47"/>
      <c r="F281" s="47"/>
      <c r="G281" s="47"/>
      <c r="H281" s="47"/>
    </row>
    <row r="282" spans="1:8" ht="45" customHeight="1">
      <c r="A282" s="22" t="s">
        <v>1065</v>
      </c>
      <c r="B282" s="47" t="s">
        <v>1463</v>
      </c>
      <c r="C282" s="47"/>
      <c r="D282" s="47"/>
      <c r="E282" s="47"/>
      <c r="F282" s="47"/>
      <c r="G282" s="47"/>
      <c r="H282" s="47"/>
    </row>
    <row r="283" spans="1:8" ht="60" customHeight="1">
      <c r="A283" s="22" t="s">
        <v>1067</v>
      </c>
      <c r="B283" s="47" t="s">
        <v>1464</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1465</v>
      </c>
      <c r="C284" s="47"/>
      <c r="D284" s="47"/>
      <c r="E284" s="47"/>
      <c r="F284" s="47"/>
      <c r="G284" s="47"/>
      <c r="H284" s="47"/>
    </row>
    <row r="285" spans="1:8" ht="30" customHeight="1">
      <c r="A285" s="22" t="s">
        <v>1069</v>
      </c>
      <c r="B285" s="5" t="s">
        <v>290</v>
      </c>
      <c r="C285" s="5"/>
      <c r="D285" s="47" t="s">
        <v>1466</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15.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1467</v>
      </c>
      <c r="J1" s="35" t="s">
        <v>809</v>
      </c>
      <c r="K1" s="35" t="s">
        <v>810</v>
      </c>
    </row>
    <row r="2" spans="1:18">
      <c r="A2" s="36" t="s">
        <v>1468</v>
      </c>
    </row>
    <row r="3" spans="1:18" ht="42" customHeight="1">
      <c r="A3" s="37" t="s">
        <v>1469</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1470</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1471</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1472</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12</v>
      </c>
      <c r="C18" s="13">
        <f>IFERROR(INDEX(P_RegLib,MATCH(B18,P_Regimes,0)),"")</f>
        <v>0</v>
      </c>
      <c r="D18" s="13"/>
      <c r="E18" s="13"/>
      <c r="F18" s="13"/>
      <c r="G18" s="13"/>
      <c r="H18" s="13"/>
      <c r="P18" s="35" t="s">
        <v>1080</v>
      </c>
      <c r="Q18" s="35" t="s">
        <v>1081</v>
      </c>
      <c r="R18" s="35">
        <f>IF($B$19&lt;&gt;"",1,0)</f>
        <v>0</v>
      </c>
    </row>
    <row r="19" spans="1:18">
      <c r="A19" s="17" t="s">
        <v>838</v>
      </c>
      <c r="B19" s="5" t="s">
        <v>29</v>
      </c>
      <c r="C19" s="13">
        <f>IFERROR(INDEX(P_SecLib,MATCH(B19,P_SecCodes,0)),"")</f>
        <v>0</v>
      </c>
      <c r="D19" s="13"/>
      <c r="E19" s="13"/>
      <c r="F19" s="13"/>
      <c r="G19" s="13"/>
      <c r="H19" s="13"/>
      <c r="P19" s="35" t="s">
        <v>1082</v>
      </c>
      <c r="Q19" s="35" t="s">
        <v>1083</v>
      </c>
      <c r="R19" s="35">
        <f>IF($B$20&lt;&gt;"",1,0)</f>
        <v>0</v>
      </c>
    </row>
    <row r="20" spans="1:18">
      <c r="A20" s="17" t="s">
        <v>839</v>
      </c>
      <c r="B20" s="5" t="s">
        <v>48</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700</v>
      </c>
      <c r="P26" s="35" t="s">
        <v>1096</v>
      </c>
      <c r="Q26" s="35" t="s">
        <v>1097</v>
      </c>
      <c r="R26" s="35">
        <f>IF($B$31&lt;&gt;"",1,0)</f>
        <v>0</v>
      </c>
    </row>
    <row r="27" spans="1:18">
      <c r="A27" s="13" t="s">
        <v>849</v>
      </c>
      <c r="B27" s="5" t="s">
        <v>257</v>
      </c>
      <c r="P27" s="35" t="s">
        <v>1098</v>
      </c>
      <c r="Q27" s="35" t="s">
        <v>1099</v>
      </c>
      <c r="R27" s="35">
        <f>IF($B$32&lt;&gt;"",1,0)</f>
        <v>0</v>
      </c>
    </row>
    <row r="28" spans="1:18">
      <c r="A28" s="13" t="s">
        <v>850</v>
      </c>
      <c r="B28" s="44">
        <v>18</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258</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257</v>
      </c>
      <c r="P33" s="35" t="s">
        <v>1110</v>
      </c>
      <c r="Q33" s="35" t="s">
        <v>1111</v>
      </c>
      <c r="R33" s="35">
        <f>IF(N($E$50)&gt;0,1,0)</f>
        <v>0</v>
      </c>
    </row>
    <row r="34" spans="1:18">
      <c r="A34" s="13" t="s">
        <v>856</v>
      </c>
      <c r="B34" s="5" t="s">
        <v>257</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4</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1473</v>
      </c>
      <c r="B42" s="43">
        <v>1450</v>
      </c>
      <c r="D42" s="45" t="s">
        <v>1474</v>
      </c>
      <c r="E42" s="43">
        <v>1700</v>
      </c>
      <c r="F42" s="45" t="s">
        <v>266</v>
      </c>
      <c r="G42" s="45"/>
      <c r="P42" s="35" t="s">
        <v>1128</v>
      </c>
      <c r="Q42" s="35">
        <f>"H"&amp;IF(COUNT($T$166:$T$168)=0,166,MIN($T$166:$T$168))</f>
        <v>0</v>
      </c>
      <c r="R42" s="35">
        <f>IF(COUNT($T$166:$T$168)=0,1,0)</f>
        <v>0</v>
      </c>
    </row>
    <row r="43" spans="1:18">
      <c r="A43" s="45" t="s">
        <v>1475</v>
      </c>
      <c r="B43" s="43">
        <v>620</v>
      </c>
      <c r="D43" s="45" t="s">
        <v>268</v>
      </c>
      <c r="E43" s="43">
        <v>725</v>
      </c>
      <c r="F43" s="45" t="s">
        <v>268</v>
      </c>
      <c r="G43" s="45"/>
      <c r="P43" s="35" t="s">
        <v>1129</v>
      </c>
      <c r="Q43" s="35" t="s">
        <v>1130</v>
      </c>
      <c r="R43" s="35">
        <f>IF(OR($B$20="P1",$B$171&lt;&gt;""),1,0)</f>
        <v>0</v>
      </c>
    </row>
    <row r="44" spans="1:18">
      <c r="A44" s="45" t="s">
        <v>1476</v>
      </c>
      <c r="B44" s="43">
        <v>110</v>
      </c>
      <c r="D44" s="45"/>
      <c r="E44" s="43"/>
      <c r="F44" s="45"/>
      <c r="G44" s="45"/>
      <c r="P44" s="35" t="s">
        <v>1131</v>
      </c>
      <c r="Q44" s="35" t="s">
        <v>1132</v>
      </c>
      <c r="R44" s="35">
        <f>IF(ISNUMBER($B$172),1,0)</f>
        <v>0</v>
      </c>
    </row>
    <row r="45" spans="1:18">
      <c r="A45" s="45" t="s">
        <v>872</v>
      </c>
      <c r="B45" s="43">
        <v>120</v>
      </c>
      <c r="D45" s="45"/>
      <c r="E45" s="43"/>
      <c r="F45" s="45"/>
      <c r="G45" s="45"/>
      <c r="P45" s="35" t="s">
        <v>1133</v>
      </c>
      <c r="Q45" s="35" t="s">
        <v>1134</v>
      </c>
      <c r="R45" s="35">
        <f>IF(ISNUMBER($B$173),1,0)</f>
        <v>0</v>
      </c>
    </row>
    <row r="46" spans="1:18">
      <c r="A46" s="45" t="s">
        <v>873</v>
      </c>
      <c r="B46" s="43">
        <v>140</v>
      </c>
      <c r="D46" s="45"/>
      <c r="E46" s="43"/>
      <c r="F46" s="45"/>
      <c r="G46" s="45"/>
      <c r="P46" s="35" t="s">
        <v>1135</v>
      </c>
      <c r="Q46" s="35" t="s">
        <v>1136</v>
      </c>
      <c r="R46" s="35">
        <f>IF(ISNUMBER($B$174),1,0)</f>
        <v>0</v>
      </c>
    </row>
    <row r="47" spans="1:18">
      <c r="A47" s="45" t="s">
        <v>1255</v>
      </c>
      <c r="B47" s="43">
        <v>60</v>
      </c>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t="s">
        <v>257</v>
      </c>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1477</v>
      </c>
      <c r="B57" s="45" t="s">
        <v>279</v>
      </c>
      <c r="C57" s="45"/>
      <c r="D57" s="45"/>
      <c r="E57" s="43">
        <v>620</v>
      </c>
      <c r="F57" s="5" t="s">
        <v>286</v>
      </c>
      <c r="G57" s="43">
        <v>18</v>
      </c>
      <c r="H57" s="47"/>
      <c r="P57" s="35" t="s">
        <v>1157</v>
      </c>
      <c r="Q57" s="35" t="s">
        <v>1158</v>
      </c>
      <c r="R57" s="35">
        <f>IF(OR($B$184&lt;&gt;"Non",ISNUMBER($B$185)),1,0)</f>
        <v>0</v>
      </c>
    </row>
    <row r="58" spans="1:18">
      <c r="A58" s="46" t="s">
        <v>1478</v>
      </c>
      <c r="B58" s="45" t="s">
        <v>280</v>
      </c>
      <c r="C58" s="45"/>
      <c r="D58" s="45"/>
      <c r="E58" s="43">
        <v>80</v>
      </c>
      <c r="F58" s="5" t="s">
        <v>286</v>
      </c>
      <c r="G58" s="43">
        <v>3</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1200000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90</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60</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30</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1479</v>
      </c>
      <c r="B74" s="45" t="s">
        <v>1480</v>
      </c>
      <c r="C74" s="45"/>
      <c r="D74" s="45"/>
      <c r="E74" s="45"/>
      <c r="F74" s="45"/>
      <c r="G74" s="45"/>
      <c r="H74" s="45"/>
    </row>
    <row r="75" spans="1:8">
      <c r="A75" s="45" t="s">
        <v>901</v>
      </c>
      <c r="B75" s="45" t="s">
        <v>1481</v>
      </c>
      <c r="C75" s="45"/>
      <c r="D75" s="45"/>
      <c r="E75" s="45"/>
      <c r="F75" s="45"/>
      <c r="G75" s="45"/>
      <c r="H75" s="45"/>
    </row>
    <row r="76" spans="1:8">
      <c r="A76" s="45"/>
      <c r="B76" s="45"/>
      <c r="C76" s="45"/>
      <c r="D76" s="45"/>
      <c r="E76" s="45"/>
      <c r="F76" s="45"/>
      <c r="G76" s="45"/>
      <c r="H76" s="45"/>
    </row>
    <row r="77" spans="1:8">
      <c r="A77" s="45"/>
      <c r="B77" s="45"/>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0.12</v>
      </c>
      <c r="C91" s="47" t="s">
        <v>1482</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1360</v>
      </c>
      <c r="B93" s="43">
        <v>140</v>
      </c>
      <c r="C93" s="50">
        <v>95</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1361</v>
      </c>
      <c r="B94" s="43">
        <v>146</v>
      </c>
      <c r="C94" s="50">
        <v>95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1229</v>
      </c>
      <c r="B95" s="43">
        <v>150</v>
      </c>
      <c r="C95" s="50">
        <v>96</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1230</v>
      </c>
      <c r="B96" s="43">
        <v>152</v>
      </c>
      <c r="C96" s="50">
        <v>96</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1483</v>
      </c>
      <c r="B97" s="43">
        <v>155</v>
      </c>
      <c r="C97" s="50">
        <v>97</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1484</v>
      </c>
      <c r="B98" s="43">
        <v>158</v>
      </c>
      <c r="C98" s="50">
        <v>97</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1448</v>
      </c>
      <c r="B99" s="43">
        <v>160</v>
      </c>
      <c r="C99" s="50">
        <v>98</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1449</v>
      </c>
      <c r="B100" s="43">
        <v>162</v>
      </c>
      <c r="C100" s="50">
        <v>98</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650</v>
      </c>
      <c r="F166" s="51"/>
      <c r="G166" s="51"/>
      <c r="H166" s="47" t="s">
        <v>1417</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1485</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658</v>
      </c>
      <c r="F168" s="51"/>
      <c r="G168" s="51"/>
      <c r="H168" s="47" t="s">
        <v>1486</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row>
    <row r="172" spans="1:20">
      <c r="A172" s="13" t="s">
        <v>949</v>
      </c>
      <c r="B172" s="50">
        <v>1.35</v>
      </c>
    </row>
    <row r="173" spans="1:20">
      <c r="A173" s="13" t="s">
        <v>950</v>
      </c>
      <c r="B173" s="43">
        <v>6</v>
      </c>
    </row>
    <row r="174" spans="1:20">
      <c r="A174" s="13" t="s">
        <v>951</v>
      </c>
      <c r="B174" s="49">
        <v>0</v>
      </c>
    </row>
    <row r="175" spans="1:20">
      <c r="A175" s="13" t="s">
        <v>952</v>
      </c>
      <c r="B175" s="49">
        <v>0</v>
      </c>
    </row>
    <row r="176" spans="1:20">
      <c r="A176" s="13" t="s">
        <v>953</v>
      </c>
      <c r="B176" s="5" t="s">
        <v>258</v>
      </c>
    </row>
    <row r="177" spans="1:20">
      <c r="A177" s="13" t="s">
        <v>954</v>
      </c>
      <c r="B177" s="49">
        <v>0.9</v>
      </c>
    </row>
    <row r="178" spans="1:20">
      <c r="A178" s="13" t="s">
        <v>955</v>
      </c>
      <c r="B178" s="5" t="s">
        <v>277</v>
      </c>
    </row>
    <row r="179" spans="1:20">
      <c r="A179" s="13" t="s">
        <v>956</v>
      </c>
      <c r="B179" s="43">
        <v>30</v>
      </c>
    </row>
    <row r="180" spans="1:20">
      <c r="A180" s="13" t="s">
        <v>957</v>
      </c>
      <c r="B180" s="43">
        <v>18</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v>0</v>
      </c>
    </row>
    <row r="186" spans="1:20">
      <c r="A186" s="13" t="s">
        <v>963</v>
      </c>
      <c r="B186" s="5" t="s">
        <v>257</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314</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346</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386</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391</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ht="45" customHeight="1">
      <c r="A198" s="21" t="s">
        <v>980</v>
      </c>
      <c r="B198" s="17"/>
      <c r="C198" s="28">
        <f>IFERROR(INDEX(P_PoidsDom,3,MATCH($B$20,P_PoidsHdr,0)),"")</f>
        <v>0</v>
      </c>
      <c r="D198" s="14">
        <f>IF(N(C198)=0,"",SUMPRODUCT(B199:B201,C199:C201)+P_InfoInsuff*SUMPRODUCT((1-ISNUMBER(B199:B201))*C199:C201))</f>
        <v>0</v>
      </c>
      <c r="E198" s="47" t="s">
        <v>1487</v>
      </c>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395</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399</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c r="A202" s="21" t="s">
        <v>985</v>
      </c>
      <c r="B202" s="17"/>
      <c r="C202" s="28">
        <f>IFERROR(INDEX(P_PoidsDom,4,MATCH($B$20,P_PoidsHdr,0)),"")</f>
        <v>0</v>
      </c>
      <c r="D202" s="14">
        <f>IF(N(C202)=0,"",SUMPRODUCT(B203:B205,C203:C205)+P_InfoInsuff*SUMPRODUCT((1-ISNUMBER(B203:B205))*C203:C205))</f>
        <v>0</v>
      </c>
      <c r="E202" s="47"/>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430</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470</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498</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566</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ht="45" customHeight="1">
      <c r="A210" s="21" t="s">
        <v>994</v>
      </c>
      <c r="B210" s="17"/>
      <c r="C210" s="28">
        <f>IFERROR(INDEX(P_PoidsDom,6,MATCH($B$20,P_PoidsHdr,0)),"")</f>
        <v>0</v>
      </c>
      <c r="D210" s="14">
        <f>IF(N(C210)=0,"",SUMPRODUCT(B211:B213,C211:C213)+P_InfoInsuff*SUMPRODUCT((1-ISNUMBER(B211:B213))*C211:C213))</f>
        <v>0</v>
      </c>
      <c r="E210" s="47" t="s">
        <v>1488</v>
      </c>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611</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614</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634</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646</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257</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1489</v>
      </c>
      <c r="C280" s="47"/>
      <c r="D280" s="47"/>
      <c r="E280" s="47"/>
      <c r="F280" s="47"/>
      <c r="G280" s="47"/>
      <c r="H280" s="47"/>
    </row>
    <row r="281" spans="1:8" ht="45" customHeight="1">
      <c r="A281" s="22" t="s">
        <v>1063</v>
      </c>
      <c r="B281" s="47" t="s">
        <v>1490</v>
      </c>
      <c r="C281" s="47"/>
      <c r="D281" s="47"/>
      <c r="E281" s="47"/>
      <c r="F281" s="47"/>
      <c r="G281" s="47"/>
      <c r="H281" s="47"/>
    </row>
    <row r="282" spans="1:8" ht="45" customHeight="1">
      <c r="A282" s="22" t="s">
        <v>1065</v>
      </c>
      <c r="B282" s="47" t="s">
        <v>1491</v>
      </c>
      <c r="C282" s="47"/>
      <c r="D282" s="47"/>
      <c r="E282" s="47"/>
      <c r="F282" s="47"/>
      <c r="G282" s="47"/>
      <c r="H282" s="47"/>
    </row>
    <row r="283" spans="1:8" ht="60" customHeight="1">
      <c r="A283" s="22" t="s">
        <v>1067</v>
      </c>
      <c r="B283" s="47" t="s">
        <v>1492</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1493</v>
      </c>
      <c r="C284" s="47"/>
      <c r="D284" s="47"/>
      <c r="E284" s="47"/>
      <c r="F284" s="47"/>
      <c r="G284" s="47"/>
      <c r="H284" s="47"/>
    </row>
    <row r="285" spans="1:8" ht="30" customHeight="1">
      <c r="A285" s="22" t="s">
        <v>1069</v>
      </c>
      <c r="B285" s="5" t="s">
        <v>291</v>
      </c>
      <c r="C285" s="5"/>
      <c r="D285" s="47" t="s">
        <v>1494</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16.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1495</v>
      </c>
      <c r="J1" s="35" t="s">
        <v>809</v>
      </c>
      <c r="K1" s="35" t="s">
        <v>810</v>
      </c>
    </row>
    <row r="2" spans="1:18">
      <c r="A2" s="36" t="s">
        <v>1496</v>
      </c>
    </row>
    <row r="3" spans="1:18" ht="42" customHeight="1">
      <c r="A3" s="37" t="s">
        <v>1497</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1498</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1499</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1500</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10</v>
      </c>
      <c r="C18" s="13">
        <f>IFERROR(INDEX(P_RegLib,MATCH(B18,P_Regimes,0)),"")</f>
        <v>0</v>
      </c>
      <c r="D18" s="13"/>
      <c r="E18" s="13"/>
      <c r="F18" s="13"/>
      <c r="G18" s="13"/>
      <c r="H18" s="13"/>
      <c r="P18" s="35" t="s">
        <v>1080</v>
      </c>
      <c r="Q18" s="35" t="s">
        <v>1081</v>
      </c>
      <c r="R18" s="35">
        <f>IF($B$19&lt;&gt;"",1,0)</f>
        <v>0</v>
      </c>
    </row>
    <row r="19" spans="1:18">
      <c r="A19" s="17" t="s">
        <v>838</v>
      </c>
      <c r="B19" s="5" t="s">
        <v>31</v>
      </c>
      <c r="C19" s="13">
        <f>IFERROR(INDEX(P_SecLib,MATCH(B19,P_SecCodes,0)),"")</f>
        <v>0</v>
      </c>
      <c r="D19" s="13"/>
      <c r="E19" s="13"/>
      <c r="F19" s="13"/>
      <c r="G19" s="13"/>
      <c r="H19" s="13"/>
      <c r="P19" s="35" t="s">
        <v>1082</v>
      </c>
      <c r="Q19" s="35" t="s">
        <v>1083</v>
      </c>
      <c r="R19" s="35">
        <f>IF($B$20&lt;&gt;"",1,0)</f>
        <v>0</v>
      </c>
    </row>
    <row r="20" spans="1:18">
      <c r="A20" s="17" t="s">
        <v>839</v>
      </c>
      <c r="B20" s="5" t="s">
        <v>48</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420</v>
      </c>
      <c r="P26" s="35" t="s">
        <v>1096</v>
      </c>
      <c r="Q26" s="35" t="s">
        <v>1097</v>
      </c>
      <c r="R26" s="35">
        <f>IF($B$31&lt;&gt;"",1,0)</f>
        <v>0</v>
      </c>
    </row>
    <row r="27" spans="1:18">
      <c r="A27" s="13" t="s">
        <v>849</v>
      </c>
      <c r="B27" s="5" t="s">
        <v>257</v>
      </c>
      <c r="P27" s="35" t="s">
        <v>1098</v>
      </c>
      <c r="Q27" s="35" t="s">
        <v>1099</v>
      </c>
      <c r="R27" s="35">
        <f>IF($B$32&lt;&gt;"",1,0)</f>
        <v>0</v>
      </c>
    </row>
    <row r="28" spans="1:18">
      <c r="A28" s="13" t="s">
        <v>850</v>
      </c>
      <c r="B28" s="44">
        <v>20</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1501</v>
      </c>
      <c r="B42" s="43">
        <v>980</v>
      </c>
      <c r="D42" s="45" t="s">
        <v>1502</v>
      </c>
      <c r="E42" s="43">
        <v>1000</v>
      </c>
      <c r="F42" s="45" t="s">
        <v>266</v>
      </c>
      <c r="G42" s="45"/>
      <c r="P42" s="35" t="s">
        <v>1128</v>
      </c>
      <c r="Q42" s="35">
        <f>"H"&amp;IF(COUNT($T$166:$T$168)=0,166,MIN($T$166:$T$168))</f>
        <v>0</v>
      </c>
      <c r="R42" s="35">
        <f>IF(COUNT($T$166:$T$168)=0,1,0)</f>
        <v>0</v>
      </c>
    </row>
    <row r="43" spans="1:18">
      <c r="A43" s="45" t="s">
        <v>1503</v>
      </c>
      <c r="B43" s="43">
        <v>170</v>
      </c>
      <c r="D43" s="45" t="s">
        <v>268</v>
      </c>
      <c r="E43" s="43">
        <v>300</v>
      </c>
      <c r="F43" s="45" t="s">
        <v>268</v>
      </c>
      <c r="G43" s="45"/>
      <c r="P43" s="35" t="s">
        <v>1129</v>
      </c>
      <c r="Q43" s="35" t="s">
        <v>1130</v>
      </c>
      <c r="R43" s="35">
        <f>IF(OR($B$20="P1",$B$171&lt;&gt;""),1,0)</f>
        <v>0</v>
      </c>
    </row>
    <row r="44" spans="1:18">
      <c r="A44" s="45" t="s">
        <v>1504</v>
      </c>
      <c r="B44" s="43">
        <v>50</v>
      </c>
      <c r="D44" s="45" t="s">
        <v>1505</v>
      </c>
      <c r="E44" s="43">
        <v>60</v>
      </c>
      <c r="F44" s="45" t="s">
        <v>273</v>
      </c>
      <c r="G44" s="45"/>
      <c r="P44" s="35" t="s">
        <v>1131</v>
      </c>
      <c r="Q44" s="35" t="s">
        <v>1132</v>
      </c>
      <c r="R44" s="35">
        <f>IF(ISNUMBER($B$172),1,0)</f>
        <v>0</v>
      </c>
    </row>
    <row r="45" spans="1:18">
      <c r="A45" s="45" t="s">
        <v>872</v>
      </c>
      <c r="B45" s="43">
        <v>55</v>
      </c>
      <c r="D45" s="45"/>
      <c r="E45" s="43"/>
      <c r="F45" s="45"/>
      <c r="G45" s="45"/>
      <c r="P45" s="35" t="s">
        <v>1133</v>
      </c>
      <c r="Q45" s="35" t="s">
        <v>1134</v>
      </c>
      <c r="R45" s="35">
        <f>IF(ISNUMBER($B$173),1,0)</f>
        <v>0</v>
      </c>
    </row>
    <row r="46" spans="1:18">
      <c r="A46" s="45" t="s">
        <v>873</v>
      </c>
      <c r="B46" s="43">
        <v>60</v>
      </c>
      <c r="D46" s="45"/>
      <c r="E46" s="43"/>
      <c r="F46" s="45"/>
      <c r="G46" s="45"/>
      <c r="P46" s="35" t="s">
        <v>1135</v>
      </c>
      <c r="Q46" s="35" t="s">
        <v>1136</v>
      </c>
      <c r="R46" s="35">
        <f>IF(ISNUMBER($B$174),1,0)</f>
        <v>0</v>
      </c>
    </row>
    <row r="47" spans="1:18">
      <c r="A47" s="45" t="s">
        <v>1255</v>
      </c>
      <c r="B47" s="43">
        <v>30</v>
      </c>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1506</v>
      </c>
      <c r="B57" s="45" t="s">
        <v>279</v>
      </c>
      <c r="C57" s="45"/>
      <c r="D57" s="45"/>
      <c r="E57" s="43">
        <v>420</v>
      </c>
      <c r="F57" s="5" t="s">
        <v>286</v>
      </c>
      <c r="G57" s="43">
        <v>20</v>
      </c>
      <c r="H57" s="47"/>
      <c r="P57" s="35" t="s">
        <v>1157</v>
      </c>
      <c r="Q57" s="35" t="s">
        <v>1158</v>
      </c>
      <c r="R57" s="35">
        <f>IF(OR($B$184&lt;&gt;"Non",ISNUMBER($B$185)),1,0)</f>
        <v>0</v>
      </c>
    </row>
    <row r="58" spans="1:18">
      <c r="A58" s="46"/>
      <c r="B58" s="45"/>
      <c r="C58" s="45"/>
      <c r="D58" s="45"/>
      <c r="E58" s="43"/>
      <c r="F58" s="5"/>
      <c r="G58" s="43"/>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600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t="s">
        <v>1507</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20</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10</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1508</v>
      </c>
      <c r="B74" s="45" t="s">
        <v>1509</v>
      </c>
      <c r="C74" s="45"/>
      <c r="D74" s="45"/>
      <c r="E74" s="45"/>
      <c r="F74" s="45"/>
      <c r="G74" s="45"/>
      <c r="H74" s="45"/>
    </row>
    <row r="75" spans="1:8">
      <c r="A75" s="45" t="s">
        <v>901</v>
      </c>
      <c r="B75" s="45" t="s">
        <v>1415</v>
      </c>
      <c r="C75" s="45"/>
      <c r="D75" s="45"/>
      <c r="E75" s="45"/>
      <c r="F75" s="45"/>
      <c r="G75" s="45"/>
      <c r="H75" s="45"/>
    </row>
    <row r="76" spans="1:8">
      <c r="A76" s="45" t="s">
        <v>903</v>
      </c>
      <c r="B76" s="45" t="s">
        <v>1510</v>
      </c>
      <c r="C76" s="45"/>
      <c r="D76" s="45"/>
      <c r="E76" s="45"/>
      <c r="F76" s="45"/>
      <c r="G76" s="45"/>
      <c r="H76" s="45"/>
    </row>
    <row r="77" spans="1:8">
      <c r="A77" s="45"/>
      <c r="B77" s="45"/>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0.07000000000000001</v>
      </c>
      <c r="C91" s="47" t="s">
        <v>1511</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1358</v>
      </c>
      <c r="B93" s="43">
        <v>58</v>
      </c>
      <c r="C93" s="50">
        <v>47</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1359</v>
      </c>
      <c r="B94" s="43">
        <v>59</v>
      </c>
      <c r="C94" s="50">
        <v>47</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1360</v>
      </c>
      <c r="B95" s="43">
        <v>60</v>
      </c>
      <c r="C95" s="50">
        <v>47</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1361</v>
      </c>
      <c r="B96" s="43">
        <v>60</v>
      </c>
      <c r="C96" s="50">
        <v>47</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1229</v>
      </c>
      <c r="B97" s="43">
        <v>61</v>
      </c>
      <c r="C97" s="50">
        <v>47</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1230</v>
      </c>
      <c r="B98" s="43">
        <v>61</v>
      </c>
      <c r="C98" s="50">
        <v>47</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1483</v>
      </c>
      <c r="B99" s="43">
        <v>62</v>
      </c>
      <c r="C99" s="50">
        <v>47</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1484</v>
      </c>
      <c r="B100" s="43">
        <v>62</v>
      </c>
      <c r="C100" s="50">
        <v>47</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650</v>
      </c>
      <c r="F166" s="51"/>
      <c r="G166" s="51"/>
      <c r="H166" s="47" t="s">
        <v>1417</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1512</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657</v>
      </c>
      <c r="F168" s="51"/>
      <c r="G168" s="51"/>
      <c r="H168" s="47" t="s">
        <v>1513</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row>
    <row r="172" spans="1:20">
      <c r="A172" s="13" t="s">
        <v>949</v>
      </c>
      <c r="B172" s="50">
        <v>1.3</v>
      </c>
    </row>
    <row r="173" spans="1:20">
      <c r="A173" s="13" t="s">
        <v>950</v>
      </c>
      <c r="B173" s="43">
        <v>6</v>
      </c>
    </row>
    <row r="174" spans="1:20">
      <c r="A174" s="13" t="s">
        <v>951</v>
      </c>
      <c r="B174" s="49">
        <v>0</v>
      </c>
    </row>
    <row r="175" spans="1:20">
      <c r="A175" s="13" t="s">
        <v>952</v>
      </c>
      <c r="B175" s="49">
        <v>0</v>
      </c>
    </row>
    <row r="176" spans="1:20">
      <c r="A176" s="13" t="s">
        <v>953</v>
      </c>
      <c r="B176" s="5" t="s">
        <v>258</v>
      </c>
    </row>
    <row r="177" spans="1:20">
      <c r="A177" s="13" t="s">
        <v>954</v>
      </c>
      <c r="B177" s="49">
        <v>1</v>
      </c>
    </row>
    <row r="178" spans="1:20">
      <c r="A178" s="13" t="s">
        <v>955</v>
      </c>
      <c r="B178" s="5" t="s">
        <v>275</v>
      </c>
    </row>
    <row r="179" spans="1:20">
      <c r="A179" s="13" t="s">
        <v>956</v>
      </c>
      <c r="B179" s="43">
        <v>20</v>
      </c>
    </row>
    <row r="180" spans="1:20">
      <c r="A180" s="13" t="s">
        <v>957</v>
      </c>
      <c r="B180" s="43">
        <v>20</v>
      </c>
    </row>
    <row r="181" spans="1:20">
      <c r="A181" s="13" t="s">
        <v>958</v>
      </c>
      <c r="B181" s="5" t="s">
        <v>258</v>
      </c>
    </row>
    <row r="182" spans="1:20">
      <c r="A182" s="13" t="s">
        <v>959</v>
      </c>
      <c r="B182" s="5" t="s">
        <v>258</v>
      </c>
    </row>
    <row r="183" spans="1:20">
      <c r="A183" s="13" t="s">
        <v>960</v>
      </c>
      <c r="B183" s="5" t="s">
        <v>257</v>
      </c>
    </row>
    <row r="184" spans="1:20">
      <c r="A184" s="13" t="s">
        <v>961</v>
      </c>
      <c r="B184" s="5" t="s">
        <v>258</v>
      </c>
    </row>
    <row r="185" spans="1:20">
      <c r="A185" s="13" t="s">
        <v>962</v>
      </c>
      <c r="B185" s="43">
        <v>7</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314</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351</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385</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401</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c r="A202" s="21" t="s">
        <v>985</v>
      </c>
      <c r="B202" s="17"/>
      <c r="C202" s="28">
        <f>IFERROR(INDEX(P_PoidsDom,4,MATCH($B$20,P_PoidsHdr,0)),"")</f>
        <v>0</v>
      </c>
      <c r="D202" s="14">
        <f>IF(N(C202)=0,"",SUMPRODUCT(B203:B205,C203:C205)+P_InfoInsuff*SUMPRODUCT((1-ISNUMBER(B203:B205))*C203:C205))</f>
        <v>0</v>
      </c>
      <c r="E202" s="47"/>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434</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470</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502</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ht="45" customHeight="1">
      <c r="A206" s="21" t="s">
        <v>990</v>
      </c>
      <c r="B206" s="17"/>
      <c r="C206" s="28">
        <f>IFERROR(INDEX(P_PoidsDom,5,MATCH($B$20,P_PoidsHdr,0)),"")</f>
        <v>0</v>
      </c>
      <c r="D206" s="14">
        <f>IF(N(C206)=0,"",SUMPRODUCT(B207:B209,C207:C209)+P_InfoInsuff*SUMPRODUCT((1-ISNUMBER(B207:B209))*C207:C209))</f>
        <v>0</v>
      </c>
      <c r="E206" s="47" t="s">
        <v>1514</v>
      </c>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539</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571</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260</v>
      </c>
      <c r="F209" s="51"/>
      <c r="G209" s="51"/>
      <c r="H209" s="47" t="s">
        <v>1515</v>
      </c>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609</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614</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ht="45" customHeight="1">
      <c r="A218" s="21" t="s">
        <v>1003</v>
      </c>
      <c r="B218" s="17"/>
      <c r="C218" s="28">
        <f>IFERROR(INDEX(P_PoidsDom,9,MATCH($B$20,P_PoidsHdr,0)),"")</f>
        <v>0</v>
      </c>
      <c r="D218" s="14">
        <f>IF(N(C218)=0,"",SUMPRODUCT(B219:B222,C219:C222)+P_InfoInsuff*SUMPRODUCT((1-ISNUMBER(B219:B222))*C219:C222))</f>
        <v>0</v>
      </c>
      <c r="E218" s="47" t="s">
        <v>1516</v>
      </c>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634</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260</v>
      </c>
      <c r="F220" s="51"/>
      <c r="G220" s="51"/>
      <c r="H220" s="47" t="s">
        <v>1517</v>
      </c>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646</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1518</v>
      </c>
      <c r="C280" s="47"/>
      <c r="D280" s="47"/>
      <c r="E280" s="47"/>
      <c r="F280" s="47"/>
      <c r="G280" s="47"/>
      <c r="H280" s="47"/>
    </row>
    <row r="281" spans="1:8" ht="45" customHeight="1">
      <c r="A281" s="22" t="s">
        <v>1063</v>
      </c>
      <c r="B281" s="47" t="s">
        <v>1519</v>
      </c>
      <c r="C281" s="47"/>
      <c r="D281" s="47"/>
      <c r="E281" s="47"/>
      <c r="F281" s="47"/>
      <c r="G281" s="47"/>
      <c r="H281" s="47"/>
    </row>
    <row r="282" spans="1:8" ht="45" customHeight="1">
      <c r="A282" s="22" t="s">
        <v>1065</v>
      </c>
      <c r="B282" s="47" t="s">
        <v>1520</v>
      </c>
      <c r="C282" s="47"/>
      <c r="D282" s="47"/>
      <c r="E282" s="47"/>
      <c r="F282" s="47"/>
      <c r="G282" s="47"/>
      <c r="H282" s="47"/>
    </row>
    <row r="283" spans="1:8" ht="60" customHeight="1">
      <c r="A283" s="22" t="s">
        <v>1067</v>
      </c>
      <c r="B283" s="47" t="s">
        <v>1521</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1522</v>
      </c>
      <c r="C284" s="47"/>
      <c r="D284" s="47"/>
      <c r="E284" s="47"/>
      <c r="F284" s="47"/>
      <c r="G284" s="47"/>
      <c r="H284" s="47"/>
    </row>
    <row r="285" spans="1:8" ht="30" customHeight="1">
      <c r="A285" s="22" t="s">
        <v>1069</v>
      </c>
      <c r="B285" s="5" t="s">
        <v>291</v>
      </c>
      <c r="C285" s="5"/>
      <c r="D285" s="47" t="s">
        <v>1523</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17.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1524</v>
      </c>
      <c r="J1" s="35" t="s">
        <v>809</v>
      </c>
      <c r="K1" s="35" t="s">
        <v>810</v>
      </c>
    </row>
    <row r="2" spans="1:18">
      <c r="A2" s="36" t="s">
        <v>1525</v>
      </c>
    </row>
    <row r="3" spans="1:18" ht="42" customHeight="1">
      <c r="A3" s="37" t="s">
        <v>1526</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1527</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1528</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1529</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8</v>
      </c>
      <c r="C18" s="13">
        <f>IFERROR(INDEX(P_RegLib,MATCH(B18,P_Regimes,0)),"")</f>
        <v>0</v>
      </c>
      <c r="D18" s="13"/>
      <c r="E18" s="13"/>
      <c r="F18" s="13"/>
      <c r="G18" s="13"/>
      <c r="H18" s="13"/>
      <c r="P18" s="35" t="s">
        <v>1080</v>
      </c>
      <c r="Q18" s="35" t="s">
        <v>1081</v>
      </c>
      <c r="R18" s="35">
        <f>IF($B$19&lt;&gt;"",1,0)</f>
        <v>0</v>
      </c>
    </row>
    <row r="19" spans="1:18">
      <c r="A19" s="17" t="s">
        <v>838</v>
      </c>
      <c r="B19" s="5" t="s">
        <v>33</v>
      </c>
      <c r="C19" s="13">
        <f>IFERROR(INDEX(P_SecLib,MATCH(B19,P_SecCodes,0)),"")</f>
        <v>0</v>
      </c>
      <c r="D19" s="13"/>
      <c r="E19" s="13"/>
      <c r="F19" s="13"/>
      <c r="G19" s="13"/>
      <c r="H19" s="13"/>
      <c r="P19" s="35" t="s">
        <v>1082</v>
      </c>
      <c r="Q19" s="35" t="s">
        <v>1083</v>
      </c>
      <c r="R19" s="35">
        <f>IF($B$20&lt;&gt;"",1,0)</f>
        <v>0</v>
      </c>
    </row>
    <row r="20" spans="1:18">
      <c r="A20" s="17" t="s">
        <v>839</v>
      </c>
      <c r="B20" s="5" t="s">
        <v>52</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800</v>
      </c>
      <c r="P26" s="35" t="s">
        <v>1096</v>
      </c>
      <c r="Q26" s="35" t="s">
        <v>1097</v>
      </c>
      <c r="R26" s="35">
        <f>IF($B$31&lt;&gt;"",1,0)</f>
        <v>0</v>
      </c>
    </row>
    <row r="27" spans="1:18">
      <c r="A27" s="13" t="s">
        <v>849</v>
      </c>
      <c r="B27" s="5" t="s">
        <v>257</v>
      </c>
      <c r="P27" s="35" t="s">
        <v>1098</v>
      </c>
      <c r="Q27" s="35" t="s">
        <v>1099</v>
      </c>
      <c r="R27" s="35">
        <f>IF($B$32&lt;&gt;"",1,0)</f>
        <v>0</v>
      </c>
    </row>
    <row r="28" spans="1:18">
      <c r="A28" s="13" t="s">
        <v>850</v>
      </c>
      <c r="B28" s="44">
        <v>10</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257</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1530</v>
      </c>
      <c r="B42" s="43">
        <v>1650</v>
      </c>
      <c r="D42" s="45" t="s">
        <v>1531</v>
      </c>
      <c r="E42" s="43">
        <v>1300</v>
      </c>
      <c r="F42" s="45" t="s">
        <v>266</v>
      </c>
      <c r="G42" s="45"/>
      <c r="P42" s="35" t="s">
        <v>1128</v>
      </c>
      <c r="Q42" s="35">
        <f>"H"&amp;IF(COUNT($T$166:$T$168)=0,166,MIN($T$166:$T$168))</f>
        <v>0</v>
      </c>
      <c r="R42" s="35">
        <f>IF(COUNT($T$166:$T$168)=0,1,0)</f>
        <v>0</v>
      </c>
    </row>
    <row r="43" spans="1:18">
      <c r="A43" s="45"/>
      <c r="B43" s="43"/>
      <c r="D43" s="45" t="s">
        <v>268</v>
      </c>
      <c r="E43" s="43">
        <v>350</v>
      </c>
      <c r="F43" s="45" t="s">
        <v>268</v>
      </c>
      <c r="G43" s="45"/>
      <c r="P43" s="35" t="s">
        <v>1129</v>
      </c>
      <c r="Q43" s="35" t="s">
        <v>1130</v>
      </c>
      <c r="R43" s="35">
        <f>IF(OR($B$20="P1",$B$171&lt;&gt;""),1,0)</f>
        <v>0</v>
      </c>
    </row>
    <row r="44" spans="1:18">
      <c r="A44" s="45"/>
      <c r="B44" s="43"/>
      <c r="D44" s="45"/>
      <c r="E44" s="43"/>
      <c r="F44" s="45"/>
      <c r="G44" s="45"/>
      <c r="P44" s="35" t="s">
        <v>1131</v>
      </c>
      <c r="Q44" s="35" t="s">
        <v>1132</v>
      </c>
      <c r="R44" s="35">
        <f>IF(ISNUMBER($B$172),1,0)</f>
        <v>0</v>
      </c>
    </row>
    <row r="45" spans="1:18">
      <c r="A45" s="45"/>
      <c r="B45" s="43"/>
      <c r="D45" s="45"/>
      <c r="E45" s="43"/>
      <c r="F45" s="45"/>
      <c r="G45" s="45"/>
      <c r="P45" s="35" t="s">
        <v>1133</v>
      </c>
      <c r="Q45" s="35" t="s">
        <v>1134</v>
      </c>
      <c r="R45" s="35">
        <f>IF(ISNUMBER($B$173),1,0)</f>
        <v>0</v>
      </c>
    </row>
    <row r="46" spans="1:18">
      <c r="A46" s="45"/>
      <c r="B46" s="43"/>
      <c r="D46" s="45"/>
      <c r="E46" s="43"/>
      <c r="F46" s="45"/>
      <c r="G46" s="45"/>
      <c r="P46" s="35" t="s">
        <v>1135</v>
      </c>
      <c r="Q46" s="35" t="s">
        <v>1136</v>
      </c>
      <c r="R46" s="35">
        <f>IF(ISNUMBER($B$174),1,0)</f>
        <v>0</v>
      </c>
    </row>
    <row r="47" spans="1:18">
      <c r="A47" s="45"/>
      <c r="B47" s="43"/>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1532</v>
      </c>
      <c r="B57" s="45" t="s">
        <v>279</v>
      </c>
      <c r="C57" s="45"/>
      <c r="D57" s="45"/>
      <c r="E57" s="43">
        <v>720</v>
      </c>
      <c r="F57" s="5" t="s">
        <v>286</v>
      </c>
      <c r="G57" s="43">
        <v>10</v>
      </c>
      <c r="H57" s="47"/>
      <c r="P57" s="35" t="s">
        <v>1157</v>
      </c>
      <c r="Q57" s="35" t="s">
        <v>1158</v>
      </c>
      <c r="R57" s="35">
        <f>IF(OR($B$184&lt;&gt;"Non",ISNUMBER($B$185)),1,0)</f>
        <v>0</v>
      </c>
    </row>
    <row r="58" spans="1:18">
      <c r="A58" s="46" t="s">
        <v>1533</v>
      </c>
      <c r="B58" s="45" t="s">
        <v>282</v>
      </c>
      <c r="C58" s="45"/>
      <c r="D58" s="45"/>
      <c r="E58" s="43">
        <v>80</v>
      </c>
      <c r="F58" s="5" t="s">
        <v>286</v>
      </c>
      <c r="G58" s="43">
        <v>2</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450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56</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12</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90</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100</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1534</v>
      </c>
      <c r="B74" s="45" t="s">
        <v>1535</v>
      </c>
      <c r="C74" s="45"/>
      <c r="D74" s="45"/>
      <c r="E74" s="45"/>
      <c r="F74" s="45"/>
      <c r="G74" s="45"/>
      <c r="H74" s="45"/>
    </row>
    <row r="75" spans="1:8">
      <c r="A75" s="45" t="s">
        <v>1536</v>
      </c>
      <c r="B75" s="45" t="s">
        <v>1537</v>
      </c>
      <c r="C75" s="45"/>
      <c r="D75" s="45"/>
      <c r="E75" s="45"/>
      <c r="F75" s="45"/>
      <c r="G75" s="45"/>
      <c r="H75" s="45"/>
    </row>
    <row r="76" spans="1:8">
      <c r="A76" s="45" t="s">
        <v>901</v>
      </c>
      <c r="B76" s="45" t="s">
        <v>1538</v>
      </c>
      <c r="C76" s="45"/>
      <c r="D76" s="45"/>
      <c r="E76" s="45"/>
      <c r="F76" s="45"/>
      <c r="G76" s="45"/>
      <c r="H76" s="45"/>
    </row>
    <row r="77" spans="1:8">
      <c r="A77" s="45" t="s">
        <v>1539</v>
      </c>
      <c r="B77" s="45" t="s">
        <v>1540</v>
      </c>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0.12</v>
      </c>
      <c r="C91" s="47" t="s">
        <v>1541</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1452</v>
      </c>
      <c r="B93" s="43">
        <v>118</v>
      </c>
      <c r="C93" s="50">
        <v>92</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1453</v>
      </c>
      <c r="B94" s="43">
        <v>120</v>
      </c>
      <c r="C94" s="50">
        <v>92</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924</v>
      </c>
      <c r="B95" s="43">
        <v>119</v>
      </c>
      <c r="C95" s="50">
        <v>93</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925</v>
      </c>
      <c r="B96" s="43">
        <v>121</v>
      </c>
      <c r="C96" s="50">
        <v>93</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1454</v>
      </c>
      <c r="B97" s="43">
        <v>120</v>
      </c>
      <c r="C97" s="50">
        <v>94</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1455</v>
      </c>
      <c r="B98" s="43">
        <v>122</v>
      </c>
      <c r="C98" s="50">
        <v>94</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1325</v>
      </c>
      <c r="B99" s="43">
        <v>120</v>
      </c>
      <c r="C99" s="50">
        <v>94</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1326</v>
      </c>
      <c r="B100" s="43">
        <v>123</v>
      </c>
      <c r="C100" s="50">
        <v>94</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650</v>
      </c>
      <c r="F166" s="51"/>
      <c r="G166" s="51"/>
      <c r="H166" s="47" t="s">
        <v>1417</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1542</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659</v>
      </c>
      <c r="F168" s="51"/>
      <c r="G168" s="51"/>
      <c r="H168" s="47" t="s">
        <v>1543</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20</v>
      </c>
    </row>
    <row r="172" spans="1:20">
      <c r="A172" s="13" t="s">
        <v>949</v>
      </c>
      <c r="B172" s="50">
        <v>1.08</v>
      </c>
    </row>
    <row r="173" spans="1:20">
      <c r="A173" s="13" t="s">
        <v>950</v>
      </c>
      <c r="B173" s="43">
        <v>6</v>
      </c>
    </row>
    <row r="174" spans="1:20">
      <c r="A174" s="13" t="s">
        <v>951</v>
      </c>
      <c r="B174" s="49">
        <v>0</v>
      </c>
    </row>
    <row r="175" spans="1:20">
      <c r="A175" s="13" t="s">
        <v>952</v>
      </c>
      <c r="B175" s="49">
        <v>0.35</v>
      </c>
    </row>
    <row r="176" spans="1:20">
      <c r="A176" s="13" t="s">
        <v>953</v>
      </c>
      <c r="B176" s="5" t="s">
        <v>258</v>
      </c>
    </row>
    <row r="177" spans="1:20">
      <c r="A177" s="13" t="s">
        <v>954</v>
      </c>
      <c r="B177" s="49">
        <v>1</v>
      </c>
    </row>
    <row r="178" spans="1:20">
      <c r="A178" s="13" t="s">
        <v>955</v>
      </c>
      <c r="B178" s="5" t="s">
        <v>275</v>
      </c>
    </row>
    <row r="179" spans="1:20">
      <c r="A179" s="13" t="s">
        <v>956</v>
      </c>
      <c r="B179" s="43">
        <v>12</v>
      </c>
    </row>
    <row r="180" spans="1:20">
      <c r="A180" s="13" t="s">
        <v>957</v>
      </c>
      <c r="B180" s="43">
        <v>10</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v>0</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314</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356</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386</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c r="A202" s="21" t="s">
        <v>985</v>
      </c>
      <c r="B202" s="17"/>
      <c r="C202" s="28">
        <f>IFERROR(INDEX(P_PoidsDom,4,MATCH($B$20,P_PoidsHdr,0)),"")</f>
        <v>0</v>
      </c>
      <c r="D202" s="14">
        <f>IF(N(C202)=0,"",SUMPRODUCT(B203:B205,C203:C205)+P_InfoInsuff*SUMPRODUCT((1-ISNUMBER(B203:B205))*C203:C205))</f>
        <v>0</v>
      </c>
      <c r="E202" s="47"/>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439</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470</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508</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ht="45" customHeight="1">
      <c r="A206" s="21" t="s">
        <v>990</v>
      </c>
      <c r="B206" s="17"/>
      <c r="C206" s="28">
        <f>IFERROR(INDEX(P_PoidsDom,5,MATCH($B$20,P_PoidsHdr,0)),"")</f>
        <v>0</v>
      </c>
      <c r="D206" s="14">
        <f>IF(N(C206)=0,"",SUMPRODUCT(B207:B209,C207:C209)+P_InfoInsuff*SUMPRODUCT((1-ISNUMBER(B207:B209))*C207:C209))</f>
        <v>0</v>
      </c>
      <c r="E206" s="47" t="s">
        <v>1544</v>
      </c>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576</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607</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610</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614</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ht="45" customHeight="1">
      <c r="A218" s="21" t="s">
        <v>1003</v>
      </c>
      <c r="B218" s="17"/>
      <c r="C218" s="28">
        <f>IFERROR(INDEX(P_PoidsDom,9,MATCH($B$20,P_PoidsHdr,0)),"")</f>
        <v>0</v>
      </c>
      <c r="D218" s="14">
        <f>IF(N(C218)=0,"",SUMPRODUCT(B219:B222,C219:C222)+P_InfoInsuff*SUMPRODUCT((1-ISNUMBER(B219:B222))*C219:C222))</f>
        <v>0</v>
      </c>
      <c r="E218" s="47" t="s">
        <v>1545</v>
      </c>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635</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647</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1546</v>
      </c>
      <c r="C280" s="47"/>
      <c r="D280" s="47"/>
      <c r="E280" s="47"/>
      <c r="F280" s="47"/>
      <c r="G280" s="47"/>
      <c r="H280" s="47"/>
    </row>
    <row r="281" spans="1:8" ht="45" customHeight="1">
      <c r="A281" s="22" t="s">
        <v>1063</v>
      </c>
      <c r="B281" s="47" t="s">
        <v>1547</v>
      </c>
      <c r="C281" s="47"/>
      <c r="D281" s="47"/>
      <c r="E281" s="47"/>
      <c r="F281" s="47"/>
      <c r="G281" s="47"/>
      <c r="H281" s="47"/>
    </row>
    <row r="282" spans="1:8" ht="45" customHeight="1">
      <c r="A282" s="22" t="s">
        <v>1065</v>
      </c>
      <c r="B282" s="47" t="s">
        <v>1548</v>
      </c>
      <c r="C282" s="47"/>
      <c r="D282" s="47"/>
      <c r="E282" s="47"/>
      <c r="F282" s="47"/>
      <c r="G282" s="47"/>
      <c r="H282" s="47"/>
    </row>
    <row r="283" spans="1:8" ht="60" customHeight="1">
      <c r="A283" s="22" t="s">
        <v>1067</v>
      </c>
      <c r="B283" s="47" t="s">
        <v>1549</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1550</v>
      </c>
      <c r="C284" s="47"/>
      <c r="D284" s="47"/>
      <c r="E284" s="47"/>
      <c r="F284" s="47"/>
      <c r="G284" s="47"/>
      <c r="H284" s="47"/>
    </row>
    <row r="285" spans="1:8" ht="30" customHeight="1">
      <c r="A285" s="22" t="s">
        <v>1069</v>
      </c>
      <c r="B285" s="5" t="s">
        <v>291</v>
      </c>
      <c r="C285" s="5"/>
      <c r="D285" s="47" t="s">
        <v>1551</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18.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1552</v>
      </c>
      <c r="J1" s="35" t="s">
        <v>809</v>
      </c>
      <c r="K1" s="35" t="s">
        <v>810</v>
      </c>
    </row>
    <row r="2" spans="1:18">
      <c r="A2" s="36" t="s">
        <v>1553</v>
      </c>
    </row>
    <row r="3" spans="1:18" ht="42" customHeight="1">
      <c r="A3" s="37" t="s">
        <v>1554</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1555</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1556</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1557</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12</v>
      </c>
      <c r="C18" s="13">
        <f>IFERROR(INDEX(P_RegLib,MATCH(B18,P_Regimes,0)),"")</f>
        <v>0</v>
      </c>
      <c r="D18" s="13"/>
      <c r="E18" s="13"/>
      <c r="F18" s="13"/>
      <c r="G18" s="13"/>
      <c r="H18" s="13"/>
      <c r="P18" s="35" t="s">
        <v>1080</v>
      </c>
      <c r="Q18" s="35" t="s">
        <v>1081</v>
      </c>
      <c r="R18" s="35">
        <f>IF($B$19&lt;&gt;"",1,0)</f>
        <v>0</v>
      </c>
    </row>
    <row r="19" spans="1:18">
      <c r="A19" s="17" t="s">
        <v>838</v>
      </c>
      <c r="B19" s="5" t="s">
        <v>35</v>
      </c>
      <c r="C19" s="13">
        <f>IFERROR(INDEX(P_SecLib,MATCH(B19,P_SecCodes,0)),"")</f>
        <v>0</v>
      </c>
      <c r="D19" s="13"/>
      <c r="E19" s="13"/>
      <c r="F19" s="13"/>
      <c r="G19" s="13"/>
      <c r="H19" s="13"/>
      <c r="P19" s="35" t="s">
        <v>1082</v>
      </c>
      <c r="Q19" s="35" t="s">
        <v>1083</v>
      </c>
      <c r="R19" s="35">
        <f>IF($B$20&lt;&gt;"",1,0)</f>
        <v>0</v>
      </c>
    </row>
    <row r="20" spans="1:18">
      <c r="A20" s="17" t="s">
        <v>839</v>
      </c>
      <c r="B20" s="5" t="s">
        <v>52</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480</v>
      </c>
      <c r="P26" s="35" t="s">
        <v>1096</v>
      </c>
      <c r="Q26" s="35" t="s">
        <v>1097</v>
      </c>
      <c r="R26" s="35">
        <f>IF($B$31&lt;&gt;"",1,0)</f>
        <v>0</v>
      </c>
    </row>
    <row r="27" spans="1:18">
      <c r="A27" s="13" t="s">
        <v>849</v>
      </c>
      <c r="B27" s="5" t="s">
        <v>257</v>
      </c>
      <c r="P27" s="35" t="s">
        <v>1098</v>
      </c>
      <c r="Q27" s="35" t="s">
        <v>1099</v>
      </c>
      <c r="R27" s="35">
        <f>IF($B$32&lt;&gt;"",1,0)</f>
        <v>0</v>
      </c>
    </row>
    <row r="28" spans="1:18">
      <c r="A28" s="13" t="s">
        <v>850</v>
      </c>
      <c r="B28" s="44">
        <v>15</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1558</v>
      </c>
      <c r="B42" s="43">
        <v>640</v>
      </c>
      <c r="D42" s="45" t="s">
        <v>1559</v>
      </c>
      <c r="E42" s="43">
        <v>598</v>
      </c>
      <c r="F42" s="45" t="s">
        <v>266</v>
      </c>
      <c r="G42" s="45"/>
      <c r="P42" s="35" t="s">
        <v>1128</v>
      </c>
      <c r="Q42" s="35">
        <f>"H"&amp;IF(COUNT($T$166:$T$168)=0,166,MIN($T$166:$T$168))</f>
        <v>0</v>
      </c>
      <c r="R42" s="35">
        <f>IF(COUNT($T$166:$T$168)=0,1,0)</f>
        <v>0</v>
      </c>
    </row>
    <row r="43" spans="1:18">
      <c r="A43" s="45" t="s">
        <v>1560</v>
      </c>
      <c r="B43" s="43">
        <v>30</v>
      </c>
      <c r="D43" s="45" t="s">
        <v>268</v>
      </c>
      <c r="E43" s="43">
        <v>82</v>
      </c>
      <c r="F43" s="45" t="s">
        <v>268</v>
      </c>
      <c r="G43" s="45"/>
      <c r="P43" s="35" t="s">
        <v>1129</v>
      </c>
      <c r="Q43" s="35" t="s">
        <v>1130</v>
      </c>
      <c r="R43" s="35">
        <f>IF(OR($B$20="P1",$B$171&lt;&gt;""),1,0)</f>
        <v>0</v>
      </c>
    </row>
    <row r="44" spans="1:18">
      <c r="A44" s="45" t="s">
        <v>1255</v>
      </c>
      <c r="B44" s="43">
        <v>10</v>
      </c>
      <c r="D44" s="45"/>
      <c r="E44" s="43"/>
      <c r="F44" s="45"/>
      <c r="G44" s="45"/>
      <c r="P44" s="35" t="s">
        <v>1131</v>
      </c>
      <c r="Q44" s="35" t="s">
        <v>1132</v>
      </c>
      <c r="R44" s="35">
        <f>IF(ISNUMBER($B$172),1,0)</f>
        <v>0</v>
      </c>
    </row>
    <row r="45" spans="1:18">
      <c r="A45" s="45"/>
      <c r="B45" s="43"/>
      <c r="D45" s="45"/>
      <c r="E45" s="43"/>
      <c r="F45" s="45"/>
      <c r="G45" s="45"/>
      <c r="P45" s="35" t="s">
        <v>1133</v>
      </c>
      <c r="Q45" s="35" t="s">
        <v>1134</v>
      </c>
      <c r="R45" s="35">
        <f>IF(ISNUMBER($B$173),1,0)</f>
        <v>0</v>
      </c>
    </row>
    <row r="46" spans="1:18">
      <c r="A46" s="45"/>
      <c r="B46" s="43"/>
      <c r="D46" s="45"/>
      <c r="E46" s="43"/>
      <c r="F46" s="45"/>
      <c r="G46" s="45"/>
      <c r="P46" s="35" t="s">
        <v>1135</v>
      </c>
      <c r="Q46" s="35" t="s">
        <v>1136</v>
      </c>
      <c r="R46" s="35">
        <f>IF(ISNUMBER($B$174),1,0)</f>
        <v>0</v>
      </c>
    </row>
    <row r="47" spans="1:18">
      <c r="A47" s="45"/>
      <c r="B47" s="43"/>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1561</v>
      </c>
      <c r="B57" s="45" t="s">
        <v>279</v>
      </c>
      <c r="C57" s="45"/>
      <c r="D57" s="45"/>
      <c r="E57" s="43">
        <v>480</v>
      </c>
      <c r="F57" s="5" t="s">
        <v>286</v>
      </c>
      <c r="G57" s="43">
        <v>15</v>
      </c>
      <c r="H57" s="47"/>
      <c r="P57" s="35" t="s">
        <v>1157</v>
      </c>
      <c r="Q57" s="35" t="s">
        <v>1158</v>
      </c>
      <c r="R57" s="35">
        <f>IF(OR($B$184&lt;&gt;"Non",ISNUMBER($B$185)),1,0)</f>
        <v>0</v>
      </c>
    </row>
    <row r="58" spans="1:18">
      <c r="A58" s="46"/>
      <c r="B58" s="45"/>
      <c r="C58" s="45"/>
      <c r="D58" s="45"/>
      <c r="E58" s="43"/>
      <c r="F58" s="5"/>
      <c r="G58" s="43"/>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48000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91</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5.2</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9.699999999999999</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18</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1562</v>
      </c>
      <c r="B74" s="45" t="s">
        <v>900</v>
      </c>
      <c r="C74" s="45"/>
      <c r="D74" s="45"/>
      <c r="E74" s="45"/>
      <c r="F74" s="45"/>
      <c r="G74" s="45"/>
      <c r="H74" s="45"/>
    </row>
    <row r="75" spans="1:8">
      <c r="A75" s="45" t="s">
        <v>901</v>
      </c>
      <c r="B75" s="45" t="s">
        <v>1563</v>
      </c>
      <c r="C75" s="45"/>
      <c r="D75" s="45"/>
      <c r="E75" s="45"/>
      <c r="F75" s="45"/>
      <c r="G75" s="45"/>
      <c r="H75" s="45"/>
    </row>
    <row r="76" spans="1:8">
      <c r="A76" s="45" t="s">
        <v>903</v>
      </c>
      <c r="B76" s="45" t="s">
        <v>1564</v>
      </c>
      <c r="C76" s="45"/>
      <c r="D76" s="45"/>
      <c r="E76" s="45"/>
      <c r="F76" s="45"/>
      <c r="G76" s="45"/>
      <c r="H76" s="45"/>
    </row>
    <row r="77" spans="1:8">
      <c r="A77" s="45"/>
      <c r="B77" s="45"/>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0.14</v>
      </c>
      <c r="C91" s="47" t="s">
        <v>1565</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922</v>
      </c>
      <c r="B93" s="43">
        <v>28.4</v>
      </c>
      <c r="C93" s="50">
        <v>20</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923</v>
      </c>
      <c r="B94" s="43">
        <v>29</v>
      </c>
      <c r="C94" s="50">
        <v>20</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1356</v>
      </c>
      <c r="B95" s="43">
        <v>28.6</v>
      </c>
      <c r="C95" s="50">
        <v>20</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1357</v>
      </c>
      <c r="B96" s="43">
        <v>29.4</v>
      </c>
      <c r="C96" s="50">
        <v>20</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1358</v>
      </c>
      <c r="B97" s="43">
        <v>28.8</v>
      </c>
      <c r="C97" s="50">
        <v>20</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1359</v>
      </c>
      <c r="B98" s="43">
        <v>29.6</v>
      </c>
      <c r="C98" s="50">
        <v>20</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1360</v>
      </c>
      <c r="B99" s="43">
        <v>29</v>
      </c>
      <c r="C99" s="50">
        <v>20</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1361</v>
      </c>
      <c r="B100" s="43">
        <v>29.8</v>
      </c>
      <c r="C100" s="50">
        <v>20</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652</v>
      </c>
      <c r="F166" s="51"/>
      <c r="G166" s="51"/>
      <c r="H166" s="47" t="s">
        <v>1566</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656</v>
      </c>
      <c r="F167" s="51"/>
      <c r="G167" s="51"/>
      <c r="H167" s="47" t="s">
        <v>1567</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658</v>
      </c>
      <c r="F168" s="51"/>
      <c r="G168" s="51"/>
      <c r="H168" s="47" t="s">
        <v>1568</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80</v>
      </c>
    </row>
    <row r="172" spans="1:20">
      <c r="A172" s="13" t="s">
        <v>949</v>
      </c>
      <c r="B172" s="50">
        <v>1.36</v>
      </c>
    </row>
    <row r="173" spans="1:20">
      <c r="A173" s="13" t="s">
        <v>950</v>
      </c>
      <c r="B173" s="43">
        <v>2</v>
      </c>
    </row>
    <row r="174" spans="1:20">
      <c r="A174" s="13" t="s">
        <v>951</v>
      </c>
      <c r="B174" s="49">
        <v>0</v>
      </c>
    </row>
    <row r="175" spans="1:20">
      <c r="A175" s="13" t="s">
        <v>952</v>
      </c>
      <c r="B175" s="49">
        <v>0</v>
      </c>
    </row>
    <row r="176" spans="1:20">
      <c r="A176" s="13" t="s">
        <v>953</v>
      </c>
      <c r="B176" s="5" t="s">
        <v>258</v>
      </c>
    </row>
    <row r="177" spans="1:20">
      <c r="A177" s="13" t="s">
        <v>954</v>
      </c>
      <c r="B177" s="49">
        <v>0.18</v>
      </c>
    </row>
    <row r="178" spans="1:20">
      <c r="A178" s="13" t="s">
        <v>955</v>
      </c>
      <c r="B178" s="5" t="s">
        <v>275</v>
      </c>
    </row>
    <row r="179" spans="1:20">
      <c r="A179" s="13" t="s">
        <v>956</v>
      </c>
      <c r="B179" s="43">
        <v>5.2</v>
      </c>
    </row>
    <row r="180" spans="1:20">
      <c r="A180" s="13" t="s">
        <v>957</v>
      </c>
      <c r="B180" s="43">
        <v>15</v>
      </c>
    </row>
    <row r="181" spans="1:20">
      <c r="A181" s="13" t="s">
        <v>958</v>
      </c>
      <c r="B181" s="5" t="s">
        <v>257</v>
      </c>
    </row>
    <row r="182" spans="1:20">
      <c r="A182" s="13" t="s">
        <v>959</v>
      </c>
      <c r="B182" s="5" t="s">
        <v>258</v>
      </c>
    </row>
    <row r="183" spans="1:20">
      <c r="A183" s="13" t="s">
        <v>960</v>
      </c>
      <c r="B183" s="5" t="s">
        <v>257</v>
      </c>
    </row>
    <row r="184" spans="1:20">
      <c r="A184" s="13" t="s">
        <v>961</v>
      </c>
      <c r="B184" s="5" t="s">
        <v>257</v>
      </c>
    </row>
    <row r="185" spans="1:20">
      <c r="A185" s="13" t="s">
        <v>962</v>
      </c>
      <c r="B185" s="43">
        <v>0</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ht="45" customHeight="1">
      <c r="A190" s="21" t="s">
        <v>969</v>
      </c>
      <c r="B190" s="17"/>
      <c r="C190" s="28">
        <f>IFERROR(INDEX(P_PoidsDom,1,MATCH($B$20,P_PoidsHdr,0)),"")</f>
        <v>0</v>
      </c>
      <c r="D190" s="14">
        <f>IF(N(C190)=0,"",SUMPRODUCT(B191:B193,C191:C193)+P_InfoInsuff*SUMPRODUCT((1-ISNUMBER(B191:B193))*C191:C193))</f>
        <v>0</v>
      </c>
      <c r="E190" s="47" t="s">
        <v>1569</v>
      </c>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311</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315</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ht="45" customHeight="1">
      <c r="A194" s="21" t="s">
        <v>976</v>
      </c>
      <c r="B194" s="17"/>
      <c r="C194" s="28">
        <f>IFERROR(INDEX(P_PoidsDom,2,MATCH($B$20,P_PoidsHdr,0)),"")</f>
        <v>0</v>
      </c>
      <c r="D194" s="14">
        <f>IF(N(C194)=0,"",SUMPRODUCT(B195:B197,C195:C197)+P_InfoInsuff*SUMPRODUCT((1-ISNUMBER(B195:B197))*C195:C197))</f>
        <v>0</v>
      </c>
      <c r="E194" s="47" t="s">
        <v>1570</v>
      </c>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360</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385</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c r="A202" s="21" t="s">
        <v>985</v>
      </c>
      <c r="B202" s="17"/>
      <c r="C202" s="28">
        <f>IFERROR(INDEX(P_PoidsDom,4,MATCH($B$20,P_PoidsHdr,0)),"")</f>
        <v>0</v>
      </c>
      <c r="D202" s="14">
        <f>IF(N(C202)=0,"",SUMPRODUCT(B203:B205,C203:C205)+P_InfoInsuff*SUMPRODUCT((1-ISNUMBER(B203:B205))*C203:C205))</f>
        <v>0</v>
      </c>
      <c r="E202" s="47"/>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445</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470</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513</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581</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610</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614</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634</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646</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1571</v>
      </c>
      <c r="C280" s="47"/>
      <c r="D280" s="47"/>
      <c r="E280" s="47"/>
      <c r="F280" s="47"/>
      <c r="G280" s="47"/>
      <c r="H280" s="47"/>
    </row>
    <row r="281" spans="1:8" ht="45" customHeight="1">
      <c r="A281" s="22" t="s">
        <v>1063</v>
      </c>
      <c r="B281" s="47" t="s">
        <v>1572</v>
      </c>
      <c r="C281" s="47"/>
      <c r="D281" s="47"/>
      <c r="E281" s="47"/>
      <c r="F281" s="47"/>
      <c r="G281" s="47"/>
      <c r="H281" s="47"/>
    </row>
    <row r="282" spans="1:8" ht="45" customHeight="1">
      <c r="A282" s="22" t="s">
        <v>1065</v>
      </c>
      <c r="B282" s="47" t="s">
        <v>1573</v>
      </c>
      <c r="C282" s="47"/>
      <c r="D282" s="47"/>
      <c r="E282" s="47"/>
      <c r="F282" s="47"/>
      <c r="G282" s="47"/>
      <c r="H282" s="47"/>
    </row>
    <row r="283" spans="1:8" ht="60" customHeight="1">
      <c r="A283" s="22" t="s">
        <v>1067</v>
      </c>
      <c r="B283" s="47" t="s">
        <v>1574</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1575</v>
      </c>
      <c r="C284" s="47"/>
      <c r="D284" s="47"/>
      <c r="E284" s="47"/>
      <c r="F284" s="47"/>
      <c r="G284" s="47"/>
      <c r="H284" s="47"/>
    </row>
    <row r="285" spans="1:8" ht="30" customHeight="1">
      <c r="A285" s="22" t="s">
        <v>1069</v>
      </c>
      <c r="B285" s="5" t="s">
        <v>290</v>
      </c>
      <c r="C285" s="5"/>
      <c r="D285" s="47" t="s">
        <v>1576</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19.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1577</v>
      </c>
      <c r="J1" s="35" t="s">
        <v>809</v>
      </c>
      <c r="K1" s="35" t="s">
        <v>810</v>
      </c>
    </row>
    <row r="2" spans="1:18">
      <c r="A2" s="36" t="s">
        <v>1578</v>
      </c>
    </row>
    <row r="3" spans="1:18" ht="42" customHeight="1">
      <c r="A3" s="37" t="s">
        <v>1579</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1580</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1581</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1582</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12</v>
      </c>
      <c r="C18" s="13">
        <f>IFERROR(INDEX(P_RegLib,MATCH(B18,P_Regimes,0)),"")</f>
        <v>0</v>
      </c>
      <c r="D18" s="13"/>
      <c r="E18" s="13"/>
      <c r="F18" s="13"/>
      <c r="G18" s="13"/>
      <c r="H18" s="13"/>
      <c r="P18" s="35" t="s">
        <v>1080</v>
      </c>
      <c r="Q18" s="35" t="s">
        <v>1081</v>
      </c>
      <c r="R18" s="35">
        <f>IF($B$19&lt;&gt;"",1,0)</f>
        <v>0</v>
      </c>
    </row>
    <row r="19" spans="1:18">
      <c r="A19" s="17" t="s">
        <v>838</v>
      </c>
      <c r="B19" s="5" t="s">
        <v>37</v>
      </c>
      <c r="C19" s="13">
        <f>IFERROR(INDEX(P_SecLib,MATCH(B19,P_SecCodes,0)),"")</f>
        <v>0</v>
      </c>
      <c r="D19" s="13"/>
      <c r="E19" s="13"/>
      <c r="F19" s="13"/>
      <c r="G19" s="13"/>
      <c r="H19" s="13"/>
      <c r="P19" s="35" t="s">
        <v>1082</v>
      </c>
      <c r="Q19" s="35" t="s">
        <v>1083</v>
      </c>
      <c r="R19" s="35">
        <f>IF($B$20&lt;&gt;"",1,0)</f>
        <v>0</v>
      </c>
    </row>
    <row r="20" spans="1:18">
      <c r="A20" s="17" t="s">
        <v>839</v>
      </c>
      <c r="B20" s="5" t="s">
        <v>50</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430</v>
      </c>
      <c r="P26" s="35" t="s">
        <v>1096</v>
      </c>
      <c r="Q26" s="35" t="s">
        <v>1097</v>
      </c>
      <c r="R26" s="35">
        <f>IF($B$31&lt;&gt;"",1,0)</f>
        <v>0</v>
      </c>
    </row>
    <row r="27" spans="1:18">
      <c r="A27" s="13" t="s">
        <v>849</v>
      </c>
      <c r="B27" s="5" t="s">
        <v>258</v>
      </c>
      <c r="P27" s="35" t="s">
        <v>1098</v>
      </c>
      <c r="Q27" s="35" t="s">
        <v>1099</v>
      </c>
      <c r="R27" s="35">
        <f>IF($B$32&lt;&gt;"",1,0)</f>
        <v>0</v>
      </c>
    </row>
    <row r="28" spans="1:18">
      <c r="A28" s="13" t="s">
        <v>850</v>
      </c>
      <c r="B28" s="44">
        <v>12</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1583</v>
      </c>
      <c r="B42" s="43">
        <v>1050</v>
      </c>
      <c r="D42" s="45" t="s">
        <v>1584</v>
      </c>
      <c r="E42" s="43">
        <v>880</v>
      </c>
      <c r="F42" s="45" t="s">
        <v>266</v>
      </c>
      <c r="G42" s="45"/>
      <c r="P42" s="35" t="s">
        <v>1128</v>
      </c>
      <c r="Q42" s="35">
        <f>"H"&amp;IF(COUNT($T$166:$T$168)=0,166,MIN($T$166:$T$168))</f>
        <v>0</v>
      </c>
      <c r="R42" s="35">
        <f>IF(COUNT($T$166:$T$168)=0,1,0)</f>
        <v>0</v>
      </c>
    </row>
    <row r="43" spans="1:18">
      <c r="A43" s="45" t="s">
        <v>1585</v>
      </c>
      <c r="B43" s="43">
        <v>110</v>
      </c>
      <c r="D43" s="45" t="s">
        <v>268</v>
      </c>
      <c r="E43" s="43">
        <v>470</v>
      </c>
      <c r="F43" s="45" t="s">
        <v>268</v>
      </c>
      <c r="G43" s="45"/>
      <c r="P43" s="35" t="s">
        <v>1129</v>
      </c>
      <c r="Q43" s="35" t="s">
        <v>1130</v>
      </c>
      <c r="R43" s="35">
        <f>IF(OR($B$20="P1",$B$171&lt;&gt;""),1,0)</f>
        <v>0</v>
      </c>
    </row>
    <row r="44" spans="1:18">
      <c r="A44" s="45" t="s">
        <v>1254</v>
      </c>
      <c r="B44" s="43">
        <v>90</v>
      </c>
      <c r="D44" s="45"/>
      <c r="E44" s="43"/>
      <c r="F44" s="45"/>
      <c r="G44" s="45"/>
      <c r="P44" s="35" t="s">
        <v>1131</v>
      </c>
      <c r="Q44" s="35" t="s">
        <v>1132</v>
      </c>
      <c r="R44" s="35">
        <f>IF(ISNUMBER($B$172),1,0)</f>
        <v>0</v>
      </c>
    </row>
    <row r="45" spans="1:18">
      <c r="A45" s="45" t="s">
        <v>1255</v>
      </c>
      <c r="B45" s="43">
        <v>40</v>
      </c>
      <c r="D45" s="45"/>
      <c r="E45" s="43"/>
      <c r="F45" s="45"/>
      <c r="G45" s="45"/>
      <c r="P45" s="35" t="s">
        <v>1133</v>
      </c>
      <c r="Q45" s="35" t="s">
        <v>1134</v>
      </c>
      <c r="R45" s="35">
        <f>IF(ISNUMBER($B$173),1,0)</f>
        <v>0</v>
      </c>
    </row>
    <row r="46" spans="1:18">
      <c r="A46" s="45" t="s">
        <v>1384</v>
      </c>
      <c r="B46" s="43">
        <v>60</v>
      </c>
      <c r="D46" s="45"/>
      <c r="E46" s="43"/>
      <c r="F46" s="45"/>
      <c r="G46" s="45"/>
      <c r="P46" s="35" t="s">
        <v>1135</v>
      </c>
      <c r="Q46" s="35" t="s">
        <v>1136</v>
      </c>
      <c r="R46" s="35">
        <f>IF(ISNUMBER($B$174),1,0)</f>
        <v>0</v>
      </c>
    </row>
    <row r="47" spans="1:18">
      <c r="A47" s="45"/>
      <c r="B47" s="43"/>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1586</v>
      </c>
      <c r="B57" s="45" t="s">
        <v>279</v>
      </c>
      <c r="C57" s="45"/>
      <c r="D57" s="45"/>
      <c r="E57" s="43">
        <v>300</v>
      </c>
      <c r="F57" s="5" t="s">
        <v>286</v>
      </c>
      <c r="G57" s="43">
        <v>12</v>
      </c>
      <c r="H57" s="47"/>
      <c r="P57" s="35" t="s">
        <v>1157</v>
      </c>
      <c r="Q57" s="35" t="s">
        <v>1158</v>
      </c>
      <c r="R57" s="35">
        <f>IF(OR($B$184&lt;&gt;"Non",ISNUMBER($B$185)),1,0)</f>
        <v>0</v>
      </c>
    </row>
    <row r="58" spans="1:18">
      <c r="A58" s="46" t="s">
        <v>1587</v>
      </c>
      <c r="B58" s="45" t="s">
        <v>279</v>
      </c>
      <c r="C58" s="45"/>
      <c r="D58" s="45"/>
      <c r="E58" s="43">
        <v>130</v>
      </c>
      <c r="F58" s="5" t="s">
        <v>287</v>
      </c>
      <c r="G58" s="43">
        <v>12</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219000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82</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70</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45</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895</v>
      </c>
      <c r="B74" s="45" t="s">
        <v>1588</v>
      </c>
      <c r="C74" s="45"/>
      <c r="D74" s="45"/>
      <c r="E74" s="45"/>
      <c r="F74" s="45"/>
      <c r="G74" s="45"/>
      <c r="H74" s="45"/>
    </row>
    <row r="75" spans="1:8">
      <c r="A75" s="45" t="s">
        <v>901</v>
      </c>
      <c r="B75" s="45" t="s">
        <v>1589</v>
      </c>
      <c r="C75" s="45"/>
      <c r="D75" s="45"/>
      <c r="E75" s="45"/>
      <c r="F75" s="45"/>
      <c r="G75" s="45"/>
      <c r="H75" s="45"/>
    </row>
    <row r="76" spans="1:8">
      <c r="A76" s="45"/>
      <c r="B76" s="45"/>
      <c r="C76" s="45"/>
      <c r="D76" s="45"/>
      <c r="E76" s="45"/>
      <c r="F76" s="45"/>
      <c r="G76" s="45"/>
      <c r="H76" s="45"/>
    </row>
    <row r="77" spans="1:8">
      <c r="A77" s="45"/>
      <c r="B77" s="45"/>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0.18</v>
      </c>
      <c r="C91" s="47" t="s">
        <v>1590</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1356</v>
      </c>
      <c r="B93" s="43">
        <v>52</v>
      </c>
      <c r="C93" s="50">
        <v>0</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1357</v>
      </c>
      <c r="B94" s="43">
        <v>60</v>
      </c>
      <c r="C94" s="50">
        <v>0</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1358</v>
      </c>
      <c r="B95" s="43">
        <v>70</v>
      </c>
      <c r="C95" s="50">
        <v>50</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1359</v>
      </c>
      <c r="B96" s="43">
        <v>72</v>
      </c>
      <c r="C96" s="50">
        <v>50</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1360</v>
      </c>
      <c r="B97" s="43">
        <v>73</v>
      </c>
      <c r="C97" s="50">
        <v>51</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1361</v>
      </c>
      <c r="B98" s="43">
        <v>75</v>
      </c>
      <c r="C98" s="50">
        <v>51</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1229</v>
      </c>
      <c r="B99" s="43">
        <v>76</v>
      </c>
      <c r="C99" s="50">
        <v>52</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1230</v>
      </c>
      <c r="B100" s="43">
        <v>78</v>
      </c>
      <c r="C100" s="50">
        <v>52</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650</v>
      </c>
      <c r="F166" s="51"/>
      <c r="G166" s="51"/>
      <c r="H166" s="47" t="s">
        <v>1417</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1591</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660</v>
      </c>
      <c r="F168" s="51"/>
      <c r="G168" s="51"/>
      <c r="H168" s="47" t="s">
        <v>1592</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80</v>
      </c>
    </row>
    <row r="172" spans="1:20">
      <c r="A172" s="13" t="s">
        <v>949</v>
      </c>
      <c r="B172" s="50">
        <v>1.33</v>
      </c>
    </row>
    <row r="173" spans="1:20">
      <c r="A173" s="13" t="s">
        <v>950</v>
      </c>
      <c r="B173" s="43">
        <v>6</v>
      </c>
    </row>
    <row r="174" spans="1:20">
      <c r="A174" s="13" t="s">
        <v>951</v>
      </c>
      <c r="B174" s="49">
        <v>0.3</v>
      </c>
    </row>
    <row r="175" spans="1:20">
      <c r="A175" s="13" t="s">
        <v>952</v>
      </c>
      <c r="B175" s="49">
        <v>0</v>
      </c>
    </row>
    <row r="176" spans="1:20">
      <c r="A176" s="13" t="s">
        <v>953</v>
      </c>
      <c r="B176" s="5" t="s">
        <v>258</v>
      </c>
    </row>
    <row r="177" spans="1:20">
      <c r="A177" s="13" t="s">
        <v>954</v>
      </c>
      <c r="B177" s="49">
        <v>0.55</v>
      </c>
    </row>
    <row r="178" spans="1:20">
      <c r="A178" s="13" t="s">
        <v>955</v>
      </c>
      <c r="B178" s="5" t="s">
        <v>275</v>
      </c>
    </row>
    <row r="179" spans="1:20">
      <c r="A179" s="13" t="s">
        <v>956</v>
      </c>
      <c r="B179" s="43">
        <v>8</v>
      </c>
    </row>
    <row r="180" spans="1:20">
      <c r="A180" s="13" t="s">
        <v>957</v>
      </c>
      <c r="B180" s="43">
        <v>12</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v>0</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314</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366</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386</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ht="45" customHeight="1">
      <c r="A202" s="21" t="s">
        <v>985</v>
      </c>
      <c r="B202" s="17"/>
      <c r="C202" s="28">
        <f>IFERROR(INDEX(P_PoidsDom,4,MATCH($B$20,P_PoidsHdr,0)),"")</f>
        <v>0</v>
      </c>
      <c r="D202" s="14">
        <f>IF(N(C202)=0,"",SUMPRODUCT(B203:B205,C203:C205)+P_InfoInsuff*SUMPRODUCT((1-ISNUMBER(B203:B205))*C203:C205))</f>
        <v>0</v>
      </c>
      <c r="E202" s="47" t="s">
        <v>1593</v>
      </c>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450</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471</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519</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586</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607</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610</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615</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ht="45" customHeight="1">
      <c r="A214" s="21" t="s">
        <v>999</v>
      </c>
      <c r="B214" s="17"/>
      <c r="C214" s="28">
        <f>IFERROR(INDEX(P_PoidsDom,8,MATCH($B$20,P_PoidsHdr,0)),"")</f>
        <v>0</v>
      </c>
      <c r="D214" s="14">
        <f>IF(N(C214)=0,"",SUMPRODUCT(B215:B217,C215:C217)+P_InfoInsuff*SUMPRODUCT((1-ISNUMBER(B215:B217))*C215:C217))</f>
        <v>0</v>
      </c>
      <c r="E214" s="47" t="s">
        <v>1594</v>
      </c>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627</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634</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646</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257</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1595</v>
      </c>
      <c r="C280" s="47"/>
      <c r="D280" s="47"/>
      <c r="E280" s="47"/>
      <c r="F280" s="47"/>
      <c r="G280" s="47"/>
      <c r="H280" s="47"/>
    </row>
    <row r="281" spans="1:8" ht="45" customHeight="1">
      <c r="A281" s="22" t="s">
        <v>1063</v>
      </c>
      <c r="B281" s="47" t="s">
        <v>1596</v>
      </c>
      <c r="C281" s="47"/>
      <c r="D281" s="47"/>
      <c r="E281" s="47"/>
      <c r="F281" s="47"/>
      <c r="G281" s="47"/>
      <c r="H281" s="47"/>
    </row>
    <row r="282" spans="1:8" ht="45" customHeight="1">
      <c r="A282" s="22" t="s">
        <v>1065</v>
      </c>
      <c r="B282" s="47" t="s">
        <v>1597</v>
      </c>
      <c r="C282" s="47"/>
      <c r="D282" s="47"/>
      <c r="E282" s="47"/>
      <c r="F282" s="47"/>
      <c r="G282" s="47"/>
      <c r="H282" s="47"/>
    </row>
    <row r="283" spans="1:8" ht="60" customHeight="1">
      <c r="A283" s="22" t="s">
        <v>1067</v>
      </c>
      <c r="B283" s="47" t="s">
        <v>1598</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1599</v>
      </c>
      <c r="C284" s="47"/>
      <c r="D284" s="47"/>
      <c r="E284" s="47"/>
      <c r="F284" s="47"/>
      <c r="G284" s="47"/>
      <c r="H284" s="47"/>
    </row>
    <row r="285" spans="1:8" ht="30" customHeight="1">
      <c r="A285" s="22" t="s">
        <v>1069</v>
      </c>
      <c r="B285" s="5" t="s">
        <v>291</v>
      </c>
      <c r="C285" s="5"/>
      <c r="D285" s="47" t="s">
        <v>1600</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20.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1601</v>
      </c>
      <c r="J1" s="35" t="s">
        <v>809</v>
      </c>
      <c r="K1" s="35" t="s">
        <v>810</v>
      </c>
    </row>
    <row r="2" spans="1:18">
      <c r="A2" s="36" t="s">
        <v>1602</v>
      </c>
    </row>
    <row r="3" spans="1:18" ht="42" customHeight="1">
      <c r="A3" s="37" t="s">
        <v>1603</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1604</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1605</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1606</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8</v>
      </c>
      <c r="C18" s="13">
        <f>IFERROR(INDEX(P_RegLib,MATCH(B18,P_Regimes,0)),"")</f>
        <v>0</v>
      </c>
      <c r="D18" s="13"/>
      <c r="E18" s="13"/>
      <c r="F18" s="13"/>
      <c r="G18" s="13"/>
      <c r="H18" s="13"/>
      <c r="P18" s="35" t="s">
        <v>1080</v>
      </c>
      <c r="Q18" s="35" t="s">
        <v>1081</v>
      </c>
      <c r="R18" s="35">
        <f>IF($B$19&lt;&gt;"",1,0)</f>
        <v>0</v>
      </c>
    </row>
    <row r="19" spans="1:18">
      <c r="A19" s="17" t="s">
        <v>838</v>
      </c>
      <c r="B19" s="5" t="s">
        <v>39</v>
      </c>
      <c r="C19" s="13">
        <f>IFERROR(INDEX(P_SecLib,MATCH(B19,P_SecCodes,0)),"")</f>
        <v>0</v>
      </c>
      <c r="D19" s="13"/>
      <c r="E19" s="13"/>
      <c r="F19" s="13"/>
      <c r="G19" s="13"/>
      <c r="H19" s="13"/>
      <c r="P19" s="35" t="s">
        <v>1082</v>
      </c>
      <c r="Q19" s="35" t="s">
        <v>1083</v>
      </c>
      <c r="R19" s="35">
        <f>IF($B$20&lt;&gt;"",1,0)</f>
        <v>0</v>
      </c>
    </row>
    <row r="20" spans="1:18">
      <c r="A20" s="17" t="s">
        <v>839</v>
      </c>
      <c r="B20" s="5" t="s">
        <v>48</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95</v>
      </c>
      <c r="P26" s="35" t="s">
        <v>1096</v>
      </c>
      <c r="Q26" s="35" t="s">
        <v>1097</v>
      </c>
      <c r="R26" s="35">
        <f>IF($B$31&lt;&gt;"",1,0)</f>
        <v>0</v>
      </c>
    </row>
    <row r="27" spans="1:18">
      <c r="A27" s="13" t="s">
        <v>849</v>
      </c>
      <c r="B27" s="5" t="s">
        <v>257</v>
      </c>
      <c r="P27" s="35" t="s">
        <v>1098</v>
      </c>
      <c r="Q27" s="35" t="s">
        <v>1099</v>
      </c>
      <c r="R27" s="35">
        <f>IF($B$32&lt;&gt;"",1,0)</f>
        <v>0</v>
      </c>
    </row>
    <row r="28" spans="1:18">
      <c r="A28" s="13" t="s">
        <v>850</v>
      </c>
      <c r="B28" s="44">
        <v>10</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2</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1607</v>
      </c>
      <c r="B42" s="43">
        <v>112</v>
      </c>
      <c r="D42" s="45" t="s">
        <v>1608</v>
      </c>
      <c r="E42" s="43">
        <v>95</v>
      </c>
      <c r="F42" s="45" t="s">
        <v>266</v>
      </c>
      <c r="G42" s="45"/>
      <c r="P42" s="35" t="s">
        <v>1128</v>
      </c>
      <c r="Q42" s="35">
        <f>"H"&amp;IF(COUNT($T$166:$T$168)=0,166,MIN($T$166:$T$168))</f>
        <v>0</v>
      </c>
      <c r="R42" s="35">
        <f>IF(COUNT($T$166:$T$168)=0,1,0)</f>
        <v>0</v>
      </c>
    </row>
    <row r="43" spans="1:18">
      <c r="A43" s="45" t="s">
        <v>1609</v>
      </c>
      <c r="B43" s="43">
        <v>18</v>
      </c>
      <c r="D43" s="45" t="s">
        <v>268</v>
      </c>
      <c r="E43" s="43">
        <v>55</v>
      </c>
      <c r="F43" s="45" t="s">
        <v>268</v>
      </c>
      <c r="G43" s="45"/>
      <c r="P43" s="35" t="s">
        <v>1129</v>
      </c>
      <c r="Q43" s="35" t="s">
        <v>1130</v>
      </c>
      <c r="R43" s="35">
        <f>IF(OR($B$20="P1",$B$171&lt;&gt;""),1,0)</f>
        <v>0</v>
      </c>
    </row>
    <row r="44" spans="1:18">
      <c r="A44" s="45" t="s">
        <v>1610</v>
      </c>
      <c r="B44" s="43">
        <v>5</v>
      </c>
      <c r="D44" s="45" t="s">
        <v>1611</v>
      </c>
      <c r="E44" s="43">
        <v>12</v>
      </c>
      <c r="F44" s="45" t="s">
        <v>272</v>
      </c>
      <c r="G44" s="45"/>
      <c r="P44" s="35" t="s">
        <v>1131</v>
      </c>
      <c r="Q44" s="35" t="s">
        <v>1132</v>
      </c>
      <c r="R44" s="35">
        <f>IF(ISNUMBER($B$172),1,0)</f>
        <v>0</v>
      </c>
    </row>
    <row r="45" spans="1:18">
      <c r="A45" s="45" t="s">
        <v>872</v>
      </c>
      <c r="B45" s="43">
        <v>6</v>
      </c>
      <c r="D45" s="45"/>
      <c r="E45" s="43"/>
      <c r="F45" s="45"/>
      <c r="G45" s="45"/>
      <c r="P45" s="35" t="s">
        <v>1133</v>
      </c>
      <c r="Q45" s="35" t="s">
        <v>1134</v>
      </c>
      <c r="R45" s="35">
        <f>IF(ISNUMBER($B$173),1,0)</f>
        <v>0</v>
      </c>
    </row>
    <row r="46" spans="1:18">
      <c r="A46" s="45" t="s">
        <v>873</v>
      </c>
      <c r="B46" s="43">
        <v>4</v>
      </c>
      <c r="D46" s="45"/>
      <c r="E46" s="43"/>
      <c r="F46" s="45"/>
      <c r="G46" s="45"/>
      <c r="P46" s="35" t="s">
        <v>1135</v>
      </c>
      <c r="Q46" s="35" t="s">
        <v>1136</v>
      </c>
      <c r="R46" s="35">
        <f>IF(ISNUMBER($B$174),1,0)</f>
        <v>0</v>
      </c>
    </row>
    <row r="47" spans="1:18">
      <c r="A47" s="45" t="s">
        <v>1255</v>
      </c>
      <c r="B47" s="43">
        <v>3</v>
      </c>
      <c r="D47" s="45"/>
      <c r="E47" s="43"/>
      <c r="F47" s="45"/>
      <c r="G47" s="45"/>
      <c r="P47" s="35" t="s">
        <v>1137</v>
      </c>
      <c r="Q47" s="35" t="s">
        <v>1138</v>
      </c>
      <c r="R47" s="35">
        <f>IF(ISNUMBER($B$175),1,0)</f>
        <v>0</v>
      </c>
    </row>
    <row r="48" spans="1:18">
      <c r="A48" s="45" t="s">
        <v>1384</v>
      </c>
      <c r="B48" s="43">
        <v>2</v>
      </c>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1612</v>
      </c>
      <c r="B57" s="45" t="s">
        <v>279</v>
      </c>
      <c r="C57" s="45"/>
      <c r="D57" s="45"/>
      <c r="E57" s="43">
        <v>85</v>
      </c>
      <c r="F57" s="5" t="s">
        <v>286</v>
      </c>
      <c r="G57" s="43">
        <v>10</v>
      </c>
      <c r="H57" s="47"/>
      <c r="P57" s="35" t="s">
        <v>1157</v>
      </c>
      <c r="Q57" s="35" t="s">
        <v>1158</v>
      </c>
      <c r="R57" s="35">
        <f>IF(OR($B$184&lt;&gt;"Non",ISNUMBER($B$185)),1,0)</f>
        <v>0</v>
      </c>
    </row>
    <row r="58" spans="1:18">
      <c r="A58" s="46" t="s">
        <v>1613</v>
      </c>
      <c r="B58" s="45" t="s">
        <v>281</v>
      </c>
      <c r="C58" s="45"/>
      <c r="D58" s="45"/>
      <c r="E58" s="43">
        <v>10</v>
      </c>
      <c r="F58" s="5" t="s">
        <v>286</v>
      </c>
      <c r="G58" s="43">
        <v>1</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100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2.8</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85</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100</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735</v>
      </c>
      <c r="B74" s="45" t="s">
        <v>1614</v>
      </c>
      <c r="C74" s="45"/>
      <c r="D74" s="45"/>
      <c r="E74" s="45"/>
      <c r="F74" s="45"/>
      <c r="G74" s="45"/>
      <c r="H74" s="45"/>
    </row>
    <row r="75" spans="1:8">
      <c r="A75" s="45" t="s">
        <v>895</v>
      </c>
      <c r="B75" s="45" t="s">
        <v>1615</v>
      </c>
      <c r="C75" s="45"/>
      <c r="D75" s="45"/>
      <c r="E75" s="45"/>
      <c r="F75" s="45"/>
      <c r="G75" s="45"/>
      <c r="H75" s="45"/>
    </row>
    <row r="76" spans="1:8">
      <c r="A76" s="45" t="s">
        <v>901</v>
      </c>
      <c r="B76" s="45" t="s">
        <v>1616</v>
      </c>
      <c r="C76" s="45"/>
      <c r="D76" s="45"/>
      <c r="E76" s="45"/>
      <c r="F76" s="45"/>
      <c r="G76" s="45"/>
      <c r="H76" s="45"/>
    </row>
    <row r="77" spans="1:8">
      <c r="A77" s="45" t="s">
        <v>903</v>
      </c>
      <c r="B77" s="45" t="s">
        <v>1617</v>
      </c>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0.08</v>
      </c>
      <c r="C91" s="47" t="s">
        <v>1618</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922</v>
      </c>
      <c r="B93" s="43">
        <v>9.6</v>
      </c>
      <c r="C93" s="50">
        <v>7</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923</v>
      </c>
      <c r="B94" s="43">
        <v>10</v>
      </c>
      <c r="C94" s="50">
        <v>7</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1356</v>
      </c>
      <c r="B95" s="43">
        <v>9.800000000000001</v>
      </c>
      <c r="C95" s="50">
        <v>7</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1357</v>
      </c>
      <c r="B96" s="43">
        <v>10.2</v>
      </c>
      <c r="C96" s="50">
        <v>7</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1358</v>
      </c>
      <c r="B97" s="43">
        <v>9.699999999999999</v>
      </c>
      <c r="C97" s="50">
        <v>7</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1359</v>
      </c>
      <c r="B98" s="43">
        <v>10.1</v>
      </c>
      <c r="C98" s="50">
        <v>7</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1360</v>
      </c>
      <c r="B99" s="43">
        <v>9.9</v>
      </c>
      <c r="C99" s="50">
        <v>7</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1361</v>
      </c>
      <c r="B100" s="43">
        <v>10.3</v>
      </c>
      <c r="C100" s="50">
        <v>7</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650</v>
      </c>
      <c r="F166" s="51"/>
      <c r="G166" s="51"/>
      <c r="H166" s="47" t="s">
        <v>1417</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1418</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657</v>
      </c>
      <c r="F168" s="51"/>
      <c r="G168" s="51"/>
      <c r="H168" s="47" t="s">
        <v>1513</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row>
    <row r="172" spans="1:20">
      <c r="A172" s="13" t="s">
        <v>949</v>
      </c>
      <c r="B172" s="50">
        <v>1.4</v>
      </c>
    </row>
    <row r="173" spans="1:20">
      <c r="A173" s="13" t="s">
        <v>950</v>
      </c>
      <c r="B173" s="43">
        <v>6</v>
      </c>
    </row>
    <row r="174" spans="1:20">
      <c r="A174" s="13" t="s">
        <v>951</v>
      </c>
      <c r="B174" s="49">
        <v>0</v>
      </c>
    </row>
    <row r="175" spans="1:20">
      <c r="A175" s="13" t="s">
        <v>952</v>
      </c>
      <c r="B175" s="49">
        <v>0</v>
      </c>
    </row>
    <row r="176" spans="1:20">
      <c r="A176" s="13" t="s">
        <v>953</v>
      </c>
      <c r="B176" s="5" t="s">
        <v>258</v>
      </c>
    </row>
    <row r="177" spans="1:20">
      <c r="A177" s="13" t="s">
        <v>954</v>
      </c>
      <c r="B177" s="49">
        <v>1</v>
      </c>
    </row>
    <row r="178" spans="1:20">
      <c r="A178" s="13" t="s">
        <v>955</v>
      </c>
      <c r="B178" s="5" t="s">
        <v>275</v>
      </c>
    </row>
    <row r="179" spans="1:20">
      <c r="A179" s="13" t="s">
        <v>956</v>
      </c>
      <c r="B179" s="43">
        <v>10</v>
      </c>
    </row>
    <row r="180" spans="1:20">
      <c r="A180" s="13" t="s">
        <v>957</v>
      </c>
      <c r="B180" s="43">
        <v>10</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v>0</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314</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371</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386</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389</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393</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c r="A202" s="21" t="s">
        <v>985</v>
      </c>
      <c r="B202" s="17"/>
      <c r="C202" s="28">
        <f>IFERROR(INDEX(P_PoidsDom,4,MATCH($B$20,P_PoidsHdr,0)),"")</f>
        <v>0</v>
      </c>
      <c r="D202" s="14">
        <f>IF(N(C202)=0,"",SUMPRODUCT(B203:B205,C203:C205)+P_InfoInsuff*SUMPRODUCT((1-ISNUMBER(B203:B205))*C203:C205))</f>
        <v>0</v>
      </c>
      <c r="E202" s="47"/>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454</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470</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523</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591</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ht="45" customHeight="1">
      <c r="A210" s="21" t="s">
        <v>994</v>
      </c>
      <c r="B210" s="17"/>
      <c r="C210" s="28">
        <f>IFERROR(INDEX(P_PoidsDom,6,MATCH($B$20,P_PoidsHdr,0)),"")</f>
        <v>0</v>
      </c>
      <c r="D210" s="14">
        <f>IF(N(C210)=0,"",SUMPRODUCT(B211:B213,C211:C213)+P_InfoInsuff*SUMPRODUCT((1-ISNUMBER(B211:B213))*C211:C213))</f>
        <v>0</v>
      </c>
      <c r="E210" s="47" t="s">
        <v>1619</v>
      </c>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609</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615</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630</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ht="45" customHeight="1">
      <c r="A218" s="21" t="s">
        <v>1003</v>
      </c>
      <c r="B218" s="17"/>
      <c r="C218" s="28">
        <f>IFERROR(INDEX(P_PoidsDom,9,MATCH($B$20,P_PoidsHdr,0)),"")</f>
        <v>0</v>
      </c>
      <c r="D218" s="14">
        <f>IF(N(C218)=0,"",SUMPRODUCT(B219:B222,C219:C222)+P_InfoInsuff*SUMPRODUCT((1-ISNUMBER(B219:B222))*C219:C222))</f>
        <v>0</v>
      </c>
      <c r="E218" s="47" t="s">
        <v>1620</v>
      </c>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635</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647</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1621</v>
      </c>
      <c r="C280" s="47"/>
      <c r="D280" s="47"/>
      <c r="E280" s="47"/>
      <c r="F280" s="47"/>
      <c r="G280" s="47"/>
      <c r="H280" s="47"/>
    </row>
    <row r="281" spans="1:8" ht="45" customHeight="1">
      <c r="A281" s="22" t="s">
        <v>1063</v>
      </c>
      <c r="B281" s="47" t="s">
        <v>1622</v>
      </c>
      <c r="C281" s="47"/>
      <c r="D281" s="47"/>
      <c r="E281" s="47"/>
      <c r="F281" s="47"/>
      <c r="G281" s="47"/>
      <c r="H281" s="47"/>
    </row>
    <row r="282" spans="1:8" ht="45" customHeight="1">
      <c r="A282" s="22" t="s">
        <v>1065</v>
      </c>
      <c r="B282" s="47" t="s">
        <v>1623</v>
      </c>
      <c r="C282" s="47"/>
      <c r="D282" s="47"/>
      <c r="E282" s="47"/>
      <c r="F282" s="47"/>
      <c r="G282" s="47"/>
      <c r="H282" s="47"/>
    </row>
    <row r="283" spans="1:8" ht="60" customHeight="1">
      <c r="A283" s="22" t="s">
        <v>1067</v>
      </c>
      <c r="B283" s="47" t="s">
        <v>1624</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c r="C284" s="47"/>
      <c r="D284" s="47"/>
      <c r="E284" s="47"/>
      <c r="F284" s="47"/>
      <c r="G284" s="47"/>
      <c r="H284" s="47"/>
    </row>
    <row r="285" spans="1:8" ht="30" customHeight="1">
      <c r="A285" s="22" t="s">
        <v>1069</v>
      </c>
      <c r="B285" s="5" t="s">
        <v>98</v>
      </c>
      <c r="C285" s="5"/>
      <c r="D285" s="47" t="s">
        <v>1625</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21.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1626</v>
      </c>
      <c r="J1" s="35" t="s">
        <v>809</v>
      </c>
      <c r="K1" s="35" t="s">
        <v>810</v>
      </c>
    </row>
    <row r="2" spans="1:18">
      <c r="A2" s="36" t="s">
        <v>1627</v>
      </c>
    </row>
    <row r="3" spans="1:18" ht="42" customHeight="1">
      <c r="A3" s="37" t="s">
        <v>1628</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1629</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1630</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1631</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14</v>
      </c>
      <c r="C18" s="13">
        <f>IFERROR(INDEX(P_RegLib,MATCH(B18,P_Regimes,0)),"")</f>
        <v>0</v>
      </c>
      <c r="D18" s="13"/>
      <c r="E18" s="13"/>
      <c r="F18" s="13"/>
      <c r="G18" s="13"/>
      <c r="H18" s="13"/>
      <c r="P18" s="35" t="s">
        <v>1080</v>
      </c>
      <c r="Q18" s="35" t="s">
        <v>1081</v>
      </c>
      <c r="R18" s="35">
        <f>IF($B$19&lt;&gt;"",1,0)</f>
        <v>0</v>
      </c>
    </row>
    <row r="19" spans="1:18">
      <c r="A19" s="17" t="s">
        <v>838</v>
      </c>
      <c r="B19" s="5" t="s">
        <v>41</v>
      </c>
      <c r="C19" s="13">
        <f>IFERROR(INDEX(P_SecLib,MATCH(B19,P_SecCodes,0)),"")</f>
        <v>0</v>
      </c>
      <c r="D19" s="13"/>
      <c r="E19" s="13"/>
      <c r="F19" s="13"/>
      <c r="G19" s="13"/>
      <c r="H19" s="13"/>
      <c r="P19" s="35" t="s">
        <v>1082</v>
      </c>
      <c r="Q19" s="35" t="s">
        <v>1083</v>
      </c>
      <c r="R19" s="35">
        <f>IF($B$20&lt;&gt;"",1,0)</f>
        <v>0</v>
      </c>
    </row>
    <row r="20" spans="1:18">
      <c r="A20" s="17" t="s">
        <v>839</v>
      </c>
      <c r="B20" s="5" t="s">
        <v>50</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380</v>
      </c>
      <c r="P26" s="35" t="s">
        <v>1096</v>
      </c>
      <c r="Q26" s="35" t="s">
        <v>1097</v>
      </c>
      <c r="R26" s="35">
        <f>IF($B$31&lt;&gt;"",1,0)</f>
        <v>0</v>
      </c>
    </row>
    <row r="27" spans="1:18">
      <c r="A27" s="13" t="s">
        <v>849</v>
      </c>
      <c r="B27" s="5" t="s">
        <v>257</v>
      </c>
      <c r="P27" s="35" t="s">
        <v>1098</v>
      </c>
      <c r="Q27" s="35" t="s">
        <v>1099</v>
      </c>
      <c r="R27" s="35">
        <f>IF($B$32&lt;&gt;"",1,0)</f>
        <v>0</v>
      </c>
    </row>
    <row r="28" spans="1:18">
      <c r="A28" s="13" t="s">
        <v>850</v>
      </c>
      <c r="B28" s="44">
        <v>14</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258</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257</v>
      </c>
      <c r="P35" s="35" t="s">
        <v>1114</v>
      </c>
      <c r="Q35" s="35" t="s">
        <v>1115</v>
      </c>
      <c r="R35" s="35">
        <f>IF(OR(NOT(AND($B$20="P1",ISNUMBER($B$51),N($B$51)&gt;=P_N3_V,N($B$51)&lt;P_N3_F)),$B$53&lt;&gt;""),1,0)</f>
        <v>0</v>
      </c>
    </row>
    <row r="36" spans="1:18">
      <c r="A36" s="13" t="s">
        <v>858</v>
      </c>
      <c r="B36" s="44">
        <v>3</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1632</v>
      </c>
      <c r="B42" s="43">
        <v>690</v>
      </c>
      <c r="D42" s="45" t="s">
        <v>1633</v>
      </c>
      <c r="E42" s="43">
        <v>560</v>
      </c>
      <c r="F42" s="45" t="s">
        <v>266</v>
      </c>
      <c r="G42" s="45"/>
      <c r="P42" s="35" t="s">
        <v>1128</v>
      </c>
      <c r="Q42" s="35">
        <f>"H"&amp;IF(COUNT($T$166:$T$168)=0,166,MIN($T$166:$T$168))</f>
        <v>0</v>
      </c>
      <c r="R42" s="35">
        <f>IF(COUNT($T$166:$T$168)=0,1,0)</f>
        <v>0</v>
      </c>
    </row>
    <row r="43" spans="1:18">
      <c r="A43" s="45" t="s">
        <v>1634</v>
      </c>
      <c r="B43" s="43">
        <v>120</v>
      </c>
      <c r="D43" s="45" t="s">
        <v>268</v>
      </c>
      <c r="E43" s="43">
        <v>360</v>
      </c>
      <c r="F43" s="45" t="s">
        <v>268</v>
      </c>
      <c r="G43" s="45"/>
      <c r="P43" s="35" t="s">
        <v>1129</v>
      </c>
      <c r="Q43" s="35" t="s">
        <v>1130</v>
      </c>
      <c r="R43" s="35">
        <f>IF(OR($B$20="P1",$B$171&lt;&gt;""),1,0)</f>
        <v>0</v>
      </c>
    </row>
    <row r="44" spans="1:18">
      <c r="A44" s="45" t="s">
        <v>1635</v>
      </c>
      <c r="B44" s="43">
        <v>70</v>
      </c>
      <c r="D44" s="45"/>
      <c r="E44" s="43"/>
      <c r="F44" s="45"/>
      <c r="G44" s="45"/>
      <c r="P44" s="35" t="s">
        <v>1131</v>
      </c>
      <c r="Q44" s="35" t="s">
        <v>1132</v>
      </c>
      <c r="R44" s="35">
        <f>IF(ISNUMBER($B$172),1,0)</f>
        <v>0</v>
      </c>
    </row>
    <row r="45" spans="1:18">
      <c r="A45" s="45" t="s">
        <v>1255</v>
      </c>
      <c r="B45" s="43">
        <v>25</v>
      </c>
      <c r="D45" s="45"/>
      <c r="E45" s="43"/>
      <c r="F45" s="45"/>
      <c r="G45" s="45"/>
      <c r="P45" s="35" t="s">
        <v>1133</v>
      </c>
      <c r="Q45" s="35" t="s">
        <v>1134</v>
      </c>
      <c r="R45" s="35">
        <f>IF(ISNUMBER($B$173),1,0)</f>
        <v>0</v>
      </c>
    </row>
    <row r="46" spans="1:18">
      <c r="A46" s="45" t="s">
        <v>1384</v>
      </c>
      <c r="B46" s="43">
        <v>15</v>
      </c>
      <c r="D46" s="45"/>
      <c r="E46" s="43"/>
      <c r="F46" s="45"/>
      <c r="G46" s="45"/>
      <c r="P46" s="35" t="s">
        <v>1135</v>
      </c>
      <c r="Q46" s="35" t="s">
        <v>1136</v>
      </c>
      <c r="R46" s="35">
        <f>IF(ISNUMBER($B$174),1,0)</f>
        <v>0</v>
      </c>
    </row>
    <row r="47" spans="1:18">
      <c r="A47" s="45"/>
      <c r="B47" s="43"/>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1636</v>
      </c>
      <c r="B57" s="45" t="s">
        <v>279</v>
      </c>
      <c r="C57" s="45"/>
      <c r="D57" s="45"/>
      <c r="E57" s="43">
        <v>380</v>
      </c>
      <c r="F57" s="5" t="s">
        <v>286</v>
      </c>
      <c r="G57" s="43">
        <v>14</v>
      </c>
      <c r="H57" s="47"/>
      <c r="P57" s="35" t="s">
        <v>1157</v>
      </c>
      <c r="Q57" s="35" t="s">
        <v>1158</v>
      </c>
      <c r="R57" s="35">
        <f>IF(OR($B$184&lt;&gt;"Non",ISNUMBER($B$185)),1,0)</f>
        <v>0</v>
      </c>
    </row>
    <row r="58" spans="1:18">
      <c r="A58" s="46"/>
      <c r="B58" s="45"/>
      <c r="C58" s="45"/>
      <c r="D58" s="45"/>
      <c r="E58" s="43"/>
      <c r="F58" s="5"/>
      <c r="G58" s="43"/>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420</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v>54</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1450</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783</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70</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t="s">
        <v>1637</v>
      </c>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895</v>
      </c>
      <c r="B74" s="45" t="s">
        <v>1638</v>
      </c>
      <c r="C74" s="45"/>
      <c r="D74" s="45"/>
      <c r="E74" s="45"/>
      <c r="F74" s="45"/>
      <c r="G74" s="45"/>
      <c r="H74" s="45"/>
    </row>
    <row r="75" spans="1:8">
      <c r="A75" s="45"/>
      <c r="B75" s="45"/>
      <c r="C75" s="45"/>
      <c r="D75" s="45"/>
      <c r="E75" s="45"/>
      <c r="F75" s="45"/>
      <c r="G75" s="45"/>
      <c r="H75" s="45"/>
    </row>
    <row r="76" spans="1:8">
      <c r="A76" s="45"/>
      <c r="B76" s="45"/>
      <c r="C76" s="45"/>
      <c r="D76" s="45"/>
      <c r="E76" s="45"/>
      <c r="F76" s="45"/>
      <c r="G76" s="45"/>
      <c r="H76" s="45"/>
    </row>
    <row r="77" spans="1:8">
      <c r="A77" s="45"/>
      <c r="B77" s="45"/>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0.2</v>
      </c>
      <c r="C91" s="47" t="s">
        <v>1639</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922</v>
      </c>
      <c r="B93" s="43">
        <v>-6</v>
      </c>
      <c r="C93" s="50">
        <v>32</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923</v>
      </c>
      <c r="B94" s="43">
        <v>58</v>
      </c>
      <c r="C94" s="50">
        <v>32</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1356</v>
      </c>
      <c r="B95" s="43">
        <v>24</v>
      </c>
      <c r="C95" s="50">
        <v>33</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1357</v>
      </c>
      <c r="B96" s="43">
        <v>62</v>
      </c>
      <c r="C96" s="50">
        <v>33</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1358</v>
      </c>
      <c r="B97" s="43">
        <v>30</v>
      </c>
      <c r="C97" s="50">
        <v>33</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1359</v>
      </c>
      <c r="B98" s="43">
        <v>66</v>
      </c>
      <c r="C98" s="50">
        <v>33</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1360</v>
      </c>
      <c r="B99" s="43">
        <v>34</v>
      </c>
      <c r="C99" s="50">
        <v>34</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1361</v>
      </c>
      <c r="B100" s="43">
        <v>70</v>
      </c>
      <c r="C100" s="50">
        <v>34</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651</v>
      </c>
      <c r="F166" s="51"/>
      <c r="G166" s="51"/>
      <c r="H166" s="47" t="s">
        <v>1640</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1641</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658</v>
      </c>
      <c r="F168" s="51"/>
      <c r="G168" s="51"/>
      <c r="H168" s="47" t="s">
        <v>1642</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v>50</v>
      </c>
    </row>
    <row r="172" spans="1:20">
      <c r="A172" s="13" t="s">
        <v>949</v>
      </c>
      <c r="B172" s="50">
        <v>1.18</v>
      </c>
    </row>
    <row r="173" spans="1:20">
      <c r="A173" s="13" t="s">
        <v>950</v>
      </c>
      <c r="B173" s="43">
        <v>4.5</v>
      </c>
    </row>
    <row r="174" spans="1:20">
      <c r="A174" s="13" t="s">
        <v>951</v>
      </c>
      <c r="B174" s="49">
        <v>0</v>
      </c>
    </row>
    <row r="175" spans="1:20">
      <c r="A175" s="13" t="s">
        <v>952</v>
      </c>
      <c r="B175" s="49">
        <v>0</v>
      </c>
    </row>
    <row r="176" spans="1:20">
      <c r="A176" s="13" t="s">
        <v>953</v>
      </c>
      <c r="B176" s="5" t="s">
        <v>258</v>
      </c>
    </row>
    <row r="177" spans="1:20">
      <c r="A177" s="13" t="s">
        <v>954</v>
      </c>
      <c r="B177" s="49">
        <v>0.25</v>
      </c>
    </row>
    <row r="178" spans="1:20">
      <c r="A178" s="13" t="s">
        <v>955</v>
      </c>
      <c r="B178" s="5" t="s">
        <v>277</v>
      </c>
    </row>
    <row r="179" spans="1:20">
      <c r="A179" s="13" t="s">
        <v>956</v>
      </c>
      <c r="B179" s="43"/>
    </row>
    <row r="180" spans="1:20">
      <c r="A180" s="13" t="s">
        <v>957</v>
      </c>
      <c r="B180" s="43">
        <v>14</v>
      </c>
    </row>
    <row r="181" spans="1:20">
      <c r="A181" s="13" t="s">
        <v>958</v>
      </c>
      <c r="B181" s="5" t="s">
        <v>258</v>
      </c>
    </row>
    <row r="182" spans="1:20">
      <c r="A182" s="13" t="s">
        <v>959</v>
      </c>
      <c r="B182" s="5" t="s">
        <v>258</v>
      </c>
    </row>
    <row r="183" spans="1:20">
      <c r="A183" s="13" t="s">
        <v>960</v>
      </c>
      <c r="B183" s="5" t="s">
        <v>257</v>
      </c>
    </row>
    <row r="184" spans="1:20">
      <c r="A184" s="13" t="s">
        <v>961</v>
      </c>
      <c r="B184" s="5" t="s">
        <v>257</v>
      </c>
    </row>
    <row r="185" spans="1:20">
      <c r="A185" s="13" t="s">
        <v>962</v>
      </c>
      <c r="B185" s="43">
        <v>0</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310</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315</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318</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376</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387</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390</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398</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ht="45" customHeight="1">
      <c r="A202" s="21" t="s">
        <v>985</v>
      </c>
      <c r="B202" s="17"/>
      <c r="C202" s="28">
        <f>IFERROR(INDEX(P_PoidsDom,4,MATCH($B$20,P_PoidsHdr,0)),"")</f>
        <v>0</v>
      </c>
      <c r="D202" s="14">
        <f>IF(N(C202)=0,"",SUMPRODUCT(B203:B205,C203:C205)+P_InfoInsuff*SUMPRODUCT((1-ISNUMBER(B203:B205))*C203:C205))</f>
        <v>0</v>
      </c>
      <c r="E202" s="47" t="s">
        <v>1643</v>
      </c>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462</v>
      </c>
      <c r="F203" s="51"/>
      <c r="G203" s="51"/>
      <c r="H203" s="47" t="s">
        <v>1644</v>
      </c>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471</v>
      </c>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529</v>
      </c>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597</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606</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611</v>
      </c>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614</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ht="45" customHeight="1">
      <c r="A214" s="21" t="s">
        <v>999</v>
      </c>
      <c r="B214" s="17"/>
      <c r="C214" s="28">
        <f>IFERROR(INDEX(P_PoidsDom,8,MATCH($B$20,P_PoidsHdr,0)),"")</f>
        <v>0</v>
      </c>
      <c r="D214" s="14">
        <f>IF(N(C214)=0,"",SUMPRODUCT(B215:B217,C215:C217)+P_InfoInsuff*SUMPRODUCT((1-ISNUMBER(B215:B217))*C215:C217))</f>
        <v>0</v>
      </c>
      <c r="E214" s="47" t="s">
        <v>1645</v>
      </c>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631</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ht="45" customHeight="1">
      <c r="A218" s="21" t="s">
        <v>1003</v>
      </c>
      <c r="B218" s="17"/>
      <c r="C218" s="28">
        <f>IFERROR(INDEX(P_PoidsDom,9,MATCH($B$20,P_PoidsHdr,0)),"")</f>
        <v>0</v>
      </c>
      <c r="D218" s="14">
        <f>IF(N(C218)=0,"",SUMPRODUCT(B219:B222,C219:C222)+P_InfoInsuff*SUMPRODUCT((1-ISNUMBER(B219:B222))*C219:C222))</f>
        <v>0</v>
      </c>
      <c r="E218" s="47" t="s">
        <v>1646</v>
      </c>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635</v>
      </c>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638</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642</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648</v>
      </c>
      <c r="F222" s="51"/>
      <c r="G222" s="51"/>
      <c r="H222" s="47" t="s">
        <v>1647</v>
      </c>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258</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257</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258</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1648</v>
      </c>
      <c r="C280" s="47"/>
      <c r="D280" s="47"/>
      <c r="E280" s="47"/>
      <c r="F280" s="47"/>
      <c r="G280" s="47"/>
      <c r="H280" s="47"/>
    </row>
    <row r="281" spans="1:8" ht="45" customHeight="1">
      <c r="A281" s="22" t="s">
        <v>1063</v>
      </c>
      <c r="B281" s="47" t="s">
        <v>1649</v>
      </c>
      <c r="C281" s="47"/>
      <c r="D281" s="47"/>
      <c r="E281" s="47"/>
      <c r="F281" s="47"/>
      <c r="G281" s="47"/>
      <c r="H281" s="47"/>
    </row>
    <row r="282" spans="1:8" ht="45" customHeight="1">
      <c r="A282" s="22" t="s">
        <v>1065</v>
      </c>
      <c r="B282" s="47" t="s">
        <v>1650</v>
      </c>
      <c r="C282" s="47"/>
      <c r="D282" s="47"/>
      <c r="E282" s="47"/>
      <c r="F282" s="47"/>
      <c r="G282" s="47"/>
      <c r="H282" s="47"/>
    </row>
    <row r="283" spans="1:8" ht="60" customHeight="1">
      <c r="A283" s="22" t="s">
        <v>1067</v>
      </c>
      <c r="B283" s="47" t="s">
        <v>1651</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1652</v>
      </c>
      <c r="C284" s="47"/>
      <c r="D284" s="47"/>
      <c r="E284" s="47"/>
      <c r="F284" s="47"/>
      <c r="G284" s="47"/>
      <c r="H284" s="47"/>
    </row>
    <row r="285" spans="1:8" ht="30" customHeight="1">
      <c r="A285" s="22" t="s">
        <v>1069</v>
      </c>
      <c r="B285" s="5" t="s">
        <v>292</v>
      </c>
      <c r="C285" s="5"/>
      <c r="D285" s="47" t="s">
        <v>1653</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22.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1654</v>
      </c>
      <c r="J1" s="35" t="s">
        <v>809</v>
      </c>
      <c r="K1" s="35" t="s">
        <v>810</v>
      </c>
    </row>
    <row r="2" spans="1:18">
      <c r="A2" s="36" t="s">
        <v>1655</v>
      </c>
    </row>
    <row r="3" spans="1:18" ht="42" customHeight="1">
      <c r="A3" s="37" t="s">
        <v>1656</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t="s">
        <v>1657</v>
      </c>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t="s">
        <v>1658</v>
      </c>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t="s">
        <v>1659</v>
      </c>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t="s">
        <v>14</v>
      </c>
      <c r="C18" s="13">
        <f>IFERROR(INDEX(P_RegLib,MATCH(B18,P_Regimes,0)),"")</f>
        <v>0</v>
      </c>
      <c r="D18" s="13"/>
      <c r="E18" s="13"/>
      <c r="F18" s="13"/>
      <c r="G18" s="13"/>
      <c r="H18" s="13"/>
      <c r="P18" s="35" t="s">
        <v>1080</v>
      </c>
      <c r="Q18" s="35" t="s">
        <v>1081</v>
      </c>
      <c r="R18" s="35">
        <f>IF($B$19&lt;&gt;"",1,0)</f>
        <v>0</v>
      </c>
    </row>
    <row r="19" spans="1:18">
      <c r="A19" s="17" t="s">
        <v>838</v>
      </c>
      <c r="B19" s="5" t="s">
        <v>43</v>
      </c>
      <c r="C19" s="13">
        <f>IFERROR(INDEX(P_SecLib,MATCH(B19,P_SecCodes,0)),"")</f>
        <v>0</v>
      </c>
      <c r="D19" s="13"/>
      <c r="E19" s="13"/>
      <c r="F19" s="13"/>
      <c r="G19" s="13"/>
      <c r="H19" s="13"/>
      <c r="P19" s="35" t="s">
        <v>1082</v>
      </c>
      <c r="Q19" s="35" t="s">
        <v>1083</v>
      </c>
      <c r="R19" s="35">
        <f>IF($B$20&lt;&gt;"",1,0)</f>
        <v>0</v>
      </c>
    </row>
    <row r="20" spans="1:18">
      <c r="A20" s="17" t="s">
        <v>839</v>
      </c>
      <c r="B20" s="5" t="s">
        <v>48</v>
      </c>
      <c r="C20" s="13">
        <f>IFERROR(INDEX(P_PhaseLib,MATCH(B20,P_PhaseCodes,0)),"")</f>
        <v>0</v>
      </c>
      <c r="D20" s="13"/>
      <c r="E20" s="13"/>
      <c r="F20" s="13"/>
      <c r="G20" s="13"/>
      <c r="H20" s="13"/>
      <c r="P20" s="35" t="s">
        <v>1084</v>
      </c>
      <c r="Q20" s="35" t="s">
        <v>1085</v>
      </c>
      <c r="R20" s="35">
        <f>IF($B$21&lt;&gt;"",1,0)</f>
        <v>0</v>
      </c>
    </row>
    <row r="21" spans="1:18">
      <c r="A21" s="17" t="s">
        <v>840</v>
      </c>
      <c r="B21" s="5" t="s">
        <v>262</v>
      </c>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v>900</v>
      </c>
      <c r="P26" s="35" t="s">
        <v>1096</v>
      </c>
      <c r="Q26" s="35" t="s">
        <v>1097</v>
      </c>
      <c r="R26" s="35">
        <f>IF($B$31&lt;&gt;"",1,0)</f>
        <v>0</v>
      </c>
    </row>
    <row r="27" spans="1:18">
      <c r="A27" s="13" t="s">
        <v>849</v>
      </c>
      <c r="B27" s="5" t="s">
        <v>258</v>
      </c>
      <c r="P27" s="35" t="s">
        <v>1098</v>
      </c>
      <c r="Q27" s="35" t="s">
        <v>1099</v>
      </c>
      <c r="R27" s="35">
        <f>IF($B$32&lt;&gt;"",1,0)</f>
        <v>0</v>
      </c>
    </row>
    <row r="28" spans="1:18">
      <c r="A28" s="13" t="s">
        <v>850</v>
      </c>
      <c r="B28" s="44">
        <v>9</v>
      </c>
      <c r="P28" s="35" t="s">
        <v>1100</v>
      </c>
      <c r="Q28" s="35" t="s">
        <v>1101</v>
      </c>
      <c r="R28" s="35">
        <f>IF($B$33&lt;&gt;"",1,0)</f>
        <v>0</v>
      </c>
    </row>
    <row r="29" spans="1:18">
      <c r="A29" s="13" t="s">
        <v>851</v>
      </c>
      <c r="B29" s="5" t="s">
        <v>257</v>
      </c>
      <c r="P29" s="35" t="s">
        <v>1102</v>
      </c>
      <c r="Q29" s="35" t="s">
        <v>1103</v>
      </c>
      <c r="R29" s="35">
        <f>IF($B$34&lt;&gt;"",1,0)</f>
        <v>0</v>
      </c>
    </row>
    <row r="30" spans="1:18">
      <c r="A30" s="13" t="s">
        <v>852</v>
      </c>
      <c r="B30" s="5" t="s">
        <v>257</v>
      </c>
      <c r="P30" s="35" t="s">
        <v>1104</v>
      </c>
      <c r="Q30" s="35" t="s">
        <v>1105</v>
      </c>
      <c r="R30" s="35">
        <f>IF($B$35&lt;&gt;"",1,0)</f>
        <v>0</v>
      </c>
    </row>
    <row r="31" spans="1:18">
      <c r="A31" s="13" t="s">
        <v>853</v>
      </c>
      <c r="B31" s="5" t="s">
        <v>257</v>
      </c>
      <c r="P31" s="35" t="s">
        <v>1106</v>
      </c>
      <c r="Q31" s="35" t="s">
        <v>1107</v>
      </c>
      <c r="R31" s="35">
        <f>IF(ISNUMBER($B$36),1,0)</f>
        <v>0</v>
      </c>
    </row>
    <row r="32" spans="1:18">
      <c r="A32" s="13" t="s">
        <v>854</v>
      </c>
      <c r="B32" s="5" t="s">
        <v>258</v>
      </c>
      <c r="P32" s="35" t="s">
        <v>1108</v>
      </c>
      <c r="Q32" s="35" t="s">
        <v>1109</v>
      </c>
      <c r="R32" s="35">
        <f>IF(N($B$50)&gt;0,1,0)</f>
        <v>0</v>
      </c>
    </row>
    <row r="33" spans="1:18">
      <c r="A33" s="13" t="s">
        <v>855</v>
      </c>
      <c r="B33" s="5" t="s">
        <v>257</v>
      </c>
      <c r="P33" s="35" t="s">
        <v>1110</v>
      </c>
      <c r="Q33" s="35" t="s">
        <v>1111</v>
      </c>
      <c r="R33" s="35">
        <f>IF(N($E$50)&gt;0,1,0)</f>
        <v>0</v>
      </c>
    </row>
    <row r="34" spans="1:18">
      <c r="A34" s="13" t="s">
        <v>856</v>
      </c>
      <c r="B34" s="5" t="s">
        <v>258</v>
      </c>
      <c r="P34" s="35" t="s">
        <v>1112</v>
      </c>
      <c r="Q34" s="35" t="s">
        <v>1113</v>
      </c>
      <c r="R34" s="35">
        <f>IF(SUMPRODUCT(ISNUMBER($E$42:$E$49)*($F$42:$F$49=""))=0,1,0)</f>
        <v>0</v>
      </c>
    </row>
    <row r="35" spans="1:18">
      <c r="A35" s="13" t="s">
        <v>857</v>
      </c>
      <c r="B35" s="5" t="s">
        <v>258</v>
      </c>
      <c r="P35" s="35" t="s">
        <v>1114</v>
      </c>
      <c r="Q35" s="35" t="s">
        <v>1115</v>
      </c>
      <c r="R35" s="35">
        <f>IF(OR(NOT(AND($B$20="P1",ISNUMBER($B$51),N($B$51)&gt;=P_N3_V,N($B$51)&lt;P_N3_F)),$B$53&lt;&gt;""),1,0)</f>
        <v>0</v>
      </c>
    </row>
    <row r="36" spans="1:18">
      <c r="A36" s="13" t="s">
        <v>858</v>
      </c>
      <c r="B36" s="44">
        <v>4</v>
      </c>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t="s">
        <v>1660</v>
      </c>
      <c r="B42" s="43">
        <v>2650</v>
      </c>
      <c r="D42" s="45" t="s">
        <v>1661</v>
      </c>
      <c r="E42" s="43">
        <v>1900</v>
      </c>
      <c r="F42" s="45" t="s">
        <v>266</v>
      </c>
      <c r="G42" s="45"/>
      <c r="P42" s="35" t="s">
        <v>1128</v>
      </c>
      <c r="Q42" s="35">
        <f>"H"&amp;IF(COUNT($T$166:$T$168)=0,166,MIN($T$166:$T$168))</f>
        <v>0</v>
      </c>
      <c r="R42" s="35">
        <f>IF(COUNT($T$166:$T$168)=0,1,0)</f>
        <v>0</v>
      </c>
    </row>
    <row r="43" spans="1:18">
      <c r="A43" s="45" t="s">
        <v>1662</v>
      </c>
      <c r="B43" s="43">
        <v>120</v>
      </c>
      <c r="D43" s="45" t="s">
        <v>268</v>
      </c>
      <c r="E43" s="43">
        <v>1150</v>
      </c>
      <c r="F43" s="45" t="s">
        <v>268</v>
      </c>
      <c r="G43" s="45"/>
      <c r="P43" s="35" t="s">
        <v>1129</v>
      </c>
      <c r="Q43" s="35" t="s">
        <v>1130</v>
      </c>
      <c r="R43" s="35">
        <f>IF(OR($B$20="P1",$B$171&lt;&gt;""),1,0)</f>
        <v>0</v>
      </c>
    </row>
    <row r="44" spans="1:18">
      <c r="A44" s="45" t="s">
        <v>1610</v>
      </c>
      <c r="B44" s="43">
        <v>110</v>
      </c>
      <c r="D44" s="45"/>
      <c r="E44" s="43"/>
      <c r="F44" s="45"/>
      <c r="G44" s="45"/>
      <c r="P44" s="35" t="s">
        <v>1131</v>
      </c>
      <c r="Q44" s="35" t="s">
        <v>1132</v>
      </c>
      <c r="R44" s="35">
        <f>IF(ISNUMBER($B$172),1,0)</f>
        <v>0</v>
      </c>
    </row>
    <row r="45" spans="1:18">
      <c r="A45" s="45" t="s">
        <v>872</v>
      </c>
      <c r="B45" s="43">
        <v>180</v>
      </c>
      <c r="D45" s="45"/>
      <c r="E45" s="43"/>
      <c r="F45" s="45"/>
      <c r="G45" s="45"/>
      <c r="P45" s="35" t="s">
        <v>1133</v>
      </c>
      <c r="Q45" s="35" t="s">
        <v>1134</v>
      </c>
      <c r="R45" s="35">
        <f>IF(ISNUMBER($B$173),1,0)</f>
        <v>0</v>
      </c>
    </row>
    <row r="46" spans="1:18">
      <c r="A46" s="45" t="s">
        <v>873</v>
      </c>
      <c r="B46" s="43">
        <v>160</v>
      </c>
      <c r="D46" s="45"/>
      <c r="E46" s="43"/>
      <c r="F46" s="45"/>
      <c r="G46" s="45"/>
      <c r="P46" s="35" t="s">
        <v>1135</v>
      </c>
      <c r="Q46" s="35" t="s">
        <v>1136</v>
      </c>
      <c r="R46" s="35">
        <f>IF(ISNUMBER($B$174),1,0)</f>
        <v>0</v>
      </c>
    </row>
    <row r="47" spans="1:18">
      <c r="A47" s="45" t="s">
        <v>1255</v>
      </c>
      <c r="B47" s="43">
        <v>80</v>
      </c>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t="s">
        <v>1663</v>
      </c>
      <c r="B57" s="45" t="s">
        <v>279</v>
      </c>
      <c r="C57" s="45"/>
      <c r="D57" s="45"/>
      <c r="E57" s="43">
        <v>500</v>
      </c>
      <c r="F57" s="5" t="s">
        <v>286</v>
      </c>
      <c r="G57" s="43">
        <v>9</v>
      </c>
      <c r="H57" s="47"/>
      <c r="P57" s="35" t="s">
        <v>1157</v>
      </c>
      <c r="Q57" s="35" t="s">
        <v>1158</v>
      </c>
      <c r="R57" s="35">
        <f>IF(OR($B$184&lt;&gt;"Non",ISNUMBER($B$185)),1,0)</f>
        <v>0</v>
      </c>
    </row>
    <row r="58" spans="1:18">
      <c r="A58" s="46" t="s">
        <v>1664</v>
      </c>
      <c r="B58" s="45" t="s">
        <v>279</v>
      </c>
      <c r="C58" s="45"/>
      <c r="D58" s="45"/>
      <c r="E58" s="43">
        <v>400</v>
      </c>
      <c r="F58" s="5" t="s">
        <v>288</v>
      </c>
      <c r="G58" s="43">
        <v>9</v>
      </c>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v>48</v>
      </c>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t="s">
        <v>1665</v>
      </c>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v>13</v>
      </c>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v>64</v>
      </c>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v>100</v>
      </c>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t="s">
        <v>895</v>
      </c>
      <c r="B74" s="45" t="s">
        <v>1666</v>
      </c>
      <c r="C74" s="45"/>
      <c r="D74" s="45"/>
      <c r="E74" s="45"/>
      <c r="F74" s="45"/>
      <c r="G74" s="45"/>
      <c r="H74" s="45"/>
    </row>
    <row r="75" spans="1:8">
      <c r="A75" s="45" t="s">
        <v>901</v>
      </c>
      <c r="B75" s="45" t="s">
        <v>1480</v>
      </c>
      <c r="C75" s="45"/>
      <c r="D75" s="45"/>
      <c r="E75" s="45"/>
      <c r="F75" s="45"/>
      <c r="G75" s="45"/>
      <c r="H75" s="45"/>
    </row>
    <row r="76" spans="1:8">
      <c r="A76" s="45" t="s">
        <v>903</v>
      </c>
      <c r="B76" s="45" t="s">
        <v>1667</v>
      </c>
      <c r="C76" s="45"/>
      <c r="D76" s="45"/>
      <c r="E76" s="45"/>
      <c r="F76" s="45"/>
      <c r="G76" s="45"/>
      <c r="H76" s="45"/>
    </row>
    <row r="77" spans="1:8">
      <c r="A77" s="45"/>
      <c r="B77" s="45"/>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v>0.3</v>
      </c>
      <c r="C91" s="47" t="s">
        <v>1668</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t="s">
        <v>1358</v>
      </c>
      <c r="B93" s="43">
        <v>250</v>
      </c>
      <c r="C93" s="50">
        <v>160</v>
      </c>
      <c r="D93" s="19">
        <f>IF(OR(B93="",C93=""),"",IF(C93=0,"",B93/C93))</f>
        <v>0</v>
      </c>
      <c r="E93" s="7">
        <f>IF(B93="","",IF(C93=0,"Différé",IF(B93&lt;0,"Critique",IF(D93&lt;$B$88,"Critique",IF(D93&lt;$C$88,"Vigilance",IF(D93&lt;$D$88,"Favorable","Très favorable"))))))</f>
        <v>0</v>
      </c>
      <c r="F93" s="43"/>
      <c r="G93" s="19">
        <f>IF(OR(B93="",C93="",C93=0),"",IF(F93&lt;&gt;"",F93,B93*(1-$B$91))/C93)</f>
        <v>0</v>
      </c>
      <c r="H93" s="19"/>
    </row>
    <row r="94" spans="1:8">
      <c r="A94" s="45" t="s">
        <v>1359</v>
      </c>
      <c r="B94" s="43">
        <v>262</v>
      </c>
      <c r="C94" s="50">
        <v>165</v>
      </c>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t="s">
        <v>1360</v>
      </c>
      <c r="B95" s="43">
        <v>270</v>
      </c>
      <c r="C95" s="50">
        <v>165</v>
      </c>
      <c r="D95" s="19">
        <f>IF(OR(B95="",C95=""),"",IF(C95=0,"",B95/C95))</f>
        <v>0</v>
      </c>
      <c r="E95" s="7">
        <f>IF(B95="","",IF(C95=0,"Différé",IF(B95&lt;0,"Critique",IF(D95&lt;$B$88,"Critique",IF(D95&lt;$C$88,"Vigilance",IF(D95&lt;$D$88,"Favorable","Très favorable"))))))</f>
        <v>0</v>
      </c>
      <c r="F95" s="43"/>
      <c r="G95" s="19">
        <f>IF(OR(B95="",C95="",C95=0),"",IF(F95&lt;&gt;"",F95,B95*(1-$B$91))/C95)</f>
        <v>0</v>
      </c>
      <c r="H95" s="19"/>
    </row>
    <row r="96" spans="1:8">
      <c r="A96" s="45" t="s">
        <v>1361</v>
      </c>
      <c r="B96" s="43">
        <v>255</v>
      </c>
      <c r="C96" s="50">
        <v>166</v>
      </c>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t="s">
        <v>1229</v>
      </c>
      <c r="B97" s="43">
        <v>248</v>
      </c>
      <c r="C97" s="50">
        <v>166</v>
      </c>
      <c r="D97" s="19">
        <f>IF(OR(B97="",C97=""),"",IF(C97=0,"",B97/C97))</f>
        <v>0</v>
      </c>
      <c r="E97" s="7">
        <f>IF(B97="","",IF(C97=0,"Différé",IF(B97&lt;0,"Critique",IF(D97&lt;$B$88,"Critique",IF(D97&lt;$C$88,"Vigilance",IF(D97&lt;$D$88,"Favorable","Très favorable"))))))</f>
        <v>0</v>
      </c>
      <c r="F97" s="43"/>
      <c r="G97" s="19">
        <f>IF(OR(B97="",C97="",C97=0),"",IF(F97&lt;&gt;"",F97,B97*(1-$B$91))/C97)</f>
        <v>0</v>
      </c>
      <c r="H97" s="19"/>
    </row>
    <row r="98" spans="1:8">
      <c r="A98" s="45" t="s">
        <v>1230</v>
      </c>
      <c r="B98" s="43">
        <v>240</v>
      </c>
      <c r="C98" s="50">
        <v>168</v>
      </c>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t="s">
        <v>1483</v>
      </c>
      <c r="B99" s="43">
        <v>236</v>
      </c>
      <c r="C99" s="50">
        <v>168</v>
      </c>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t="s">
        <v>1484</v>
      </c>
      <c r="B100" s="43">
        <v>230</v>
      </c>
      <c r="C100" s="50">
        <v>170</v>
      </c>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t="s">
        <v>651</v>
      </c>
      <c r="F166" s="51"/>
      <c r="G166" s="51"/>
      <c r="H166" s="47" t="s">
        <v>1669</v>
      </c>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t="s">
        <v>654</v>
      </c>
      <c r="F167" s="51"/>
      <c r="G167" s="51"/>
      <c r="H167" s="47" t="s">
        <v>1670</v>
      </c>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t="s">
        <v>660</v>
      </c>
      <c r="F168" s="51"/>
      <c r="G168" s="51"/>
      <c r="H168" s="47" t="s">
        <v>1671</v>
      </c>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row>
    <row r="172" spans="1:20">
      <c r="A172" s="13" t="s">
        <v>949</v>
      </c>
      <c r="B172" s="50">
        <v>1.31</v>
      </c>
    </row>
    <row r="173" spans="1:20">
      <c r="A173" s="13" t="s">
        <v>950</v>
      </c>
      <c r="B173" s="43">
        <v>3</v>
      </c>
    </row>
    <row r="174" spans="1:20">
      <c r="A174" s="13" t="s">
        <v>951</v>
      </c>
      <c r="B174" s="49">
        <v>0.2</v>
      </c>
    </row>
    <row r="175" spans="1:20">
      <c r="A175" s="13" t="s">
        <v>952</v>
      </c>
      <c r="B175" s="49">
        <v>0</v>
      </c>
    </row>
    <row r="176" spans="1:20">
      <c r="A176" s="13" t="s">
        <v>953</v>
      </c>
      <c r="B176" s="5" t="s">
        <v>258</v>
      </c>
    </row>
    <row r="177" spans="1:20">
      <c r="A177" s="13" t="s">
        <v>954</v>
      </c>
      <c r="B177" s="49">
        <v>1</v>
      </c>
    </row>
    <row r="178" spans="1:20">
      <c r="A178" s="13" t="s">
        <v>955</v>
      </c>
      <c r="B178" s="5" t="s">
        <v>276</v>
      </c>
    </row>
    <row r="179" spans="1:20">
      <c r="A179" s="13" t="s">
        <v>956</v>
      </c>
      <c r="B179" s="43"/>
    </row>
    <row r="180" spans="1:20">
      <c r="A180" s="13" t="s">
        <v>957</v>
      </c>
      <c r="B180" s="43">
        <v>9</v>
      </c>
    </row>
    <row r="181" spans="1:20">
      <c r="A181" s="13" t="s">
        <v>958</v>
      </c>
      <c r="B181" s="5" t="s">
        <v>258</v>
      </c>
    </row>
    <row r="182" spans="1:20">
      <c r="A182" s="13" t="s">
        <v>959</v>
      </c>
      <c r="B182" s="5" t="s">
        <v>258</v>
      </c>
    </row>
    <row r="183" spans="1:20">
      <c r="A183" s="13" t="s">
        <v>960</v>
      </c>
      <c r="B183" s="5" t="s">
        <v>258</v>
      </c>
    </row>
    <row r="184" spans="1:20">
      <c r="A184" s="13" t="s">
        <v>961</v>
      </c>
      <c r="B184" s="5" t="s">
        <v>257</v>
      </c>
    </row>
    <row r="185" spans="1:20">
      <c r="A185" s="13" t="s">
        <v>962</v>
      </c>
      <c r="B185" s="43">
        <v>0</v>
      </c>
    </row>
    <row r="186" spans="1:20">
      <c r="A186" s="13" t="s">
        <v>963</v>
      </c>
      <c r="B186" s="5" t="s">
        <v>258</v>
      </c>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t="s">
        <v>311</v>
      </c>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t="s">
        <v>315</v>
      </c>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t="s">
        <v>319</v>
      </c>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t="s">
        <v>381</v>
      </c>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t="s">
        <v>387</v>
      </c>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t="s">
        <v>391</v>
      </c>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t="s">
        <v>394</v>
      </c>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t="s">
        <v>399</v>
      </c>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t="s">
        <v>402</v>
      </c>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c r="A202" s="21" t="s">
        <v>985</v>
      </c>
      <c r="B202" s="17"/>
      <c r="C202" s="28">
        <f>IFERROR(INDEX(P_PoidsDom,4,MATCH($B$20,P_PoidsHdr,0)),"")</f>
        <v>0</v>
      </c>
      <c r="D202" s="14">
        <f>IF(N(C202)=0,"",SUMPRODUCT(B203:B205,C203:C205)+P_InfoInsuff*SUMPRODUCT((1-ISNUMBER(B203:B205))*C203:C205))</f>
        <v>0</v>
      </c>
      <c r="E202" s="47"/>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t="s">
        <v>466</v>
      </c>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t="s">
        <v>472</v>
      </c>
      <c r="F204" s="51"/>
      <c r="G204" s="51"/>
      <c r="H204" s="47" t="s">
        <v>1672</v>
      </c>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t="s">
        <v>535</v>
      </c>
      <c r="F205" s="51"/>
      <c r="G205" s="51"/>
      <c r="H205" s="47" t="s">
        <v>1673</v>
      </c>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t="s">
        <v>538</v>
      </c>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t="s">
        <v>601</v>
      </c>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t="s">
        <v>607</v>
      </c>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ht="45" customHeight="1">
      <c r="A210" s="21" t="s">
        <v>994</v>
      </c>
      <c r="B210" s="17"/>
      <c r="C210" s="28">
        <f>IFERROR(INDEX(P_PoidsDom,6,MATCH($B$20,P_PoidsHdr,0)),"")</f>
        <v>0</v>
      </c>
      <c r="D210" s="14">
        <f>IF(N(C210)=0,"",SUMPRODUCT(B211:B213,C211:C213)+P_InfoInsuff*SUMPRODUCT((1-ISNUMBER(B211:B213))*C211:C213))</f>
        <v>0</v>
      </c>
      <c r="E210" s="47" t="s">
        <v>1674</v>
      </c>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t="s">
        <v>612</v>
      </c>
      <c r="F211" s="51"/>
      <c r="G211" s="51"/>
      <c r="H211" s="47" t="s">
        <v>1675</v>
      </c>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t="s">
        <v>615</v>
      </c>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t="s">
        <v>618</v>
      </c>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t="s">
        <v>622</v>
      </c>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t="s">
        <v>626</v>
      </c>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t="s">
        <v>631</v>
      </c>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ht="45" customHeight="1">
      <c r="A218" s="21" t="s">
        <v>1003</v>
      </c>
      <c r="B218" s="17"/>
      <c r="C218" s="28">
        <f>IFERROR(INDEX(P_PoidsDom,9,MATCH($B$20,P_PoidsHdr,0)),"")</f>
        <v>0</v>
      </c>
      <c r="D218" s="14">
        <f>IF(N(C218)=0,"",SUMPRODUCT(B219:B222,C219:C222)+P_InfoInsuff*SUMPRODUCT((1-ISNUMBER(B219:B222))*C219:C222))</f>
        <v>0</v>
      </c>
      <c r="E218" s="47" t="s">
        <v>1676</v>
      </c>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t="s">
        <v>636</v>
      </c>
      <c r="F219" s="51"/>
      <c r="G219" s="51"/>
      <c r="H219" s="47" t="s">
        <v>1677</v>
      </c>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t="s">
        <v>639</v>
      </c>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t="s">
        <v>643</v>
      </c>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t="s">
        <v>647</v>
      </c>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t="s">
        <v>258</v>
      </c>
      <c r="F243" s="7">
        <f>IF(OR(E243="Oui",H243="Oui"),"Oui","Non")</f>
        <v>0</v>
      </c>
      <c r="G243" s="17" t="s">
        <v>1023</v>
      </c>
      <c r="H243" s="7"/>
    </row>
    <row r="244" spans="1:8" ht="27" customHeight="1">
      <c r="A244" s="13" t="s">
        <v>1024</v>
      </c>
      <c r="B244" s="13"/>
      <c r="C244" s="13"/>
      <c r="D244" s="13"/>
      <c r="E244" s="5" t="s">
        <v>258</v>
      </c>
      <c r="F244" s="7">
        <f>IF(OR(E244="Oui",H244="Oui"),"Oui","Non")</f>
        <v>0</v>
      </c>
      <c r="G244" s="17" t="s">
        <v>1023</v>
      </c>
      <c r="H244" s="7"/>
    </row>
    <row r="245" spans="1:8" ht="27" customHeight="1">
      <c r="A245" s="13" t="s">
        <v>1025</v>
      </c>
      <c r="B245" s="13"/>
      <c r="C245" s="13"/>
      <c r="D245" s="13"/>
      <c r="E245" s="5" t="s">
        <v>257</v>
      </c>
      <c r="F245" s="7">
        <f>IF(OR(E245="Oui",H245="Oui"),"Oui","Non")</f>
        <v>0</v>
      </c>
      <c r="G245" s="17" t="s">
        <v>1023</v>
      </c>
      <c r="H245" s="7"/>
    </row>
    <row r="246" spans="1:8" ht="27" customHeight="1">
      <c r="A246" s="13" t="s">
        <v>1026</v>
      </c>
      <c r="B246" s="13"/>
      <c r="C246" s="13"/>
      <c r="D246" s="13"/>
      <c r="E246" s="5" t="s">
        <v>258</v>
      </c>
      <c r="F246" s="7">
        <f>IF(OR(E246="Oui",H246="Oui"),"Oui","Non")</f>
        <v>0</v>
      </c>
      <c r="G246" s="17" t="s">
        <v>1023</v>
      </c>
      <c r="H246" s="7"/>
    </row>
    <row r="247" spans="1:8" ht="27" customHeight="1">
      <c r="A247" s="13" t="s">
        <v>1027</v>
      </c>
      <c r="B247" s="13"/>
      <c r="C247" s="13"/>
      <c r="D247" s="13"/>
      <c r="E247" s="5" t="s">
        <v>258</v>
      </c>
      <c r="F247" s="7">
        <f>IF(OR(E247="Oui",H247="Oui"),"Oui","Non")</f>
        <v>0</v>
      </c>
      <c r="G247" s="17" t="s">
        <v>1028</v>
      </c>
      <c r="H247" s="7"/>
    </row>
    <row r="248" spans="1:8" ht="27" customHeight="1">
      <c r="A248" s="13" t="s">
        <v>1029</v>
      </c>
      <c r="B248" s="13"/>
      <c r="C248" s="13"/>
      <c r="D248" s="13"/>
      <c r="E248" s="5" t="s">
        <v>258</v>
      </c>
      <c r="F248" s="7">
        <f>IF(OR(E248="Oui",H248="Oui"),"Oui","Non")</f>
        <v>0</v>
      </c>
      <c r="G248" s="17" t="s">
        <v>1028</v>
      </c>
      <c r="H248" s="7"/>
    </row>
    <row r="249" spans="1:8" ht="27" customHeight="1">
      <c r="A249" s="13" t="s">
        <v>1030</v>
      </c>
      <c r="B249" s="13"/>
      <c r="C249" s="13"/>
      <c r="D249" s="13"/>
      <c r="E249" s="5" t="s">
        <v>258</v>
      </c>
      <c r="F249" s="7">
        <f>IF(OR(E249="Oui",H249="Oui"),"Oui","Non")</f>
        <v>0</v>
      </c>
      <c r="G249" s="17" t="s">
        <v>1031</v>
      </c>
      <c r="H249" s="7">
        <f>IF(AND($B$20="P1",ISNUMBER($B$51),$B$51&lt;P_N3_V),"Oui","")</f>
        <v>0</v>
      </c>
    </row>
    <row r="250" spans="1:8" ht="27" customHeight="1">
      <c r="A250" s="13" t="s">
        <v>1032</v>
      </c>
      <c r="B250" s="13"/>
      <c r="C250" s="13"/>
      <c r="D250" s="13"/>
      <c r="E250" s="5" t="s">
        <v>258</v>
      </c>
      <c r="F250" s="7">
        <f>IF(OR(E250="Oui",H250="Oui"),"Oui","Non")</f>
        <v>0</v>
      </c>
      <c r="G250" s="17" t="s">
        <v>1028</v>
      </c>
      <c r="H250" s="7"/>
    </row>
    <row r="251" spans="1:8" ht="27" customHeight="1">
      <c r="A251" s="13" t="s">
        <v>1033</v>
      </c>
      <c r="B251" s="13"/>
      <c r="C251" s="13"/>
      <c r="D251" s="13"/>
      <c r="E251" s="5" t="s">
        <v>258</v>
      </c>
      <c r="F251" s="7">
        <f>IF(OR(E251="Oui",H251="Oui"),"Oui","Non")</f>
        <v>0</v>
      </c>
      <c r="G251" s="17" t="s">
        <v>1031</v>
      </c>
      <c r="H251" s="7"/>
    </row>
    <row r="252" spans="1:8" ht="27" customHeight="1">
      <c r="A252" s="13" t="s">
        <v>1034</v>
      </c>
      <c r="B252" s="13"/>
      <c r="C252" s="13"/>
      <c r="D252" s="13"/>
      <c r="E252" s="5" t="s">
        <v>257</v>
      </c>
      <c r="F252" s="7">
        <f>IF(H252="Oui","Oui","Non")</f>
        <v>0</v>
      </c>
      <c r="G252" s="17" t="s">
        <v>1035</v>
      </c>
      <c r="H252" s="7">
        <f>IF(E252="Non","Oui","")</f>
        <v>0</v>
      </c>
    </row>
    <row r="253" spans="1:8" ht="27" customHeight="1">
      <c r="A253" s="13" t="s">
        <v>1036</v>
      </c>
      <c r="B253" s="13"/>
      <c r="C253" s="13"/>
      <c r="D253" s="13"/>
      <c r="E253" s="5" t="s">
        <v>258</v>
      </c>
      <c r="F253" s="7">
        <f>IF(OR(E253="Oui",H253="Oui"),"Oui","Non")</f>
        <v>0</v>
      </c>
      <c r="G253" s="17" t="s">
        <v>1035</v>
      </c>
      <c r="H253" s="7">
        <f>IF(AND(ISNUMBER($B$225),$B$225&lt;1),"Oui","")</f>
        <v>0</v>
      </c>
    </row>
    <row r="254" spans="1:8" ht="27" customHeight="1">
      <c r="A254" s="13" t="s">
        <v>1037</v>
      </c>
      <c r="B254" s="13"/>
      <c r="C254" s="13"/>
      <c r="D254" s="13"/>
      <c r="E254" s="5" t="s">
        <v>257</v>
      </c>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t="s">
        <v>1678</v>
      </c>
      <c r="C280" s="47"/>
      <c r="D280" s="47"/>
      <c r="E280" s="47"/>
      <c r="F280" s="47"/>
      <c r="G280" s="47"/>
      <c r="H280" s="47"/>
    </row>
    <row r="281" spans="1:8" ht="45" customHeight="1">
      <c r="A281" s="22" t="s">
        <v>1063</v>
      </c>
      <c r="B281" s="47" t="s">
        <v>1679</v>
      </c>
      <c r="C281" s="47"/>
      <c r="D281" s="47"/>
      <c r="E281" s="47"/>
      <c r="F281" s="47"/>
      <c r="G281" s="47"/>
      <c r="H281" s="47"/>
    </row>
    <row r="282" spans="1:8" ht="45" customHeight="1">
      <c r="A282" s="22" t="s">
        <v>1065</v>
      </c>
      <c r="B282" s="47" t="s">
        <v>1680</v>
      </c>
      <c r="C282" s="47"/>
      <c r="D282" s="47"/>
      <c r="E282" s="47"/>
      <c r="F282" s="47"/>
      <c r="G282" s="47"/>
      <c r="H282" s="47"/>
    </row>
    <row r="283" spans="1:8" ht="60" customHeight="1">
      <c r="A283" s="22" t="s">
        <v>1067</v>
      </c>
      <c r="B283" s="47" t="s">
        <v>1681</v>
      </c>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t="s">
        <v>1682</v>
      </c>
      <c r="C284" s="47"/>
      <c r="D284" s="47"/>
      <c r="E284" s="47"/>
      <c r="F284" s="47"/>
      <c r="G284" s="47"/>
      <c r="H284" s="47"/>
    </row>
    <row r="285" spans="1:8" ht="30" customHeight="1">
      <c r="A285" s="22" t="s">
        <v>1069</v>
      </c>
      <c r="B285" s="5" t="s">
        <v>292</v>
      </c>
      <c r="C285" s="5"/>
      <c r="D285" s="47" t="s">
        <v>1683</v>
      </c>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23.xml><?xml version="1.0" encoding="utf-8"?>
<worksheet xmlns="http://schemas.openxmlformats.org/spreadsheetml/2006/main" xmlns:r="http://schemas.openxmlformats.org/officeDocument/2006/relationships">
  <sheetPr>
    <pageSetUpPr fitToPage="1"/>
  </sheetPr>
  <dimension ref="A1:T286"/>
  <sheetViews>
    <sheetView showGridLines="0" workbookViewId="0">
      <pane ySplit="12" topLeftCell="A13" activePane="bottomLeft" state="frozen"/>
      <selection pane="bottomLeft"/>
    </sheetView>
  </sheetViews>
  <sheetFormatPr defaultRowHeight="15"/>
  <cols>
    <col min="1" max="1" width="46.7109375" customWidth="1"/>
    <col min="2" max="3" width="11.7109375" customWidth="1"/>
    <col min="4" max="4" width="12.7109375" customWidth="1"/>
    <col min="5" max="7" width="15.7109375" customWidth="1"/>
    <col min="8" max="8" width="34.7109375" customWidth="1"/>
    <col min="9" max="9" width="3.7109375" customWidth="1"/>
    <col min="10" max="13" width="10.7109375" hidden="1" customWidth="1"/>
    <col min="14" max="14" width="24.7109375" customWidth="1"/>
    <col min="15" max="15" width="3.7109375" customWidth="1"/>
    <col min="16" max="20" width="10.7109375" hidden="1" customWidth="1"/>
  </cols>
  <sheetData>
    <row r="1" spans="1:18">
      <c r="A1" s="34" t="s">
        <v>1685</v>
      </c>
      <c r="J1" s="35" t="s">
        <v>1684</v>
      </c>
      <c r="K1" s="35" t="s">
        <v>810</v>
      </c>
    </row>
    <row r="2" spans="1:18">
      <c r="A2" s="36" t="s">
        <v>1686</v>
      </c>
    </row>
    <row r="3" spans="1:18" ht="42" customHeight="1">
      <c r="A3" s="37" t="s">
        <v>1687</v>
      </c>
      <c r="B3" s="37"/>
      <c r="C3" s="37"/>
      <c r="D3" s="37"/>
      <c r="E3" s="37"/>
      <c r="F3" s="37"/>
      <c r="G3" s="37"/>
      <c r="H3" s="37"/>
    </row>
    <row r="4" spans="1:18" ht="22" customHeight="1">
      <c r="A4" s="22" t="s">
        <v>814</v>
      </c>
      <c r="B4" s="27">
        <f>COUNTIF($R$14:$R$63,0)</f>
        <v>0</v>
      </c>
      <c r="C4" s="32">
        <f>IF(B4=0,"Saisie complète : lisez la note ci-dessous, puis « Fiche comité ».","Prochaine saisie : "&amp;INDEX($P$14:$P$63,MATCH(0,$R$14:$R$63,0)))</f>
        <v>0</v>
      </c>
      <c r="D4" s="32"/>
      <c r="E4" s="32"/>
      <c r="F4" s="32"/>
      <c r="G4" s="12">
        <f>IF(B4=0,"",HYPERLINK("#"&amp;INDEX($Q$14:$Q$63,MATCH(0,$R$14:$R$63,0)),"→ Aller à la cellule "&amp;INDEX($Q$14:$Q$63,MATCH(0,$R$14:$R$63,0))))</f>
        <v>0</v>
      </c>
      <c r="H4" s="12"/>
    </row>
    <row r="5" spans="1:18">
      <c r="A5" s="3">
        <f>"TABLEAU DE BORD — "&amp;IF($B$17="","code projet à saisir",$B$17)&amp;"  ·  client "&amp;IF($B$15="","—",$B$15)&amp;"  ·  radical "&amp;IF($B$16="","—",$B$16)</f>
        <v>0</v>
      </c>
      <c r="B5" s="3"/>
      <c r="C5" s="3"/>
      <c r="D5" s="3"/>
      <c r="E5" s="3"/>
      <c r="F5" s="3"/>
      <c r="G5" s="3"/>
      <c r="H5" s="3"/>
    </row>
    <row r="6" spans="1:18" ht="34" customHeight="1">
      <c r="A6" s="22" t="s">
        <v>816</v>
      </c>
      <c r="B6" s="25">
        <f>B276</f>
        <v>0</v>
      </c>
      <c r="C6" s="22" t="s">
        <v>4</v>
      </c>
      <c r="D6" s="32">
        <f>IFERROR(INDEX(P_ConvLib,MATCH(B276,P_ConvNote,0)),"")</f>
        <v>0</v>
      </c>
      <c r="E6" s="22" t="s">
        <v>817</v>
      </c>
      <c r="F6" s="32">
        <f>B277</f>
        <v>0</v>
      </c>
      <c r="G6" s="32"/>
      <c r="H6" s="32"/>
    </row>
    <row r="7" spans="1:18">
      <c r="A7" s="22" t="s">
        <v>818</v>
      </c>
      <c r="B7" s="14">
        <f>B238</f>
        <v>0</v>
      </c>
      <c r="C7" s="22" t="s">
        <v>819</v>
      </c>
      <c r="D7" s="27">
        <f>B239</f>
        <v>0</v>
      </c>
      <c r="E7" s="22" t="s">
        <v>820</v>
      </c>
      <c r="F7" s="32">
        <f>IF(B273&gt;=10,"Aucun (10)",B273)</f>
        <v>0</v>
      </c>
      <c r="G7" s="32"/>
      <c r="H7" s="32"/>
    </row>
    <row r="8" spans="1:18">
      <c r="A8" s="22" t="s">
        <v>821</v>
      </c>
      <c r="B8" s="32">
        <f>IF(TRIM(IF(E258="Oui","C1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",""))="","Aucun",TRIM(IF(E258="Oui","C1 ("&amp;F258&amp;")  ","")&amp;IF(E259="Oui","C2 ("&amp;F259&amp;")  ","")&amp;IF(E260="Oui","C3 ("&amp;F260&amp;")  ","")&amp;IF(E261="Oui","C4 ("&amp;F261&amp;")  ","")&amp;IF(E262="Oui","C5 ("&amp;F262&amp;")  ","")&amp;IF(E263="Oui","C6 ("&amp;F263&amp;")  ","")&amp;IF(E264="Oui","C7 ("&amp;F264&amp;")  ","")&amp;IF(E265="Oui","C8 ("&amp;F265&amp;")  ","")&amp;IF(E266="Oui","C9 ("&amp;F266&amp;")  ","")&amp;IF(E267="Oui","C10 ("&amp;F267&amp;")  ","")&amp;IF(E268="Oui","C11 ("&amp;F268&amp;")  ","")&amp;IF(E269="Oui","C12 ("&amp;F269&amp;")  ","")&amp;IF(E270="Oui","C13 ("&amp;F270&amp;")  ","")&amp;IF(E271="Oui","C14 ("&amp;F271&amp;")  ","")&amp;IF(E272="Oui","C15 ("&amp;F272&amp;")  ","")))&amp;IF(COUNTIF(E258:E272,"n.r.")&gt;0,"   —   "&amp;COUNTIF(E258:E272,"n.r.")&amp;" plafond(s) non évalué(s) faute de donnée","")</f>
        <v>0</v>
      </c>
      <c r="C8" s="32"/>
      <c r="D8" s="32"/>
      <c r="E8" s="32"/>
      <c r="F8" s="32"/>
      <c r="G8" s="32"/>
      <c r="H8" s="32"/>
    </row>
    <row r="9" spans="1:18">
      <c r="A9" s="22" t="s">
        <v>822</v>
      </c>
      <c r="B9" s="32">
        <f>IF(TRIM(IF(F243="Oui","X1  ","")&amp;IF(F244="Oui","X2  ","")&amp;IF(F245="Oui","X3  ","")&amp;IF(F246="Oui","X4  ","")&amp;IF(F247="Oui","B1  ","")&amp;IF(F248="Oui","B2  ","")&amp;IF(F249="Oui","B3  ","")&amp;IF(F250="Oui","B4  ","")&amp;IF(F251="Oui","B5  ","")&amp;IF(F252="Oui","B6  ","")&amp;IF(F253="Oui","B7  ","")&amp;IF(F254="Oui","B8  ",""))="","Aucun",TRIM(IF(F243="Oui","X1  ","")&amp;IF(F244="Oui","X2  ","")&amp;IF(F245="Oui","X3  ","")&amp;IF(F246="Oui","X4  ","")&amp;IF(F247="Oui","B1  ","")&amp;IF(F248="Oui","B2  ","")&amp;IF(F249="Oui","B3  ","")&amp;IF(F250="Oui","B4  ","")&amp;IF(F251="Oui","B5  ","")&amp;IF(F252="Oui","B6  ","")&amp;IF(F253="Oui","B7  ","")&amp;IF(F254="Oui","B8  ","")))</f>
        <v>0</v>
      </c>
      <c r="C9" s="32"/>
      <c r="D9" s="32"/>
      <c r="E9" s="32"/>
      <c r="F9" s="32"/>
      <c r="G9" s="32"/>
      <c r="H9" s="32"/>
    </row>
    <row r="10" spans="1:18">
      <c r="A10" s="22" t="s">
        <v>823</v>
      </c>
      <c r="B10" s="14">
        <f>B38</f>
        <v>0</v>
      </c>
      <c r="C10" s="22" t="s">
        <v>824</v>
      </c>
      <c r="D10" s="38">
        <f>D154</f>
        <v>0</v>
      </c>
      <c r="E10" s="22" t="s">
        <v>825</v>
      </c>
      <c r="F10" s="38">
        <f>D155</f>
        <v>0</v>
      </c>
    </row>
    <row r="11" spans="1:18">
      <c r="A11" s="22" t="s">
        <v>826</v>
      </c>
      <c r="B11" s="39">
        <f>B225</f>
        <v>0</v>
      </c>
      <c r="C11" s="22" t="s">
        <v>827</v>
      </c>
      <c r="D11" s="14">
        <f>D169</f>
        <v>0</v>
      </c>
      <c r="E11" s="22" t="s">
        <v>109</v>
      </c>
      <c r="F11" s="32">
        <f>IFERROR(INDEX(P_ConvOrient,MATCH(B276,P_ConvNote,0)),"")</f>
        <v>0</v>
      </c>
      <c r="G11" s="32"/>
      <c r="H11" s="32"/>
    </row>
    <row r="12" spans="1:18">
      <c r="A12" s="40" t="s">
        <v>815</v>
      </c>
      <c r="B12" s="41">
        <f>HYPERLINK("#A13","1 · Identification")</f>
        <v>0</v>
      </c>
      <c r="C12" s="41">
        <f>HYPERLINK("#A40","3 · Sources")</f>
        <v>0</v>
      </c>
      <c r="D12" s="41">
        <f>HYPERLINK("#A90","6 · Échéancier")</f>
        <v>0</v>
      </c>
      <c r="E12" s="41">
        <f>HYPERLINK("#A161","7 · Noyau")</f>
        <v>0</v>
      </c>
      <c r="F12" s="41">
        <f>HYPERLINK("#A188","8 · Grille")</f>
        <v>0</v>
      </c>
      <c r="G12" s="41">
        <f>HYPERLINK("#A256","11 · Plafonds")</f>
        <v>0</v>
      </c>
      <c r="H12" s="41">
        <f>HYPERLINK("#A279","13 · Commentaires")</f>
        <v>0</v>
      </c>
    </row>
    <row r="13" spans="1:18">
      <c r="A13" s="3" t="s">
        <v>828</v>
      </c>
      <c r="B13" s="3"/>
      <c r="C13" s="3"/>
      <c r="D13" s="3"/>
      <c r="E13" s="3"/>
      <c r="F13" s="3"/>
      <c r="G13" s="3"/>
      <c r="H13" s="3"/>
    </row>
    <row r="14" spans="1:18">
      <c r="A14" s="11" t="s">
        <v>829</v>
      </c>
      <c r="B14" s="11" t="s">
        <v>94</v>
      </c>
      <c r="C14" s="11" t="s">
        <v>830</v>
      </c>
      <c r="D14" s="11"/>
      <c r="E14" s="11"/>
      <c r="F14" s="11"/>
      <c r="G14" s="11"/>
      <c r="H14" s="11"/>
      <c r="P14" s="35" t="s">
        <v>1072</v>
      </c>
      <c r="Q14" s="35" t="s">
        <v>1073</v>
      </c>
      <c r="R14" s="35">
        <f>IF(AND(LEN(TRIM($B$15))&gt;=1,LEN($B$15)&lt;=20),1,0)</f>
        <v>0</v>
      </c>
    </row>
    <row r="15" spans="1:18">
      <c r="A15" s="17" t="s">
        <v>831</v>
      </c>
      <c r="B15" s="42"/>
      <c r="C15" s="13">
        <f>IF(B15="","À saisir — Texte, zéros de tête conservés.",IF(AND(LEN(TRIM(B15))&gt;=1,LEN(B15)&lt;=20),"Format conforme.","Format non conforme : Texte, zéros de tête conservés."))</f>
        <v>0</v>
      </c>
      <c r="D15" s="13"/>
      <c r="E15" s="13"/>
      <c r="F15" s="13"/>
      <c r="G15" s="13"/>
      <c r="H15" s="13"/>
      <c r="P15" s="35" t="s">
        <v>1074</v>
      </c>
      <c r="Q15" s="35" t="s">
        <v>1075</v>
      </c>
      <c r="R15" s="35">
        <f>IF(AND(LEN($B$16)=7,SUMPRODUCT(--ISNUMBER(FIND(MID($B$16,ROW(INDIRECT("1:7"))+0,1),"0123456789")))=7),1,0)</f>
        <v>0</v>
      </c>
    </row>
    <row r="16" spans="1:18">
      <c r="A16" s="17" t="s">
        <v>833</v>
      </c>
      <c r="B16" s="42"/>
      <c r="C16" s="13">
        <f>IF(B16="","À saisir — Exactement 7 chiffres, zéros de tête compris.",IF(AND(LEN(B16)=7,SUMPRODUCT(--ISNUMBER(FIND(MID(B16,ROW(INDIRECT("1:7"))+0,1),"0123456789")))=7),"Format conforme.","Format non conforme : Exactement 7 chiffres, zéros de tête compris."))</f>
        <v>0</v>
      </c>
      <c r="D16" s="13"/>
      <c r="E16" s="13"/>
      <c r="F16" s="13"/>
      <c r="G16" s="13"/>
      <c r="H16" s="13"/>
      <c r="P16" s="35" t="s">
        <v>1076</v>
      </c>
      <c r="Q16" s="35" t="s">
        <v>1077</v>
      </c>
      <c r="R16" s="35">
        <f>IF(AND(LEN($B$17)=12,EXACT(LEFT($B$17,3),"PF-"),MID($B$17,8,1)="-",SUMPRODUCT(--ISNUMBER(FIND(MID($B$17,ROW(INDIRECT("1:4"))+3,1),"0123456789")))=4,SUMPRODUCT(--ISNUMBER(FIND(MID($B$17,ROW(INDIRECT("1:4"))+8,1),"0123456789")))=4),1,0)</f>
        <v>0</v>
      </c>
    </row>
    <row r="17" spans="1:18">
      <c r="A17" s="17" t="s">
        <v>835</v>
      </c>
      <c r="B17" s="42"/>
      <c r="C17" s="13">
        <f>IF(B17="","À saisir — Format PF-AAAA-NNNN.",IF(AND(LEN(B17)=12,EXACT(LEFT(B17,3),"PF-"),MID(B17,8,1)="-",SUMPRODUCT(--ISNUMBER(FIND(MID(B17,ROW(INDIRECT("1:4"))+3,1),"0123456789")))=4,SUMPRODUCT(--ISNUMBER(FIND(MID(B17,ROW(INDIRECT("1:4"))+8,1),"0123456789")))=4),"Format conforme.","Format non conforme : Format PF-AAAA-NNNN."))</f>
        <v>0</v>
      </c>
      <c r="D17" s="13"/>
      <c r="E17" s="13"/>
      <c r="F17" s="13"/>
      <c r="G17" s="13"/>
      <c r="H17" s="13"/>
      <c r="P17" s="35" t="s">
        <v>1078</v>
      </c>
      <c r="Q17" s="35" t="s">
        <v>1079</v>
      </c>
      <c r="R17" s="35">
        <f>IF($B$18&lt;&gt;"",1,0)</f>
        <v>0</v>
      </c>
    </row>
    <row r="18" spans="1:18">
      <c r="A18" s="17" t="s">
        <v>837</v>
      </c>
      <c r="B18" s="5"/>
      <c r="C18" s="13">
        <f>IFERROR(INDEX(P_RegLib,MATCH(B18,P_Regimes,0)),"")</f>
        <v>0</v>
      </c>
      <c r="D18" s="13"/>
      <c r="E18" s="13"/>
      <c r="F18" s="13"/>
      <c r="G18" s="13"/>
      <c r="H18" s="13"/>
      <c r="P18" s="35" t="s">
        <v>1080</v>
      </c>
      <c r="Q18" s="35" t="s">
        <v>1081</v>
      </c>
      <c r="R18" s="35">
        <f>IF($B$19&lt;&gt;"",1,0)</f>
        <v>0</v>
      </c>
    </row>
    <row r="19" spans="1:18">
      <c r="A19" s="17" t="s">
        <v>838</v>
      </c>
      <c r="B19" s="5"/>
      <c r="C19" s="13">
        <f>IFERROR(INDEX(P_SecLib,MATCH(B19,P_SecCodes,0)),"")</f>
        <v>0</v>
      </c>
      <c r="D19" s="13"/>
      <c r="E19" s="13"/>
      <c r="F19" s="13"/>
      <c r="G19" s="13"/>
      <c r="H19" s="13"/>
      <c r="P19" s="35" t="s">
        <v>1082</v>
      </c>
      <c r="Q19" s="35" t="s">
        <v>1083</v>
      </c>
      <c r="R19" s="35">
        <f>IF($B$20&lt;&gt;"",1,0)</f>
        <v>0</v>
      </c>
    </row>
    <row r="20" spans="1:18">
      <c r="A20" s="17" t="s">
        <v>839</v>
      </c>
      <c r="B20" s="5"/>
      <c r="C20" s="13">
        <f>IFERROR(INDEX(P_PhaseLib,MATCH(B20,P_PhaseCodes,0)),"")</f>
        <v>0</v>
      </c>
      <c r="D20" s="13"/>
      <c r="E20" s="13"/>
      <c r="F20" s="13"/>
      <c r="G20" s="13"/>
      <c r="H20" s="13"/>
      <c r="P20" s="35" t="s">
        <v>1084</v>
      </c>
      <c r="Q20" s="35" t="s">
        <v>1085</v>
      </c>
      <c r="R20" s="35">
        <f>IF($B$21&lt;&gt;"",1,0)</f>
        <v>0</v>
      </c>
    </row>
    <row r="21" spans="1:18">
      <c r="A21" s="17" t="s">
        <v>840</v>
      </c>
      <c r="B21" s="5"/>
      <c r="C21" s="13" t="s">
        <v>841</v>
      </c>
      <c r="D21" s="13"/>
      <c r="E21" s="13"/>
      <c r="F21" s="13"/>
      <c r="G21" s="13"/>
      <c r="H21" s="13"/>
      <c r="P21" s="35" t="s">
        <v>1086</v>
      </c>
      <c r="Q21" s="35" t="s">
        <v>1087</v>
      </c>
      <c r="R21" s="35">
        <f>IF(ISNUMBER($B$26),1,0)</f>
        <v>0</v>
      </c>
    </row>
    <row r="22" spans="1:18">
      <c r="A22" s="17" t="s">
        <v>842</v>
      </c>
      <c r="B22" s="5" t="s">
        <v>843</v>
      </c>
      <c r="C22" s="13" t="s">
        <v>844</v>
      </c>
      <c r="D22" s="13"/>
      <c r="E22" s="13"/>
      <c r="F22" s="13"/>
      <c r="G22" s="13"/>
      <c r="H22" s="13"/>
      <c r="P22" s="35" t="s">
        <v>1088</v>
      </c>
      <c r="Q22" s="35" t="s">
        <v>1089</v>
      </c>
      <c r="R22" s="35">
        <f>IF($B$27&lt;&gt;"",1,0)</f>
        <v>0</v>
      </c>
    </row>
    <row r="23" spans="1:18">
      <c r="P23" s="35" t="s">
        <v>1090</v>
      </c>
      <c r="Q23" s="35" t="s">
        <v>1091</v>
      </c>
      <c r="R23" s="35">
        <f>IF(ISNUMBER($B$28),1,0)</f>
        <v>0</v>
      </c>
    </row>
    <row r="24" spans="1:18">
      <c r="A24" s="3" t="s">
        <v>845</v>
      </c>
      <c r="B24" s="3"/>
      <c r="C24" s="3"/>
      <c r="D24" s="3"/>
      <c r="E24" s="3"/>
      <c r="F24" s="3"/>
      <c r="G24" s="3"/>
      <c r="H24" s="3"/>
      <c r="P24" s="35" t="s">
        <v>1092</v>
      </c>
      <c r="Q24" s="35" t="s">
        <v>1093</v>
      </c>
      <c r="R24" s="35">
        <f>IF($B$29&lt;&gt;"",1,0)</f>
        <v>0</v>
      </c>
    </row>
    <row r="25" spans="1:18">
      <c r="A25" s="17" t="s">
        <v>846</v>
      </c>
      <c r="B25" s="29">
        <f>B50</f>
        <v>0</v>
      </c>
      <c r="C25" s="13" t="s">
        <v>847</v>
      </c>
      <c r="D25" s="13"/>
      <c r="E25" s="13"/>
      <c r="F25" s="13"/>
      <c r="G25" s="13"/>
      <c r="H25" s="13"/>
      <c r="P25" s="35" t="s">
        <v>1094</v>
      </c>
      <c r="Q25" s="35" t="s">
        <v>1095</v>
      </c>
      <c r="R25" s="35">
        <f>IF(OR(NOT($B$20="P1"),$B$30&lt;&gt;""),1,0)</f>
        <v>0</v>
      </c>
    </row>
    <row r="26" spans="1:18">
      <c r="A26" s="13" t="s">
        <v>848</v>
      </c>
      <c r="B26" s="43"/>
      <c r="P26" s="35" t="s">
        <v>1096</v>
      </c>
      <c r="Q26" s="35" t="s">
        <v>1097</v>
      </c>
      <c r="R26" s="35">
        <f>IF($B$31&lt;&gt;"",1,0)</f>
        <v>0</v>
      </c>
    </row>
    <row r="27" spans="1:18">
      <c r="A27" s="13" t="s">
        <v>849</v>
      </c>
      <c r="B27" s="5"/>
      <c r="P27" s="35" t="s">
        <v>1098</v>
      </c>
      <c r="Q27" s="35" t="s">
        <v>1099</v>
      </c>
      <c r="R27" s="35">
        <f>IF($B$32&lt;&gt;"",1,0)</f>
        <v>0</v>
      </c>
    </row>
    <row r="28" spans="1:18">
      <c r="A28" s="13" t="s">
        <v>850</v>
      </c>
      <c r="B28" s="44"/>
      <c r="P28" s="35" t="s">
        <v>1100</v>
      </c>
      <c r="Q28" s="35" t="s">
        <v>1101</v>
      </c>
      <c r="R28" s="35">
        <f>IF($B$33&lt;&gt;"",1,0)</f>
        <v>0</v>
      </c>
    </row>
    <row r="29" spans="1:18">
      <c r="A29" s="13" t="s">
        <v>851</v>
      </c>
      <c r="B29" s="5"/>
      <c r="P29" s="35" t="s">
        <v>1102</v>
      </c>
      <c r="Q29" s="35" t="s">
        <v>1103</v>
      </c>
      <c r="R29" s="35">
        <f>IF($B$34&lt;&gt;"",1,0)</f>
        <v>0</v>
      </c>
    </row>
    <row r="30" spans="1:18">
      <c r="A30" s="13" t="s">
        <v>852</v>
      </c>
      <c r="B30" s="5"/>
      <c r="P30" s="35" t="s">
        <v>1104</v>
      </c>
      <c r="Q30" s="35" t="s">
        <v>1105</v>
      </c>
      <c r="R30" s="35">
        <f>IF($B$35&lt;&gt;"",1,0)</f>
        <v>0</v>
      </c>
    </row>
    <row r="31" spans="1:18">
      <c r="A31" s="13" t="s">
        <v>853</v>
      </c>
      <c r="B31" s="5"/>
      <c r="P31" s="35" t="s">
        <v>1106</v>
      </c>
      <c r="Q31" s="35" t="s">
        <v>1107</v>
      </c>
      <c r="R31" s="35">
        <f>IF(ISNUMBER($B$36),1,0)</f>
        <v>0</v>
      </c>
    </row>
    <row r="32" spans="1:18">
      <c r="A32" s="13" t="s">
        <v>854</v>
      </c>
      <c r="B32" s="5"/>
      <c r="P32" s="35" t="s">
        <v>1108</v>
      </c>
      <c r="Q32" s="35" t="s">
        <v>1109</v>
      </c>
      <c r="R32" s="35">
        <f>IF(N($B$50)&gt;0,1,0)</f>
        <v>0</v>
      </c>
    </row>
    <row r="33" spans="1:18">
      <c r="A33" s="13" t="s">
        <v>855</v>
      </c>
      <c r="B33" s="5"/>
      <c r="P33" s="35" t="s">
        <v>1110</v>
      </c>
      <c r="Q33" s="35" t="s">
        <v>1111</v>
      </c>
      <c r="R33" s="35">
        <f>IF(N($E$50)&gt;0,1,0)</f>
        <v>0</v>
      </c>
    </row>
    <row r="34" spans="1:18">
      <c r="A34" s="13" t="s">
        <v>856</v>
      </c>
      <c r="B34" s="5"/>
      <c r="P34" s="35" t="s">
        <v>1112</v>
      </c>
      <c r="Q34" s="35" t="s">
        <v>1113</v>
      </c>
      <c r="R34" s="35">
        <f>IF(SUMPRODUCT(ISNUMBER($E$42:$E$49)*($F$42:$F$49=""))=0,1,0)</f>
        <v>0</v>
      </c>
    </row>
    <row r="35" spans="1:18">
      <c r="A35" s="13" t="s">
        <v>857</v>
      </c>
      <c r="B35" s="5"/>
      <c r="P35" s="35" t="s">
        <v>1114</v>
      </c>
      <c r="Q35" s="35" t="s">
        <v>1115</v>
      </c>
      <c r="R35" s="35">
        <f>IF(OR(NOT(AND($B$20="P1",ISNUMBER($B$51),N($B$51)&gt;=P_N3_V,N($B$51)&lt;P_N3_F)),$B$53&lt;&gt;""),1,0)</f>
        <v>0</v>
      </c>
    </row>
    <row r="36" spans="1:18">
      <c r="A36" s="13" t="s">
        <v>858</v>
      </c>
      <c r="B36" s="44"/>
      <c r="P36" s="35" t="s">
        <v>1116</v>
      </c>
      <c r="Q36" s="35" t="s">
        <v>1117</v>
      </c>
      <c r="R36" s="35">
        <f>IF(ISNUMBER($B$91),1,0)</f>
        <v>0</v>
      </c>
    </row>
    <row r="37" spans="1:18" ht="30" customHeight="1">
      <c r="A37" s="21" t="s">
        <v>859</v>
      </c>
      <c r="B37" s="14">
        <f>IF(OR(B25="",B25=0,B18=""),"",IF(OR(B25&gt;P_L_CAPEX,N(B26)&gt;P_L_EXPO,B18="R4",B32="Oui",N(B174)&gt;0,B33="Oui",B34="Oui",B35="Oui",N(B36)&gt;P_L_NBCP),"L",IF(AND(B25&lt;=P_S_CAPEX,B26&lt;&gt;"",N(B26)&lt;=P_S_EXPO,OR(B18="R1",B18="R2"),B29="Oui",B27="Oui",B28&lt;&gt;"",N(B28)&lt;=P_S_DUREE,OR(B20&lt;&gt;"P1",B30="Oui"),B31="Oui",COUNTIF($F$243:$F$254,"Oui")=0),"S","M")))</f>
        <v>0</v>
      </c>
      <c r="C37" s="13">
        <f>IF(B37="","",IF(B37="L","Escalade : "&amp;IF(B25&gt;P_L_CAPEX,"CAPEX &gt; "&amp;P_L_CAPEX&amp;" MMAD ; ","")&amp;IF(N(B26)&gt;P_L_EXPO,"exposition &gt; "&amp;P_L_EXPO&amp;" MMAD ; ","")&amp;IF(B18="R4","régime de revenus R4 ; ","")&amp;IF(B32="Oui","première référence technologique ; ","")&amp;IF(N(B174)&gt;0,"devises non intégralement couvertes ; ","")&amp;IF(B33="Oui","opération consortiale ; ","")&amp;IF(B34="Oui","contrat de revenus &gt; 20 ans ; ","")&amp;IF(B35="Oui","risque climatique élevé ; ","")&amp;IF(N(B36)&gt;P_L_NBCP,"plus de "&amp;P_L_NBCP&amp;" contreparties clés ; ",""),IF(B37="S","Toutes les conditions du régime simplifié sont réunies.","Régime standard par défaut : une condition du régime S manque, aucune condition d'escalade.")))</f>
        <v>0</v>
      </c>
      <c r="D37" s="13"/>
      <c r="E37" s="13"/>
      <c r="F37" s="13"/>
      <c r="G37" s="13"/>
      <c r="H37" s="13"/>
      <c r="P37" s="35" t="s">
        <v>1118</v>
      </c>
      <c r="Q37" s="35" t="s">
        <v>1119</v>
      </c>
      <c r="R37" s="35">
        <f>IF(COUNT($B$93:$B$152)&gt;=2,1,0)</f>
        <v>0</v>
      </c>
    </row>
    <row r="38" spans="1:18">
      <c r="A38" s="21" t="s">
        <v>860</v>
      </c>
      <c r="B38" s="14">
        <f>IF(B37="","",IF(AND(IF(AND(B37="S",COUNTIF($F$243:$F$254,"Oui")&gt;0),"M",B37)="M",COUNTIF($E$258:$E$272,"Oui")&gt;0),"L",IF(AND(B37="S",COUNTIF($F$243:$F$254,"Oui")&gt;0),"M",B37)))</f>
        <v>0</v>
      </c>
      <c r="C38" s="13">
        <f>IF(B38=B37,"Aucune escalade.",IF(B38="L","Escalade : un plafond de note est actif (M passe en L).","Escalade : un verrou est actif (S passe en M)."))</f>
        <v>0</v>
      </c>
      <c r="D38" s="13"/>
      <c r="E38" s="13"/>
      <c r="F38" s="13"/>
      <c r="G38" s="13"/>
      <c r="H38" s="13"/>
      <c r="P38" s="35" t="s">
        <v>1120</v>
      </c>
      <c r="Q38" s="35" t="s">
        <v>1121</v>
      </c>
      <c r="R38" s="35">
        <f>IF(SUMPRODUCT(ISNUMBER($B$93:$B$152)*(1-ISNUMBER($C$93:$C$152)))=0,1,0)</f>
        <v>0</v>
      </c>
    </row>
    <row r="39" spans="1:18">
      <c r="P39" s="35" t="s">
        <v>1122</v>
      </c>
      <c r="Q39" s="35" t="s">
        <v>1123</v>
      </c>
      <c r="R39" s="35">
        <f>IF($B$166&lt;&gt;"",1,0)</f>
        <v>0</v>
      </c>
    </row>
    <row r="40" spans="1:18">
      <c r="A40" s="3" t="s">
        <v>861</v>
      </c>
      <c r="B40" s="3"/>
      <c r="C40" s="3"/>
      <c r="D40" s="3"/>
      <c r="E40" s="3"/>
      <c r="F40" s="3"/>
      <c r="G40" s="3"/>
      <c r="H40" s="3"/>
      <c r="P40" s="35" t="s">
        <v>1124</v>
      </c>
      <c r="Q40" s="35" t="s">
        <v>1125</v>
      </c>
      <c r="R40" s="35">
        <f>IF($B$167&lt;&gt;"",1,0)</f>
        <v>0</v>
      </c>
    </row>
    <row r="41" spans="1:18">
      <c r="A41" s="11" t="s">
        <v>862</v>
      </c>
      <c r="B41" s="11" t="s">
        <v>863</v>
      </c>
      <c r="C41" s="11"/>
      <c r="D41" s="11" t="s">
        <v>864</v>
      </c>
      <c r="E41" s="11" t="s">
        <v>863</v>
      </c>
      <c r="F41" s="11" t="s">
        <v>865</v>
      </c>
      <c r="G41" s="11"/>
      <c r="P41" s="35" t="s">
        <v>1126</v>
      </c>
      <c r="Q41" s="35" t="s">
        <v>1127</v>
      </c>
      <c r="R41" s="35">
        <f>IF($B$168&lt;&gt;"",1,0)</f>
        <v>0</v>
      </c>
    </row>
    <row r="42" spans="1:18">
      <c r="A42" s="45"/>
      <c r="B42" s="43"/>
      <c r="D42" s="45"/>
      <c r="E42" s="43"/>
      <c r="F42" s="45"/>
      <c r="G42" s="45"/>
      <c r="P42" s="35" t="s">
        <v>1128</v>
      </c>
      <c r="Q42" s="35">
        <f>"H"&amp;IF(COUNT($T$166:$T$168)=0,166,MIN($T$166:$T$168))</f>
        <v>0</v>
      </c>
      <c r="R42" s="35">
        <f>IF(COUNT($T$166:$T$168)=0,1,0)</f>
        <v>0</v>
      </c>
    </row>
    <row r="43" spans="1:18">
      <c r="A43" s="45"/>
      <c r="B43" s="43"/>
      <c r="D43" s="45"/>
      <c r="E43" s="43"/>
      <c r="F43" s="45"/>
      <c r="G43" s="45"/>
      <c r="P43" s="35" t="s">
        <v>1129</v>
      </c>
      <c r="Q43" s="35" t="s">
        <v>1130</v>
      </c>
      <c r="R43" s="35">
        <f>IF(OR($B$20="P1",$B$171&lt;&gt;""),1,0)</f>
        <v>0</v>
      </c>
    </row>
    <row r="44" spans="1:18">
      <c r="A44" s="45"/>
      <c r="B44" s="43"/>
      <c r="D44" s="45"/>
      <c r="E44" s="43"/>
      <c r="F44" s="45"/>
      <c r="G44" s="45"/>
      <c r="P44" s="35" t="s">
        <v>1131</v>
      </c>
      <c r="Q44" s="35" t="s">
        <v>1132</v>
      </c>
      <c r="R44" s="35">
        <f>IF(ISNUMBER($B$172),1,0)</f>
        <v>0</v>
      </c>
    </row>
    <row r="45" spans="1:18">
      <c r="A45" s="45"/>
      <c r="B45" s="43"/>
      <c r="D45" s="45"/>
      <c r="E45" s="43"/>
      <c r="F45" s="45"/>
      <c r="G45" s="45"/>
      <c r="P45" s="35" t="s">
        <v>1133</v>
      </c>
      <c r="Q45" s="35" t="s">
        <v>1134</v>
      </c>
      <c r="R45" s="35">
        <f>IF(ISNUMBER($B$173),1,0)</f>
        <v>0</v>
      </c>
    </row>
    <row r="46" spans="1:18">
      <c r="A46" s="45"/>
      <c r="B46" s="43"/>
      <c r="D46" s="45"/>
      <c r="E46" s="43"/>
      <c r="F46" s="45"/>
      <c r="G46" s="45"/>
      <c r="P46" s="35" t="s">
        <v>1135</v>
      </c>
      <c r="Q46" s="35" t="s">
        <v>1136</v>
      </c>
      <c r="R46" s="35">
        <f>IF(ISNUMBER($B$174),1,0)</f>
        <v>0</v>
      </c>
    </row>
    <row r="47" spans="1:18">
      <c r="A47" s="45"/>
      <c r="B47" s="43"/>
      <c r="D47" s="45"/>
      <c r="E47" s="43"/>
      <c r="F47" s="45"/>
      <c r="G47" s="45"/>
      <c r="P47" s="35" t="s">
        <v>1137</v>
      </c>
      <c r="Q47" s="35" t="s">
        <v>1138</v>
      </c>
      <c r="R47" s="35">
        <f>IF(ISNUMBER($B$175),1,0)</f>
        <v>0</v>
      </c>
    </row>
    <row r="48" spans="1:18">
      <c r="A48" s="45"/>
      <c r="B48" s="43"/>
      <c r="D48" s="45"/>
      <c r="E48" s="43"/>
      <c r="F48" s="45"/>
      <c r="G48" s="45"/>
      <c r="P48" s="35" t="s">
        <v>1139</v>
      </c>
      <c r="Q48" s="35" t="s">
        <v>1140</v>
      </c>
      <c r="R48" s="35">
        <f>IF(OR(N($B$175)&lt;=P_C8,$B$176&lt;&gt;""),1,0)</f>
        <v>0</v>
      </c>
    </row>
    <row r="49" spans="1:18">
      <c r="A49" s="45"/>
      <c r="B49" s="43"/>
      <c r="D49" s="45"/>
      <c r="E49" s="43"/>
      <c r="F49" s="45"/>
      <c r="G49" s="45"/>
      <c r="P49" s="35" t="s">
        <v>1141</v>
      </c>
      <c r="Q49" s="35" t="s">
        <v>1142</v>
      </c>
      <c r="R49" s="35">
        <f>IF(ISNUMBER($B$177),1,0)</f>
        <v>0</v>
      </c>
    </row>
    <row r="50" spans="1:18">
      <c r="A50" s="21" t="s">
        <v>876</v>
      </c>
      <c r="B50" s="30">
        <f>SUM(B42:B49)</f>
        <v>0</v>
      </c>
      <c r="D50" s="21" t="s">
        <v>877</v>
      </c>
      <c r="E50" s="30">
        <f>SUM(E42:E49)</f>
        <v>0</v>
      </c>
      <c r="P50" s="35" t="s">
        <v>1143</v>
      </c>
      <c r="Q50" s="35" t="s">
        <v>1144</v>
      </c>
      <c r="R50" s="35">
        <f>IF($B$178&lt;&gt;"",1,0)</f>
        <v>0</v>
      </c>
    </row>
    <row r="51" spans="1:18">
      <c r="A51" s="17" t="s">
        <v>878</v>
      </c>
      <c r="B51" s="28">
        <f>IF(N(B50)=0,"",E50/B50)</f>
        <v>0</v>
      </c>
      <c r="P51" s="35" t="s">
        <v>1145</v>
      </c>
      <c r="Q51" s="35" t="s">
        <v>1146</v>
      </c>
      <c r="R51" s="35">
        <f>IF(OR($B$18="R4",ISNUMBER($B$179)),1,0)</f>
        <v>0</v>
      </c>
    </row>
    <row r="52" spans="1:18">
      <c r="A52" s="17" t="s">
        <v>879</v>
      </c>
      <c r="B52" s="28">
        <f>IF(N(B50)=0,"",(SUMIF(F42:F49,"Dette senior",E42:E49)+SUMIF(F42:F49,"Dette subordonnée",E42:E49))/B50)</f>
        <v>0</v>
      </c>
      <c r="P52" s="35" t="s">
        <v>1147</v>
      </c>
      <c r="Q52" s="35" t="s">
        <v>1148</v>
      </c>
      <c r="R52" s="35">
        <f>IF(ISNUMBER($B$180),1,0)</f>
        <v>0</v>
      </c>
    </row>
    <row r="53" spans="1:18">
      <c r="A53" s="13" t="s">
        <v>880</v>
      </c>
      <c r="B53" s="5"/>
      <c r="P53" s="35" t="s">
        <v>1149</v>
      </c>
      <c r="Q53" s="35" t="s">
        <v>1150</v>
      </c>
      <c r="R53" s="35">
        <f>IF(OR(NOT(AND(ISNUMBER($B$179),ISNUMBER($B$180))),N($B$179)&gt;=N($B$180),$B$181&lt;&gt;""),1,0)</f>
        <v>0</v>
      </c>
    </row>
    <row r="54" spans="1:18">
      <c r="P54" s="35" t="s">
        <v>1151</v>
      </c>
      <c r="Q54" s="35" t="s">
        <v>1152</v>
      </c>
      <c r="R54" s="35">
        <f>IF(OR($B$35&lt;&gt;"Oui",$B$182&lt;&gt;""),1,0)</f>
        <v>0</v>
      </c>
    </row>
    <row r="55" spans="1:18">
      <c r="A55" s="21" t="s">
        <v>881</v>
      </c>
      <c r="B55" s="21"/>
      <c r="C55" s="21"/>
      <c r="D55" s="21"/>
      <c r="E55" s="21"/>
      <c r="F55" s="21"/>
      <c r="G55" s="21"/>
      <c r="H55" s="21"/>
      <c r="P55" s="35" t="s">
        <v>1153</v>
      </c>
      <c r="Q55" s="35" t="s">
        <v>1154</v>
      </c>
      <c r="R55" s="35">
        <f>IF($B$183&lt;&gt;"",1,0)</f>
        <v>0</v>
      </c>
    </row>
    <row r="56" spans="1:18">
      <c r="A56" s="11" t="s">
        <v>882</v>
      </c>
      <c r="B56" s="11" t="s">
        <v>865</v>
      </c>
      <c r="C56" s="11"/>
      <c r="D56" s="11"/>
      <c r="E56" s="11" t="s">
        <v>883</v>
      </c>
      <c r="F56" s="11" t="s">
        <v>884</v>
      </c>
      <c r="G56" s="11" t="s">
        <v>885</v>
      </c>
      <c r="H56" s="11" t="s">
        <v>886</v>
      </c>
      <c r="P56" s="35" t="s">
        <v>1155</v>
      </c>
      <c r="Q56" s="35" t="s">
        <v>1156</v>
      </c>
      <c r="R56" s="35">
        <f>IF($B$184&lt;&gt;"",1,0)</f>
        <v>0</v>
      </c>
    </row>
    <row r="57" spans="1:18">
      <c r="A57" s="46"/>
      <c r="B57" s="45"/>
      <c r="C57" s="45"/>
      <c r="D57" s="45"/>
      <c r="E57" s="43"/>
      <c r="F57" s="5"/>
      <c r="G57" s="43"/>
      <c r="H57" s="47"/>
      <c r="P57" s="35" t="s">
        <v>1157</v>
      </c>
      <c r="Q57" s="35" t="s">
        <v>1158</v>
      </c>
      <c r="R57" s="35">
        <f>IF(OR($B$184&lt;&gt;"Non",ISNUMBER($B$185)),1,0)</f>
        <v>0</v>
      </c>
    </row>
    <row r="58" spans="1:18">
      <c r="A58" s="46"/>
      <c r="B58" s="45"/>
      <c r="C58" s="45"/>
      <c r="D58" s="45"/>
      <c r="E58" s="43"/>
      <c r="F58" s="5"/>
      <c r="G58" s="43"/>
      <c r="H58" s="47"/>
      <c r="P58" s="35" t="s">
        <v>1159</v>
      </c>
      <c r="Q58" s="35" t="s">
        <v>1160</v>
      </c>
      <c r="R58" s="35">
        <f>IF($B$186&lt;&gt;"",1,0)</f>
        <v>0</v>
      </c>
    </row>
    <row r="59" spans="1:18">
      <c r="A59" s="46"/>
      <c r="B59" s="45"/>
      <c r="C59" s="45"/>
      <c r="D59" s="45"/>
      <c r="E59" s="43"/>
      <c r="F59" s="5"/>
      <c r="G59" s="43"/>
      <c r="H59" s="47"/>
      <c r="P59" s="35" t="s">
        <v>1161</v>
      </c>
      <c r="Q59" s="35">
        <f>"E"&amp;IF(COUNT($P$190:$P$222)=0,191,MIN($P$190:$P$222))</f>
        <v>0</v>
      </c>
      <c r="R59" s="35">
        <f>IF(COUNT($P$190:$P$222)=0,1,0)</f>
        <v>0</v>
      </c>
    </row>
    <row r="60" spans="1:18">
      <c r="A60" s="46"/>
      <c r="B60" s="45"/>
      <c r="C60" s="45"/>
      <c r="D60" s="45"/>
      <c r="E60" s="43"/>
      <c r="F60" s="5"/>
      <c r="G60" s="43"/>
      <c r="H60" s="47"/>
      <c r="P60" s="35" t="s">
        <v>1162</v>
      </c>
      <c r="Q60" s="35">
        <f>"H"&amp;IF(COUNT($T$190:$T$222)=0,191,MIN($T$190:$T$222))</f>
        <v>0</v>
      </c>
      <c r="R60" s="35">
        <f>IF(COUNT($T$190:$T$222)=0,1,0)</f>
        <v>0</v>
      </c>
    </row>
    <row r="61" spans="1:18">
      <c r="A61" s="46"/>
      <c r="B61" s="45"/>
      <c r="C61" s="45"/>
      <c r="D61" s="45"/>
      <c r="E61" s="43"/>
      <c r="F61" s="5"/>
      <c r="G61" s="43"/>
      <c r="H61" s="47"/>
      <c r="P61" s="35" t="s">
        <v>1163</v>
      </c>
      <c r="Q61" s="35" t="s">
        <v>1164</v>
      </c>
      <c r="R61" s="35">
        <f>IF(COUNTBLANK($E$243:$E$254)=0,1,0)</f>
        <v>0</v>
      </c>
    </row>
    <row r="62" spans="1:18">
      <c r="A62" s="46"/>
      <c r="B62" s="45"/>
      <c r="C62" s="45"/>
      <c r="D62" s="45"/>
      <c r="E62" s="43"/>
      <c r="F62" s="5"/>
      <c r="G62" s="43"/>
      <c r="H62" s="47"/>
      <c r="P62" s="35" t="s">
        <v>1165</v>
      </c>
      <c r="Q62" s="35" t="s">
        <v>1166</v>
      </c>
      <c r="R62" s="35">
        <f>IF($B$280&lt;&gt;"",1,0)</f>
        <v>0</v>
      </c>
    </row>
    <row r="63" spans="1:18">
      <c r="A63" s="21" t="s">
        <v>889</v>
      </c>
      <c r="B63" s="21"/>
      <c r="C63" s="21"/>
      <c r="D63" s="21"/>
      <c r="E63" s="30">
        <f>SUM(E57:E62)</f>
        <v>0</v>
      </c>
      <c r="F63" s="17" t="s">
        <v>890</v>
      </c>
      <c r="G63" s="17"/>
      <c r="H63" s="29">
        <f>IF(OR(N(E63)=0,NOT(ISNUMBER($B$26))),"",E63-$B$26)</f>
        <v>0</v>
      </c>
      <c r="P63" s="35" t="s">
        <v>1167</v>
      </c>
      <c r="Q63" s="35" t="s">
        <v>1168</v>
      </c>
      <c r="R63" s="35">
        <f>IF(OR(NOT(OR(COUNTIF($E$258:$E$272,"Oui")&gt;0,COUNTIF($F$243:$F$254,"Oui")&gt;0,SUMPRODUCT(($J$190:$J$222="SC")*($K$190:$K$222=1)*($S$190:$S$222=5))&gt;0,COUNTIF($S$166:$S$168,5)&gt;0)),$B$284&lt;&gt;""),1,0)</f>
        <v>0</v>
      </c>
    </row>
    <row r="65" spans="1:8">
      <c r="A65" s="3" t="s">
        <v>891</v>
      </c>
      <c r="B65" s="3"/>
      <c r="C65" s="3"/>
      <c r="D65" s="3"/>
      <c r="E65" s="3"/>
      <c r="F65" s="3"/>
      <c r="G65" s="3"/>
      <c r="H65" s="3"/>
    </row>
    <row r="66" spans="1:8">
      <c r="A66" s="11">
        <f>"Données du secteur "&amp;IF($B$19="","(choisissez le secteur au bloc 1)",$B$19)</f>
        <v>0</v>
      </c>
      <c r="B66" s="11" t="s">
        <v>94</v>
      </c>
      <c r="C66" s="11" t="s">
        <v>892</v>
      </c>
      <c r="D66" s="11" t="s">
        <v>893</v>
      </c>
      <c r="E66" s="11"/>
      <c r="F66" s="11"/>
      <c r="G66" s="11"/>
      <c r="H66" s="11"/>
    </row>
    <row r="67" spans="1:8">
      <c r="A67" s="17">
        <f>IF($B$19="",IF(0=0,"Choisissez d'abord le secteur (bloc 1)",""),IFERROR(IF(T(INDEX(R_SecChamps,MATCH($B$19,R_SecCodes,0),1))="","Sans objet pour ce secteur",T(INDEX(R_SecChamps,MATCH($B$19,R_SecCodes,0),1))),""))</f>
        <v>0</v>
      </c>
      <c r="B67" s="48"/>
      <c r="C67" s="7">
        <f>IFERROR(T(INDEX(R_SecUnites,MATCH($B$19,R_SecCodes,0),1)),"")</f>
        <v>0</v>
      </c>
      <c r="D67" s="47"/>
      <c r="E67" s="47"/>
      <c r="F67" s="47"/>
      <c r="G67" s="47"/>
      <c r="H67" s="47"/>
    </row>
    <row r="68" spans="1:8">
      <c r="A68" s="17">
        <f>IF($B$19="",IF(1=0,"Choisissez d'abord le secteur (bloc 1)",""),IFERROR(IF(T(INDEX(R_SecChamps,MATCH($B$19,R_SecCodes,0),2))="","Sans objet pour ce secteur",T(INDEX(R_SecChamps,MATCH($B$19,R_SecCodes,0),2))),""))</f>
        <v>0</v>
      </c>
      <c r="B68" s="48"/>
      <c r="C68" s="7">
        <f>IFERROR(T(INDEX(R_SecUnites,MATCH($B$19,R_SecCodes,0),2)),"")</f>
        <v>0</v>
      </c>
      <c r="D68" s="47"/>
      <c r="E68" s="47"/>
      <c r="F68" s="47"/>
      <c r="G68" s="47"/>
      <c r="H68" s="47"/>
    </row>
    <row r="69" spans="1:8">
      <c r="A69" s="17">
        <f>IF($B$19="",IF(2=0,"Choisissez d'abord le secteur (bloc 1)",""),IFERROR(IF(T(INDEX(R_SecChamps,MATCH($B$19,R_SecCodes,0),3))="","Sans objet pour ce secteur",T(INDEX(R_SecChamps,MATCH($B$19,R_SecCodes,0),3))),""))</f>
        <v>0</v>
      </c>
      <c r="B69" s="48"/>
      <c r="C69" s="7">
        <f>IFERROR(T(INDEX(R_SecUnites,MATCH($B$19,R_SecCodes,0),3)),"")</f>
        <v>0</v>
      </c>
      <c r="D69" s="47"/>
      <c r="E69" s="47"/>
      <c r="F69" s="47"/>
      <c r="G69" s="47"/>
      <c r="H69" s="47"/>
    </row>
    <row r="70" spans="1:8">
      <c r="A70" s="17">
        <f>IF($B$19="",IF(3=0,"Choisissez d'abord le secteur (bloc 1)",""),IFERROR(IF(T(INDEX(R_SecChamps,MATCH($B$19,R_SecCodes,0),4))="","Sans objet pour ce secteur",T(INDEX(R_SecChamps,MATCH($B$19,R_SecCodes,0),4))),""))</f>
        <v>0</v>
      </c>
      <c r="B70" s="48"/>
      <c r="C70" s="7">
        <f>IFERROR(T(INDEX(R_SecUnites,MATCH($B$19,R_SecCodes,0),4)),"")</f>
        <v>0</v>
      </c>
      <c r="D70" s="47"/>
      <c r="E70" s="47"/>
      <c r="F70" s="47"/>
      <c r="G70" s="47"/>
      <c r="H70" s="47"/>
    </row>
    <row r="71" spans="1:8">
      <c r="A71" s="17">
        <f>IF($B$19="",IF(4=0,"Choisissez d'abord le secteur (bloc 1)",""),IFERROR(IF(T(INDEX(R_SecChamps,MATCH($B$19,R_SecCodes,0),5))="","Sans objet pour ce secteur",T(INDEX(R_SecChamps,MATCH($B$19,R_SecCodes,0),5))),""))</f>
        <v>0</v>
      </c>
      <c r="B71" s="48"/>
      <c r="C71" s="7">
        <f>IFERROR(T(INDEX(R_SecUnites,MATCH($B$19,R_SecCodes,0),5)),"")</f>
        <v>0</v>
      </c>
      <c r="D71" s="47"/>
      <c r="E71" s="47"/>
      <c r="F71" s="47"/>
      <c r="G71" s="47"/>
      <c r="H71" s="47"/>
    </row>
    <row r="72" spans="1:8">
      <c r="A72" s="17">
        <f>IF($B$19="",IF(5=0,"Choisissez d'abord le secteur (bloc 1)",""),IFERROR(IF(T(INDEX(R_SecChamps,MATCH($B$19,R_SecCodes,0),6))="","Sans objet pour ce secteur",T(INDEX(R_SecChamps,MATCH($B$19,R_SecCodes,0),6))),""))</f>
        <v>0</v>
      </c>
      <c r="B72" s="48"/>
      <c r="C72" s="7">
        <f>IFERROR(T(INDEX(R_SecUnites,MATCH($B$19,R_SecCodes,0),6)),"")</f>
        <v>0</v>
      </c>
      <c r="D72" s="47"/>
      <c r="E72" s="47"/>
      <c r="F72" s="47"/>
      <c r="G72" s="47"/>
      <c r="H72" s="47"/>
    </row>
    <row r="73" spans="1:8">
      <c r="A73" s="11" t="s">
        <v>894</v>
      </c>
      <c r="B73" s="11" t="s">
        <v>94</v>
      </c>
      <c r="C73" s="11"/>
      <c r="D73" s="11"/>
      <c r="E73" s="11"/>
      <c r="F73" s="11"/>
      <c r="G73" s="11"/>
      <c r="H73" s="11"/>
    </row>
    <row r="74" spans="1:8">
      <c r="A74" s="45"/>
      <c r="B74" s="45"/>
      <c r="C74" s="45"/>
      <c r="D74" s="45"/>
      <c r="E74" s="45"/>
      <c r="F74" s="45"/>
      <c r="G74" s="45"/>
      <c r="H74" s="45"/>
    </row>
    <row r="75" spans="1:8">
      <c r="A75" s="45"/>
      <c r="B75" s="45"/>
      <c r="C75" s="45"/>
      <c r="D75" s="45"/>
      <c r="E75" s="45"/>
      <c r="F75" s="45"/>
      <c r="G75" s="45"/>
      <c r="H75" s="45"/>
    </row>
    <row r="76" spans="1:8">
      <c r="A76" s="45"/>
      <c r="B76" s="45"/>
      <c r="C76" s="45"/>
      <c r="D76" s="45"/>
      <c r="E76" s="45"/>
      <c r="F76" s="45"/>
      <c r="G76" s="45"/>
      <c r="H76" s="45"/>
    </row>
    <row r="77" spans="1:8">
      <c r="A77" s="45"/>
      <c r="B77" s="45"/>
      <c r="C77" s="45"/>
      <c r="D77" s="45"/>
      <c r="E77" s="45"/>
      <c r="F77" s="45"/>
      <c r="G77" s="45"/>
      <c r="H77" s="45"/>
    </row>
    <row r="78" spans="1:8">
      <c r="A78" s="45"/>
      <c r="B78" s="45"/>
      <c r="C78" s="45"/>
      <c r="D78" s="45"/>
      <c r="E78" s="45"/>
      <c r="F78" s="45"/>
      <c r="G78" s="45"/>
      <c r="H78" s="45"/>
    </row>
    <row r="79" spans="1:8">
      <c r="A79" s="45"/>
      <c r="B79" s="45"/>
      <c r="C79" s="45"/>
      <c r="D79" s="45"/>
      <c r="E79" s="45"/>
      <c r="F79" s="45"/>
      <c r="G79" s="45"/>
      <c r="H79" s="45"/>
    </row>
    <row r="80" spans="1:8">
      <c r="A80" s="45"/>
      <c r="B80" s="45"/>
      <c r="C80" s="45"/>
      <c r="D80" s="45"/>
      <c r="E80" s="45"/>
      <c r="F80" s="45"/>
      <c r="G80" s="45"/>
      <c r="H80" s="45"/>
    </row>
    <row r="81" spans="1:8">
      <c r="A81" s="45"/>
      <c r="B81" s="45"/>
      <c r="C81" s="45"/>
      <c r="D81" s="45"/>
      <c r="E81" s="45"/>
      <c r="F81" s="45"/>
      <c r="G81" s="45"/>
      <c r="H81" s="45"/>
    </row>
    <row r="83" spans="1:8">
      <c r="A83" s="3" t="s">
        <v>905</v>
      </c>
      <c r="B83" s="3"/>
      <c r="C83" s="3"/>
      <c r="D83" s="3"/>
      <c r="E83" s="3"/>
      <c r="F83" s="3"/>
      <c r="G83" s="3"/>
      <c r="H83" s="3"/>
    </row>
    <row r="84" spans="1:8">
      <c r="A84" s="17" t="s">
        <v>906</v>
      </c>
      <c r="B84" s="18">
        <f>IFERROR(INDEX(P_Crit,MATCH($B$18,P_Regimes,0)),"")</f>
        <v>0</v>
      </c>
    </row>
    <row r="85" spans="1:8">
      <c r="A85" s="17" t="s">
        <v>907</v>
      </c>
      <c r="B85" s="18">
        <f>IFERROR(INDEX(P_SecDelta,MATCH($B$19,P_SecCodes,0)),"")</f>
        <v>0</v>
      </c>
    </row>
    <row r="86" spans="1:8">
      <c r="A86" s="17" t="s">
        <v>908</v>
      </c>
      <c r="B86" s="18">
        <f>IFERROR(INDEX(P_PhaseMaj,MATCH($B$20,P_PhaseCodes,0)),"")</f>
        <v>0</v>
      </c>
    </row>
    <row r="87" spans="1:8">
      <c r="A87" s="11" t="s">
        <v>909</v>
      </c>
      <c r="B87" s="11" t="s">
        <v>5</v>
      </c>
      <c r="C87" s="11" t="s">
        <v>6</v>
      </c>
      <c r="D87" s="11" t="s">
        <v>7</v>
      </c>
      <c r="E87" s="11" t="s">
        <v>910</v>
      </c>
    </row>
    <row r="88" spans="1:8">
      <c r="A88" s="21" t="s">
        <v>911</v>
      </c>
      <c r="B88" s="18">
        <f>IFERROR(INDEX(P_Crit,MATCH($B$18,P_Regimes,0))+$B$85+$B$86,"")</f>
        <v>0</v>
      </c>
      <c r="C88" s="18">
        <f>IFERROR(INDEX(P_Vig,MATCH($B$18,P_Regimes,0))+$B$85+$B$86,"")</f>
        <v>0</v>
      </c>
      <c r="D88" s="18">
        <f>IFERROR(INDEX(P_Fav,MATCH($B$18,P_Regimes,0))+$B$85+$B$86,"")</f>
        <v>0</v>
      </c>
      <c r="E88" s="18">
        <f>D88</f>
        <v>0</v>
      </c>
    </row>
    <row r="90" spans="1:8">
      <c r="A90" s="3" t="s">
        <v>912</v>
      </c>
      <c r="B90" s="3"/>
      <c r="C90" s="3"/>
      <c r="D90" s="3"/>
      <c r="E90" s="3"/>
      <c r="F90" s="3"/>
      <c r="G90" s="3"/>
      <c r="H90" s="3"/>
    </row>
    <row r="91" spans="1:8">
      <c r="A91" s="13" t="s">
        <v>913</v>
      </c>
      <c r="B91" s="49"/>
      <c r="C91" s="47" t="s">
        <v>1688</v>
      </c>
      <c r="D91" s="47"/>
      <c r="E91" s="47"/>
      <c r="F91" s="47"/>
      <c r="G91" s="47"/>
      <c r="H91" s="47"/>
    </row>
    <row r="92" spans="1:8" ht="30" customHeight="1">
      <c r="A92" s="11" t="s">
        <v>915</v>
      </c>
      <c r="B92" s="11" t="s">
        <v>916</v>
      </c>
      <c r="C92" s="11" t="s">
        <v>903</v>
      </c>
      <c r="D92" s="11" t="s">
        <v>917</v>
      </c>
      <c r="E92" s="11" t="s">
        <v>918</v>
      </c>
      <c r="F92" s="11" t="s">
        <v>919</v>
      </c>
      <c r="G92" s="11" t="s">
        <v>920</v>
      </c>
      <c r="H92" s="11" t="s">
        <v>921</v>
      </c>
    </row>
    <row r="93" spans="1:8">
      <c r="A93" s="45"/>
      <c r="B93" s="43"/>
      <c r="C93" s="50"/>
      <c r="D93" s="19">
        <f>IF(OR(B93="",C93=""),"",IF(C93=0,"",B93/C93))</f>
        <v>0</v>
      </c>
      <c r="E93" s="7">
        <f>IF(B93="","",IF(C93=0,"Différé",IF(B93&lt;0,"Critique",IF(D93&lt;$B$88,"Critique",IF(D93&lt;$C$88,"Vigilance",IF(D93&lt;$D$88,"Favorable","Très favorable"))))))</f>
        <v>0</v>
      </c>
      <c r="F93" s="43"/>
      <c r="G93" s="19">
        <f>IF(OR(B93="",C93="",C93=0),"",IF(F93&lt;&gt;"",F93,B93*(1-$B$91))/C93)</f>
        <v>0</v>
      </c>
      <c r="H93" s="19"/>
    </row>
    <row r="94" spans="1:8">
      <c r="A94" s="45"/>
      <c r="B94" s="43"/>
      <c r="C94" s="50"/>
      <c r="D94" s="19">
        <f>IF(OR(B94="",C94=""),"",IF(C94=0,"",B94/C94))</f>
        <v>0</v>
      </c>
      <c r="E94" s="7">
        <f>IF(B94="","",IF(C94=0,"Différé",IF(B94&lt;0,"Critique",IF(D94&lt;$B$88,"Critique",IF(D94&lt;$C$88,"Vigilance",IF(D94&lt;$D$88,"Favorable","Très favorable"))))))</f>
        <v>0</v>
      </c>
      <c r="F94" s="43"/>
      <c r="G94" s="19">
        <f>IF(OR(B94="",C94="",C94=0),"",IF(F94&lt;&gt;"",F94,B94*(1-$B$91))/C94)</f>
        <v>0</v>
      </c>
      <c r="H94" s="19">
        <f>IF(AND($B$21="Semestrielle",B94&lt;&gt;"",B93&lt;&gt;"",N(C94)+N(C93)&gt;0),(B94+B93)/(C94+C93),"")</f>
        <v>0</v>
      </c>
    </row>
    <row r="95" spans="1:8">
      <c r="A95" s="45"/>
      <c r="B95" s="43"/>
      <c r="C95" s="50"/>
      <c r="D95" s="19">
        <f>IF(OR(B95="",C95=""),"",IF(C95=0,"",B95/C95))</f>
        <v>0</v>
      </c>
      <c r="E95" s="7">
        <f>IF(B95="","",IF(C95=0,"Différé",IF(B95&lt;0,"Critique",IF(D95&lt;$B$88,"Critique",IF(D95&lt;$C$88,"Vigilance",IF(D95&lt;$D$88,"Favorable","Très favorable"))))))</f>
        <v>0</v>
      </c>
      <c r="F95" s="43"/>
      <c r="G95" s="19">
        <f>IF(OR(B95="",C95="",C95=0),"",IF(F95&lt;&gt;"",F95,B95*(1-$B$91))/C95)</f>
        <v>0</v>
      </c>
      <c r="H95" s="19"/>
    </row>
    <row r="96" spans="1:8">
      <c r="A96" s="45"/>
      <c r="B96" s="43"/>
      <c r="C96" s="50"/>
      <c r="D96" s="19">
        <f>IF(OR(B96="",C96=""),"",IF(C96=0,"",B96/C96))</f>
        <v>0</v>
      </c>
      <c r="E96" s="7">
        <f>IF(B96="","",IF(C96=0,"Différé",IF(B96&lt;0,"Critique",IF(D96&lt;$B$88,"Critique",IF(D96&lt;$C$88,"Vigilance",IF(D96&lt;$D$88,"Favorable","Très favorable"))))))</f>
        <v>0</v>
      </c>
      <c r="F96" s="43"/>
      <c r="G96" s="19">
        <f>IF(OR(B96="",C96="",C96=0),"",IF(F96&lt;&gt;"",F96,B96*(1-$B$91))/C96)</f>
        <v>0</v>
      </c>
      <c r="H96" s="19">
        <f>IF(AND($B$21="Semestrielle",B96&lt;&gt;"",B95&lt;&gt;"",N(C96)+N(C95)&gt;0),(B96+B95)/(C96+C95),"")</f>
        <v>0</v>
      </c>
    </row>
    <row r="97" spans="1:8">
      <c r="A97" s="45"/>
      <c r="B97" s="43"/>
      <c r="C97" s="50"/>
      <c r="D97" s="19">
        <f>IF(OR(B97="",C97=""),"",IF(C97=0,"",B97/C97))</f>
        <v>0</v>
      </c>
      <c r="E97" s="7">
        <f>IF(B97="","",IF(C97=0,"Différé",IF(B97&lt;0,"Critique",IF(D97&lt;$B$88,"Critique",IF(D97&lt;$C$88,"Vigilance",IF(D97&lt;$D$88,"Favorable","Très favorable"))))))</f>
        <v>0</v>
      </c>
      <c r="F97" s="43"/>
      <c r="G97" s="19">
        <f>IF(OR(B97="",C97="",C97=0),"",IF(F97&lt;&gt;"",F97,B97*(1-$B$91))/C97)</f>
        <v>0</v>
      </c>
      <c r="H97" s="19"/>
    </row>
    <row r="98" spans="1:8">
      <c r="A98" s="45"/>
      <c r="B98" s="43"/>
      <c r="C98" s="50"/>
      <c r="D98" s="19">
        <f>IF(OR(B98="",C98=""),"",IF(C98=0,"",B98/C98))</f>
        <v>0</v>
      </c>
      <c r="E98" s="7">
        <f>IF(B98="","",IF(C98=0,"Différé",IF(B98&lt;0,"Critique",IF(D98&lt;$B$88,"Critique",IF(D98&lt;$C$88,"Vigilance",IF(D98&lt;$D$88,"Favorable","Très favorable"))))))</f>
        <v>0</v>
      </c>
      <c r="F98" s="43"/>
      <c r="G98" s="19">
        <f>IF(OR(B98="",C98="",C98=0),"",IF(F98&lt;&gt;"",F98,B98*(1-$B$91))/C98)</f>
        <v>0</v>
      </c>
      <c r="H98" s="19">
        <f>IF(AND($B$21="Semestrielle",B98&lt;&gt;"",B97&lt;&gt;"",N(C98)+N(C97)&gt;0),(B98+B97)/(C98+C97),"")</f>
        <v>0</v>
      </c>
    </row>
    <row r="99" spans="1:8">
      <c r="A99" s="45"/>
      <c r="B99" s="43"/>
      <c r="C99" s="50"/>
      <c r="D99" s="19">
        <f>IF(OR(B99="",C99=""),"",IF(C99=0,"",B99/C99))</f>
        <v>0</v>
      </c>
      <c r="E99" s="7">
        <f>IF(B99="","",IF(C99=0,"Différé",IF(B99&lt;0,"Critique",IF(D99&lt;$B$88,"Critique",IF(D99&lt;$C$88,"Vigilance",IF(D99&lt;$D$88,"Favorable","Très favorable"))))))</f>
        <v>0</v>
      </c>
      <c r="F99" s="43"/>
      <c r="G99" s="19">
        <f>IF(OR(B99="",C99="",C99=0),"",IF(F99&lt;&gt;"",F99,B99*(1-$B$91))/C99)</f>
        <v>0</v>
      </c>
      <c r="H99" s="19"/>
    </row>
    <row r="100" spans="1:8">
      <c r="A100" s="45"/>
      <c r="B100" s="43"/>
      <c r="C100" s="50"/>
      <c r="D100" s="19">
        <f>IF(OR(B100="",C100=""),"",IF(C100=0,"",B100/C100))</f>
        <v>0</v>
      </c>
      <c r="E100" s="7">
        <f>IF(B100="","",IF(C100=0,"Différé",IF(B100&lt;0,"Critique",IF(D100&lt;$B$88,"Critique",IF(D100&lt;$C$88,"Vigilance",IF(D100&lt;$D$88,"Favorable","Très favorable"))))))</f>
        <v>0</v>
      </c>
      <c r="F100" s="43"/>
      <c r="G100" s="19">
        <f>IF(OR(B100="",C100="",C100=0),"",IF(F100&lt;&gt;"",F100,B100*(1-$B$91))/C100)</f>
        <v>0</v>
      </c>
      <c r="H100" s="19">
        <f>IF(AND($B$21="Semestrielle",B100&lt;&gt;"",B99&lt;&gt;"",N(C100)+N(C99)&gt;0),(B100+B99)/(C100+C99),"")</f>
        <v>0</v>
      </c>
    </row>
    <row r="101" spans="1:8">
      <c r="A101" s="45"/>
      <c r="B101" s="43"/>
      <c r="C101" s="50"/>
      <c r="D101" s="19">
        <f>IF(OR(B101="",C101=""),"",IF(C101=0,"",B101/C101))</f>
        <v>0</v>
      </c>
      <c r="E101" s="7">
        <f>IF(B101="","",IF(C101=0,"Différé",IF(B101&lt;0,"Critique",IF(D101&lt;$B$88,"Critique",IF(D101&lt;$C$88,"Vigilance",IF(D101&lt;$D$88,"Favorable","Très favorable"))))))</f>
        <v>0</v>
      </c>
      <c r="F101" s="43"/>
      <c r="G101" s="19">
        <f>IF(OR(B101="",C101="",C101=0),"",IF(F101&lt;&gt;"",F101,B101*(1-$B$91))/C101)</f>
        <v>0</v>
      </c>
      <c r="H101" s="19"/>
    </row>
    <row r="102" spans="1:8">
      <c r="A102" s="45"/>
      <c r="B102" s="43"/>
      <c r="C102" s="50"/>
      <c r="D102" s="19">
        <f>IF(OR(B102="",C102=""),"",IF(C102=0,"",B102/C102))</f>
        <v>0</v>
      </c>
      <c r="E102" s="7">
        <f>IF(B102="","",IF(C102=0,"Différé",IF(B102&lt;0,"Critique",IF(D102&lt;$B$88,"Critique",IF(D102&lt;$C$88,"Vigilance",IF(D102&lt;$D$88,"Favorable","Très favorable"))))))</f>
        <v>0</v>
      </c>
      <c r="F102" s="43"/>
      <c r="G102" s="19">
        <f>IF(OR(B102="",C102="",C102=0),"",IF(F102&lt;&gt;"",F102,B102*(1-$B$91))/C102)</f>
        <v>0</v>
      </c>
      <c r="H102" s="19">
        <f>IF(AND($B$21="Semestrielle",B102&lt;&gt;"",B101&lt;&gt;"",N(C102)+N(C101)&gt;0),(B102+B101)/(C102+C101),"")</f>
        <v>0</v>
      </c>
    </row>
    <row r="103" spans="1:8">
      <c r="A103" s="45"/>
      <c r="B103" s="43"/>
      <c r="C103" s="50"/>
      <c r="D103" s="19">
        <f>IF(OR(B103="",C103=""),"",IF(C103=0,"",B103/C103))</f>
        <v>0</v>
      </c>
      <c r="E103" s="7">
        <f>IF(B103="","",IF(C103=0,"Différé",IF(B103&lt;0,"Critique",IF(D103&lt;$B$88,"Critique",IF(D103&lt;$C$88,"Vigilance",IF(D103&lt;$D$88,"Favorable","Très favorable"))))))</f>
        <v>0</v>
      </c>
      <c r="F103" s="43"/>
      <c r="G103" s="19">
        <f>IF(OR(B103="",C103="",C103=0),"",IF(F103&lt;&gt;"",F103,B103*(1-$B$91))/C103)</f>
        <v>0</v>
      </c>
      <c r="H103" s="19"/>
    </row>
    <row r="104" spans="1:8">
      <c r="A104" s="45"/>
      <c r="B104" s="43"/>
      <c r="C104" s="50"/>
      <c r="D104" s="19">
        <f>IF(OR(B104="",C104=""),"",IF(C104=0,"",B104/C104))</f>
        <v>0</v>
      </c>
      <c r="E104" s="7">
        <f>IF(B104="","",IF(C104=0,"Différé",IF(B104&lt;0,"Critique",IF(D104&lt;$B$88,"Critique",IF(D104&lt;$C$88,"Vigilance",IF(D104&lt;$D$88,"Favorable","Très favorable"))))))</f>
        <v>0</v>
      </c>
      <c r="F104" s="43"/>
      <c r="G104" s="19">
        <f>IF(OR(B104="",C104="",C104=0),"",IF(F104&lt;&gt;"",F104,B104*(1-$B$91))/C104)</f>
        <v>0</v>
      </c>
      <c r="H104" s="19">
        <f>IF(AND($B$21="Semestrielle",B104&lt;&gt;"",B103&lt;&gt;"",N(C104)+N(C103)&gt;0),(B104+B103)/(C104+C103),"")</f>
        <v>0</v>
      </c>
    </row>
    <row r="105" spans="1:8">
      <c r="A105" s="45"/>
      <c r="B105" s="43"/>
      <c r="C105" s="50"/>
      <c r="D105" s="19">
        <f>IF(OR(B105="",C105=""),"",IF(C105=0,"",B105/C105))</f>
        <v>0</v>
      </c>
      <c r="E105" s="7">
        <f>IF(B105="","",IF(C105=0,"Différé",IF(B105&lt;0,"Critique",IF(D105&lt;$B$88,"Critique",IF(D105&lt;$C$88,"Vigilance",IF(D105&lt;$D$88,"Favorable","Très favorable"))))))</f>
        <v>0</v>
      </c>
      <c r="F105" s="43"/>
      <c r="G105" s="19">
        <f>IF(OR(B105="",C105="",C105=0),"",IF(F105&lt;&gt;"",F105,B105*(1-$B$91))/C105)</f>
        <v>0</v>
      </c>
      <c r="H105" s="19"/>
    </row>
    <row r="106" spans="1:8">
      <c r="A106" s="45"/>
      <c r="B106" s="43"/>
      <c r="C106" s="50"/>
      <c r="D106" s="19">
        <f>IF(OR(B106="",C106=""),"",IF(C106=0,"",B106/C106))</f>
        <v>0</v>
      </c>
      <c r="E106" s="7">
        <f>IF(B106="","",IF(C106=0,"Différé",IF(B106&lt;0,"Critique",IF(D106&lt;$B$88,"Critique",IF(D106&lt;$C$88,"Vigilance",IF(D106&lt;$D$88,"Favorable","Très favorable"))))))</f>
        <v>0</v>
      </c>
      <c r="F106" s="43"/>
      <c r="G106" s="19">
        <f>IF(OR(B106="",C106="",C106=0),"",IF(F106&lt;&gt;"",F106,B106*(1-$B$91))/C106)</f>
        <v>0</v>
      </c>
      <c r="H106" s="19">
        <f>IF(AND($B$21="Semestrielle",B106&lt;&gt;"",B105&lt;&gt;"",N(C106)+N(C105)&gt;0),(B106+B105)/(C106+C105),"")</f>
        <v>0</v>
      </c>
    </row>
    <row r="107" spans="1:8">
      <c r="A107" s="45"/>
      <c r="B107" s="43"/>
      <c r="C107" s="50"/>
      <c r="D107" s="19">
        <f>IF(OR(B107="",C107=""),"",IF(C107=0,"",B107/C107))</f>
        <v>0</v>
      </c>
      <c r="E107" s="7">
        <f>IF(B107="","",IF(C107=0,"Différé",IF(B107&lt;0,"Critique",IF(D107&lt;$B$88,"Critique",IF(D107&lt;$C$88,"Vigilance",IF(D107&lt;$D$88,"Favorable","Très favorable"))))))</f>
        <v>0</v>
      </c>
      <c r="F107" s="43"/>
      <c r="G107" s="19">
        <f>IF(OR(B107="",C107="",C107=0),"",IF(F107&lt;&gt;"",F107,B107*(1-$B$91))/C107)</f>
        <v>0</v>
      </c>
      <c r="H107" s="19"/>
    </row>
    <row r="108" spans="1:8">
      <c r="A108" s="45"/>
      <c r="B108" s="43"/>
      <c r="C108" s="50"/>
      <c r="D108" s="19">
        <f>IF(OR(B108="",C108=""),"",IF(C108=0,"",B108/C108))</f>
        <v>0</v>
      </c>
      <c r="E108" s="7">
        <f>IF(B108="","",IF(C108=0,"Différé",IF(B108&lt;0,"Critique",IF(D108&lt;$B$88,"Critique",IF(D108&lt;$C$88,"Vigilance",IF(D108&lt;$D$88,"Favorable","Très favorable"))))))</f>
        <v>0</v>
      </c>
      <c r="F108" s="43"/>
      <c r="G108" s="19">
        <f>IF(OR(B108="",C108="",C108=0),"",IF(F108&lt;&gt;"",F108,B108*(1-$B$91))/C108)</f>
        <v>0</v>
      </c>
      <c r="H108" s="19">
        <f>IF(AND($B$21="Semestrielle",B108&lt;&gt;"",B107&lt;&gt;"",N(C108)+N(C107)&gt;0),(B108+B107)/(C108+C107),"")</f>
        <v>0</v>
      </c>
    </row>
    <row r="109" spans="1:8">
      <c r="A109" s="45"/>
      <c r="B109" s="43"/>
      <c r="C109" s="50"/>
      <c r="D109" s="19">
        <f>IF(OR(B109="",C109=""),"",IF(C109=0,"",B109/C109))</f>
        <v>0</v>
      </c>
      <c r="E109" s="7">
        <f>IF(B109="","",IF(C109=0,"Différé",IF(B109&lt;0,"Critique",IF(D109&lt;$B$88,"Critique",IF(D109&lt;$C$88,"Vigilance",IF(D109&lt;$D$88,"Favorable","Très favorable"))))))</f>
        <v>0</v>
      </c>
      <c r="F109" s="43"/>
      <c r="G109" s="19">
        <f>IF(OR(B109="",C109="",C109=0),"",IF(F109&lt;&gt;"",F109,B109*(1-$B$91))/C109)</f>
        <v>0</v>
      </c>
      <c r="H109" s="19"/>
    </row>
    <row r="110" spans="1:8">
      <c r="A110" s="45"/>
      <c r="B110" s="43"/>
      <c r="C110" s="50"/>
      <c r="D110" s="19">
        <f>IF(OR(B110="",C110=""),"",IF(C110=0,"",B110/C110))</f>
        <v>0</v>
      </c>
      <c r="E110" s="7">
        <f>IF(B110="","",IF(C110=0,"Différé",IF(B110&lt;0,"Critique",IF(D110&lt;$B$88,"Critique",IF(D110&lt;$C$88,"Vigilance",IF(D110&lt;$D$88,"Favorable","Très favorable"))))))</f>
        <v>0</v>
      </c>
      <c r="F110" s="43"/>
      <c r="G110" s="19">
        <f>IF(OR(B110="",C110="",C110=0),"",IF(F110&lt;&gt;"",F110,B110*(1-$B$91))/C110)</f>
        <v>0</v>
      </c>
      <c r="H110" s="19">
        <f>IF(AND($B$21="Semestrielle",B110&lt;&gt;"",B109&lt;&gt;"",N(C110)+N(C109)&gt;0),(B110+B109)/(C110+C109),"")</f>
        <v>0</v>
      </c>
    </row>
    <row r="111" spans="1:8">
      <c r="A111" s="45"/>
      <c r="B111" s="43"/>
      <c r="C111" s="50"/>
      <c r="D111" s="19">
        <f>IF(OR(B111="",C111=""),"",IF(C111=0,"",B111/C111))</f>
        <v>0</v>
      </c>
      <c r="E111" s="7">
        <f>IF(B111="","",IF(C111=0,"Différé",IF(B111&lt;0,"Critique",IF(D111&lt;$B$88,"Critique",IF(D111&lt;$C$88,"Vigilance",IF(D111&lt;$D$88,"Favorable","Très favorable"))))))</f>
        <v>0</v>
      </c>
      <c r="F111" s="43"/>
      <c r="G111" s="19">
        <f>IF(OR(B111="",C111="",C111=0),"",IF(F111&lt;&gt;"",F111,B111*(1-$B$91))/C111)</f>
        <v>0</v>
      </c>
      <c r="H111" s="19"/>
    </row>
    <row r="112" spans="1:8">
      <c r="A112" s="45"/>
      <c r="B112" s="43"/>
      <c r="C112" s="50"/>
      <c r="D112" s="19">
        <f>IF(OR(B112="",C112=""),"",IF(C112=0,"",B112/C112))</f>
        <v>0</v>
      </c>
      <c r="E112" s="7">
        <f>IF(B112="","",IF(C112=0,"Différé",IF(B112&lt;0,"Critique",IF(D112&lt;$B$88,"Critique",IF(D112&lt;$C$88,"Vigilance",IF(D112&lt;$D$88,"Favorable","Très favorable"))))))</f>
        <v>0</v>
      </c>
      <c r="F112" s="43"/>
      <c r="G112" s="19">
        <f>IF(OR(B112="",C112="",C112=0),"",IF(F112&lt;&gt;"",F112,B112*(1-$B$91))/C112)</f>
        <v>0</v>
      </c>
      <c r="H112" s="19">
        <f>IF(AND($B$21="Semestrielle",B112&lt;&gt;"",B111&lt;&gt;"",N(C112)+N(C111)&gt;0),(B112+B111)/(C112+C111),"")</f>
        <v>0</v>
      </c>
    </row>
    <row r="113" spans="1:8">
      <c r="A113" s="45"/>
      <c r="B113" s="43"/>
      <c r="C113" s="50"/>
      <c r="D113" s="19">
        <f>IF(OR(B113="",C113=""),"",IF(C113=0,"",B113/C113))</f>
        <v>0</v>
      </c>
      <c r="E113" s="7">
        <f>IF(B113="","",IF(C113=0,"Différé",IF(B113&lt;0,"Critique",IF(D113&lt;$B$88,"Critique",IF(D113&lt;$C$88,"Vigilance",IF(D113&lt;$D$88,"Favorable","Très favorable"))))))</f>
        <v>0</v>
      </c>
      <c r="F113" s="43"/>
      <c r="G113" s="19">
        <f>IF(OR(B113="",C113="",C113=0),"",IF(F113&lt;&gt;"",F113,B113*(1-$B$91))/C113)</f>
        <v>0</v>
      </c>
      <c r="H113" s="19"/>
    </row>
    <row r="114" spans="1:8">
      <c r="A114" s="45"/>
      <c r="B114" s="43"/>
      <c r="C114" s="50"/>
      <c r="D114" s="19">
        <f>IF(OR(B114="",C114=""),"",IF(C114=0,"",B114/C114))</f>
        <v>0</v>
      </c>
      <c r="E114" s="7">
        <f>IF(B114="","",IF(C114=0,"Différé",IF(B114&lt;0,"Critique",IF(D114&lt;$B$88,"Critique",IF(D114&lt;$C$88,"Vigilance",IF(D114&lt;$D$88,"Favorable","Très favorable"))))))</f>
        <v>0</v>
      </c>
      <c r="F114" s="43"/>
      <c r="G114" s="19">
        <f>IF(OR(B114="",C114="",C114=0),"",IF(F114&lt;&gt;"",F114,B114*(1-$B$91))/C114)</f>
        <v>0</v>
      </c>
      <c r="H114" s="19">
        <f>IF(AND($B$21="Semestrielle",B114&lt;&gt;"",B113&lt;&gt;"",N(C114)+N(C113)&gt;0),(B114+B113)/(C114+C113),"")</f>
        <v>0</v>
      </c>
    </row>
    <row r="115" spans="1:8">
      <c r="A115" s="45"/>
      <c r="B115" s="43"/>
      <c r="C115" s="50"/>
      <c r="D115" s="19">
        <f>IF(OR(B115="",C115=""),"",IF(C115=0,"",B115/C115))</f>
        <v>0</v>
      </c>
      <c r="E115" s="7">
        <f>IF(B115="","",IF(C115=0,"Différé",IF(B115&lt;0,"Critique",IF(D115&lt;$B$88,"Critique",IF(D115&lt;$C$88,"Vigilance",IF(D115&lt;$D$88,"Favorable","Très favorable"))))))</f>
        <v>0</v>
      </c>
      <c r="F115" s="43"/>
      <c r="G115" s="19">
        <f>IF(OR(B115="",C115="",C115=0),"",IF(F115&lt;&gt;"",F115,B115*(1-$B$91))/C115)</f>
        <v>0</v>
      </c>
      <c r="H115" s="19"/>
    </row>
    <row r="116" spans="1:8">
      <c r="A116" s="45"/>
      <c r="B116" s="43"/>
      <c r="C116" s="50"/>
      <c r="D116" s="19">
        <f>IF(OR(B116="",C116=""),"",IF(C116=0,"",B116/C116))</f>
        <v>0</v>
      </c>
      <c r="E116" s="7">
        <f>IF(B116="","",IF(C116=0,"Différé",IF(B116&lt;0,"Critique",IF(D116&lt;$B$88,"Critique",IF(D116&lt;$C$88,"Vigilance",IF(D116&lt;$D$88,"Favorable","Très favorable"))))))</f>
        <v>0</v>
      </c>
      <c r="F116" s="43"/>
      <c r="G116" s="19">
        <f>IF(OR(B116="",C116="",C116=0),"",IF(F116&lt;&gt;"",F116,B116*(1-$B$91))/C116)</f>
        <v>0</v>
      </c>
      <c r="H116" s="19">
        <f>IF(AND($B$21="Semestrielle",B116&lt;&gt;"",B115&lt;&gt;"",N(C116)+N(C115)&gt;0),(B116+B115)/(C116+C115),"")</f>
        <v>0</v>
      </c>
    </row>
    <row r="117" spans="1:8">
      <c r="A117" s="45"/>
      <c r="B117" s="43"/>
      <c r="C117" s="50"/>
      <c r="D117" s="19">
        <f>IF(OR(B117="",C117=""),"",IF(C117=0,"",B117/C117))</f>
        <v>0</v>
      </c>
      <c r="E117" s="7">
        <f>IF(B117="","",IF(C117=0,"Différé",IF(B117&lt;0,"Critique",IF(D117&lt;$B$88,"Critique",IF(D117&lt;$C$88,"Vigilance",IF(D117&lt;$D$88,"Favorable","Très favorable"))))))</f>
        <v>0</v>
      </c>
      <c r="F117" s="43"/>
      <c r="G117" s="19">
        <f>IF(OR(B117="",C117="",C117=0),"",IF(F117&lt;&gt;"",F117,B117*(1-$B$91))/C117)</f>
        <v>0</v>
      </c>
      <c r="H117" s="19"/>
    </row>
    <row r="118" spans="1:8">
      <c r="A118" s="45"/>
      <c r="B118" s="43"/>
      <c r="C118" s="50"/>
      <c r="D118" s="19">
        <f>IF(OR(B118="",C118=""),"",IF(C118=0,"",B118/C118))</f>
        <v>0</v>
      </c>
      <c r="E118" s="7">
        <f>IF(B118="","",IF(C118=0,"Différé",IF(B118&lt;0,"Critique",IF(D118&lt;$B$88,"Critique",IF(D118&lt;$C$88,"Vigilance",IF(D118&lt;$D$88,"Favorable","Très favorable"))))))</f>
        <v>0</v>
      </c>
      <c r="F118" s="43"/>
      <c r="G118" s="19">
        <f>IF(OR(B118="",C118="",C118=0),"",IF(F118&lt;&gt;"",F118,B118*(1-$B$91))/C118)</f>
        <v>0</v>
      </c>
      <c r="H118" s="19">
        <f>IF(AND($B$21="Semestrielle",B118&lt;&gt;"",B117&lt;&gt;"",N(C118)+N(C117)&gt;0),(B118+B117)/(C118+C117),"")</f>
        <v>0</v>
      </c>
    </row>
    <row r="119" spans="1:8">
      <c r="A119" s="45"/>
      <c r="B119" s="43"/>
      <c r="C119" s="50"/>
      <c r="D119" s="19">
        <f>IF(OR(B119="",C119=""),"",IF(C119=0,"",B119/C119))</f>
        <v>0</v>
      </c>
      <c r="E119" s="7">
        <f>IF(B119="","",IF(C119=0,"Différé",IF(B119&lt;0,"Critique",IF(D119&lt;$B$88,"Critique",IF(D119&lt;$C$88,"Vigilance",IF(D119&lt;$D$88,"Favorable","Très favorable"))))))</f>
        <v>0</v>
      </c>
      <c r="F119" s="43"/>
      <c r="G119" s="19">
        <f>IF(OR(B119="",C119="",C119=0),"",IF(F119&lt;&gt;"",F119,B119*(1-$B$91))/C119)</f>
        <v>0</v>
      </c>
      <c r="H119" s="19"/>
    </row>
    <row r="120" spans="1:8">
      <c r="A120" s="45"/>
      <c r="B120" s="43"/>
      <c r="C120" s="50"/>
      <c r="D120" s="19">
        <f>IF(OR(B120="",C120=""),"",IF(C120=0,"",B120/C120))</f>
        <v>0</v>
      </c>
      <c r="E120" s="7">
        <f>IF(B120="","",IF(C120=0,"Différé",IF(B120&lt;0,"Critique",IF(D120&lt;$B$88,"Critique",IF(D120&lt;$C$88,"Vigilance",IF(D120&lt;$D$88,"Favorable","Très favorable"))))))</f>
        <v>0</v>
      </c>
      <c r="F120" s="43"/>
      <c r="G120" s="19">
        <f>IF(OR(B120="",C120="",C120=0),"",IF(F120&lt;&gt;"",F120,B120*(1-$B$91))/C120)</f>
        <v>0</v>
      </c>
      <c r="H120" s="19">
        <f>IF(AND($B$21="Semestrielle",B120&lt;&gt;"",B119&lt;&gt;"",N(C120)+N(C119)&gt;0),(B120+B119)/(C120+C119),"")</f>
        <v>0</v>
      </c>
    </row>
    <row r="121" spans="1:8">
      <c r="A121" s="45"/>
      <c r="B121" s="43"/>
      <c r="C121" s="50"/>
      <c r="D121" s="19">
        <f>IF(OR(B121="",C121=""),"",IF(C121=0,"",B121/C121))</f>
        <v>0</v>
      </c>
      <c r="E121" s="7">
        <f>IF(B121="","",IF(C121=0,"Différé",IF(B121&lt;0,"Critique",IF(D121&lt;$B$88,"Critique",IF(D121&lt;$C$88,"Vigilance",IF(D121&lt;$D$88,"Favorable","Très favorable"))))))</f>
        <v>0</v>
      </c>
      <c r="F121" s="43"/>
      <c r="G121" s="19">
        <f>IF(OR(B121="",C121="",C121=0),"",IF(F121&lt;&gt;"",F121,B121*(1-$B$91))/C121)</f>
        <v>0</v>
      </c>
      <c r="H121" s="19"/>
    </row>
    <row r="122" spans="1:8">
      <c r="A122" s="45"/>
      <c r="B122" s="43"/>
      <c r="C122" s="50"/>
      <c r="D122" s="19">
        <f>IF(OR(B122="",C122=""),"",IF(C122=0,"",B122/C122))</f>
        <v>0</v>
      </c>
      <c r="E122" s="7">
        <f>IF(B122="","",IF(C122=0,"Différé",IF(B122&lt;0,"Critique",IF(D122&lt;$B$88,"Critique",IF(D122&lt;$C$88,"Vigilance",IF(D122&lt;$D$88,"Favorable","Très favorable"))))))</f>
        <v>0</v>
      </c>
      <c r="F122" s="43"/>
      <c r="G122" s="19">
        <f>IF(OR(B122="",C122="",C122=0),"",IF(F122&lt;&gt;"",F122,B122*(1-$B$91))/C122)</f>
        <v>0</v>
      </c>
      <c r="H122" s="19">
        <f>IF(AND($B$21="Semestrielle",B122&lt;&gt;"",B121&lt;&gt;"",N(C122)+N(C121)&gt;0),(B122+B121)/(C122+C121),"")</f>
        <v>0</v>
      </c>
    </row>
    <row r="123" spans="1:8">
      <c r="A123" s="45"/>
      <c r="B123" s="43"/>
      <c r="C123" s="50"/>
      <c r="D123" s="19">
        <f>IF(OR(B123="",C123=""),"",IF(C123=0,"",B123/C123))</f>
        <v>0</v>
      </c>
      <c r="E123" s="7">
        <f>IF(B123="","",IF(C123=0,"Différé",IF(B123&lt;0,"Critique",IF(D123&lt;$B$88,"Critique",IF(D123&lt;$C$88,"Vigilance",IF(D123&lt;$D$88,"Favorable","Très favorable"))))))</f>
        <v>0</v>
      </c>
      <c r="F123" s="43"/>
      <c r="G123" s="19">
        <f>IF(OR(B123="",C123="",C123=0),"",IF(F123&lt;&gt;"",F123,B123*(1-$B$91))/C123)</f>
        <v>0</v>
      </c>
      <c r="H123" s="19"/>
    </row>
    <row r="124" spans="1:8">
      <c r="A124" s="45"/>
      <c r="B124" s="43"/>
      <c r="C124" s="50"/>
      <c r="D124" s="19">
        <f>IF(OR(B124="",C124=""),"",IF(C124=0,"",B124/C124))</f>
        <v>0</v>
      </c>
      <c r="E124" s="7">
        <f>IF(B124="","",IF(C124=0,"Différé",IF(B124&lt;0,"Critique",IF(D124&lt;$B$88,"Critique",IF(D124&lt;$C$88,"Vigilance",IF(D124&lt;$D$88,"Favorable","Très favorable"))))))</f>
        <v>0</v>
      </c>
      <c r="F124" s="43"/>
      <c r="G124" s="19">
        <f>IF(OR(B124="",C124="",C124=0),"",IF(F124&lt;&gt;"",F124,B124*(1-$B$91))/C124)</f>
        <v>0</v>
      </c>
      <c r="H124" s="19">
        <f>IF(AND($B$21="Semestrielle",B124&lt;&gt;"",B123&lt;&gt;"",N(C124)+N(C123)&gt;0),(B124+B123)/(C124+C123),"")</f>
        <v>0</v>
      </c>
    </row>
    <row r="125" spans="1:8">
      <c r="A125" s="45"/>
      <c r="B125" s="43"/>
      <c r="C125" s="50"/>
      <c r="D125" s="19">
        <f>IF(OR(B125="",C125=""),"",IF(C125=0,"",B125/C125))</f>
        <v>0</v>
      </c>
      <c r="E125" s="7">
        <f>IF(B125="","",IF(C125=0,"Différé",IF(B125&lt;0,"Critique",IF(D125&lt;$B$88,"Critique",IF(D125&lt;$C$88,"Vigilance",IF(D125&lt;$D$88,"Favorable","Très favorable"))))))</f>
        <v>0</v>
      </c>
      <c r="F125" s="43"/>
      <c r="G125" s="19">
        <f>IF(OR(B125="",C125="",C125=0),"",IF(F125&lt;&gt;"",F125,B125*(1-$B$91))/C125)</f>
        <v>0</v>
      </c>
      <c r="H125" s="19"/>
    </row>
    <row r="126" spans="1:8">
      <c r="A126" s="45"/>
      <c r="B126" s="43"/>
      <c r="C126" s="50"/>
      <c r="D126" s="19">
        <f>IF(OR(B126="",C126=""),"",IF(C126=0,"",B126/C126))</f>
        <v>0</v>
      </c>
      <c r="E126" s="7">
        <f>IF(B126="","",IF(C126=0,"Différé",IF(B126&lt;0,"Critique",IF(D126&lt;$B$88,"Critique",IF(D126&lt;$C$88,"Vigilance",IF(D126&lt;$D$88,"Favorable","Très favorable"))))))</f>
        <v>0</v>
      </c>
      <c r="F126" s="43"/>
      <c r="G126" s="19">
        <f>IF(OR(B126="",C126="",C126=0),"",IF(F126&lt;&gt;"",F126,B126*(1-$B$91))/C126)</f>
        <v>0</v>
      </c>
      <c r="H126" s="19">
        <f>IF(AND($B$21="Semestrielle",B126&lt;&gt;"",B125&lt;&gt;"",N(C126)+N(C125)&gt;0),(B126+B125)/(C126+C125),"")</f>
        <v>0</v>
      </c>
    </row>
    <row r="127" spans="1:8">
      <c r="A127" s="45"/>
      <c r="B127" s="43"/>
      <c r="C127" s="50"/>
      <c r="D127" s="19">
        <f>IF(OR(B127="",C127=""),"",IF(C127=0,"",B127/C127))</f>
        <v>0</v>
      </c>
      <c r="E127" s="7">
        <f>IF(B127="","",IF(C127=0,"Différé",IF(B127&lt;0,"Critique",IF(D127&lt;$B$88,"Critique",IF(D127&lt;$C$88,"Vigilance",IF(D127&lt;$D$88,"Favorable","Très favorable"))))))</f>
        <v>0</v>
      </c>
      <c r="F127" s="43"/>
      <c r="G127" s="19">
        <f>IF(OR(B127="",C127="",C127=0),"",IF(F127&lt;&gt;"",F127,B127*(1-$B$91))/C127)</f>
        <v>0</v>
      </c>
      <c r="H127" s="19"/>
    </row>
    <row r="128" spans="1:8">
      <c r="A128" s="45"/>
      <c r="B128" s="43"/>
      <c r="C128" s="50"/>
      <c r="D128" s="19">
        <f>IF(OR(B128="",C128=""),"",IF(C128=0,"",B128/C128))</f>
        <v>0</v>
      </c>
      <c r="E128" s="7">
        <f>IF(B128="","",IF(C128=0,"Différé",IF(B128&lt;0,"Critique",IF(D128&lt;$B$88,"Critique",IF(D128&lt;$C$88,"Vigilance",IF(D128&lt;$D$88,"Favorable","Très favorable"))))))</f>
        <v>0</v>
      </c>
      <c r="F128" s="43"/>
      <c r="G128" s="19">
        <f>IF(OR(B128="",C128="",C128=0),"",IF(F128&lt;&gt;"",F128,B128*(1-$B$91))/C128)</f>
        <v>0</v>
      </c>
      <c r="H128" s="19">
        <f>IF(AND($B$21="Semestrielle",B128&lt;&gt;"",B127&lt;&gt;"",N(C128)+N(C127)&gt;0),(B128+B127)/(C128+C127),"")</f>
        <v>0</v>
      </c>
    </row>
    <row r="129" spans="1:8">
      <c r="A129" s="45"/>
      <c r="B129" s="43"/>
      <c r="C129" s="50"/>
      <c r="D129" s="19">
        <f>IF(OR(B129="",C129=""),"",IF(C129=0,"",B129/C129))</f>
        <v>0</v>
      </c>
      <c r="E129" s="7">
        <f>IF(B129="","",IF(C129=0,"Différé",IF(B129&lt;0,"Critique",IF(D129&lt;$B$88,"Critique",IF(D129&lt;$C$88,"Vigilance",IF(D129&lt;$D$88,"Favorable","Très favorable"))))))</f>
        <v>0</v>
      </c>
      <c r="F129" s="43"/>
      <c r="G129" s="19">
        <f>IF(OR(B129="",C129="",C129=0),"",IF(F129&lt;&gt;"",F129,B129*(1-$B$91))/C129)</f>
        <v>0</v>
      </c>
      <c r="H129" s="19"/>
    </row>
    <row r="130" spans="1:8">
      <c r="A130" s="45"/>
      <c r="B130" s="43"/>
      <c r="C130" s="50"/>
      <c r="D130" s="19">
        <f>IF(OR(B130="",C130=""),"",IF(C130=0,"",B130/C130))</f>
        <v>0</v>
      </c>
      <c r="E130" s="7">
        <f>IF(B130="","",IF(C130=0,"Différé",IF(B130&lt;0,"Critique",IF(D130&lt;$B$88,"Critique",IF(D130&lt;$C$88,"Vigilance",IF(D130&lt;$D$88,"Favorable","Très favorable"))))))</f>
        <v>0</v>
      </c>
      <c r="F130" s="43"/>
      <c r="G130" s="19">
        <f>IF(OR(B130="",C130="",C130=0),"",IF(F130&lt;&gt;"",F130,B130*(1-$B$91))/C130)</f>
        <v>0</v>
      </c>
      <c r="H130" s="19">
        <f>IF(AND($B$21="Semestrielle",B130&lt;&gt;"",B129&lt;&gt;"",N(C130)+N(C129)&gt;0),(B130+B129)/(C130+C129),"")</f>
        <v>0</v>
      </c>
    </row>
    <row r="131" spans="1:8">
      <c r="A131" s="45"/>
      <c r="B131" s="43"/>
      <c r="C131" s="50"/>
      <c r="D131" s="19">
        <f>IF(OR(B131="",C131=""),"",IF(C131=0,"",B131/C131))</f>
        <v>0</v>
      </c>
      <c r="E131" s="7">
        <f>IF(B131="","",IF(C131=0,"Différé",IF(B131&lt;0,"Critique",IF(D131&lt;$B$88,"Critique",IF(D131&lt;$C$88,"Vigilance",IF(D131&lt;$D$88,"Favorable","Très favorable"))))))</f>
        <v>0</v>
      </c>
      <c r="F131" s="43"/>
      <c r="G131" s="19">
        <f>IF(OR(B131="",C131="",C131=0),"",IF(F131&lt;&gt;"",F131,B131*(1-$B$91))/C131)</f>
        <v>0</v>
      </c>
      <c r="H131" s="19"/>
    </row>
    <row r="132" spans="1:8">
      <c r="A132" s="45"/>
      <c r="B132" s="43"/>
      <c r="C132" s="50"/>
      <c r="D132" s="19">
        <f>IF(OR(B132="",C132=""),"",IF(C132=0,"",B132/C132))</f>
        <v>0</v>
      </c>
      <c r="E132" s="7">
        <f>IF(B132="","",IF(C132=0,"Différé",IF(B132&lt;0,"Critique",IF(D132&lt;$B$88,"Critique",IF(D132&lt;$C$88,"Vigilance",IF(D132&lt;$D$88,"Favorable","Très favorable"))))))</f>
        <v>0</v>
      </c>
      <c r="F132" s="43"/>
      <c r="G132" s="19">
        <f>IF(OR(B132="",C132="",C132=0),"",IF(F132&lt;&gt;"",F132,B132*(1-$B$91))/C132)</f>
        <v>0</v>
      </c>
      <c r="H132" s="19">
        <f>IF(AND($B$21="Semestrielle",B132&lt;&gt;"",B131&lt;&gt;"",N(C132)+N(C131)&gt;0),(B132+B131)/(C132+C131),"")</f>
        <v>0</v>
      </c>
    </row>
    <row r="133" spans="1:8">
      <c r="A133" s="45"/>
      <c r="B133" s="43"/>
      <c r="C133" s="50"/>
      <c r="D133" s="19">
        <f>IF(OR(B133="",C133=""),"",IF(C133=0,"",B133/C133))</f>
        <v>0</v>
      </c>
      <c r="E133" s="7">
        <f>IF(B133="","",IF(C133=0,"Différé",IF(B133&lt;0,"Critique",IF(D133&lt;$B$88,"Critique",IF(D133&lt;$C$88,"Vigilance",IF(D133&lt;$D$88,"Favorable","Très favorable"))))))</f>
        <v>0</v>
      </c>
      <c r="F133" s="43"/>
      <c r="G133" s="19">
        <f>IF(OR(B133="",C133="",C133=0),"",IF(F133&lt;&gt;"",F133,B133*(1-$B$91))/C133)</f>
        <v>0</v>
      </c>
      <c r="H133" s="19"/>
    </row>
    <row r="134" spans="1:8">
      <c r="A134" s="45"/>
      <c r="B134" s="43"/>
      <c r="C134" s="50"/>
      <c r="D134" s="19">
        <f>IF(OR(B134="",C134=""),"",IF(C134=0,"",B134/C134))</f>
        <v>0</v>
      </c>
      <c r="E134" s="7">
        <f>IF(B134="","",IF(C134=0,"Différé",IF(B134&lt;0,"Critique",IF(D134&lt;$B$88,"Critique",IF(D134&lt;$C$88,"Vigilance",IF(D134&lt;$D$88,"Favorable","Très favorable"))))))</f>
        <v>0</v>
      </c>
      <c r="F134" s="43"/>
      <c r="G134" s="19">
        <f>IF(OR(B134="",C134="",C134=0),"",IF(F134&lt;&gt;"",F134,B134*(1-$B$91))/C134)</f>
        <v>0</v>
      </c>
      <c r="H134" s="19">
        <f>IF(AND($B$21="Semestrielle",B134&lt;&gt;"",B133&lt;&gt;"",N(C134)+N(C133)&gt;0),(B134+B133)/(C134+C133),"")</f>
        <v>0</v>
      </c>
    </row>
    <row r="135" spans="1:8">
      <c r="A135" s="45"/>
      <c r="B135" s="43"/>
      <c r="C135" s="50"/>
      <c r="D135" s="19">
        <f>IF(OR(B135="",C135=""),"",IF(C135=0,"",B135/C135))</f>
        <v>0</v>
      </c>
      <c r="E135" s="7">
        <f>IF(B135="","",IF(C135=0,"Différé",IF(B135&lt;0,"Critique",IF(D135&lt;$B$88,"Critique",IF(D135&lt;$C$88,"Vigilance",IF(D135&lt;$D$88,"Favorable","Très favorable"))))))</f>
        <v>0</v>
      </c>
      <c r="F135" s="43"/>
      <c r="G135" s="19">
        <f>IF(OR(B135="",C135="",C135=0),"",IF(F135&lt;&gt;"",F135,B135*(1-$B$91))/C135)</f>
        <v>0</v>
      </c>
      <c r="H135" s="19"/>
    </row>
    <row r="136" spans="1:8">
      <c r="A136" s="45"/>
      <c r="B136" s="43"/>
      <c r="C136" s="50"/>
      <c r="D136" s="19">
        <f>IF(OR(B136="",C136=""),"",IF(C136=0,"",B136/C136))</f>
        <v>0</v>
      </c>
      <c r="E136" s="7">
        <f>IF(B136="","",IF(C136=0,"Différé",IF(B136&lt;0,"Critique",IF(D136&lt;$B$88,"Critique",IF(D136&lt;$C$88,"Vigilance",IF(D136&lt;$D$88,"Favorable","Très favorable"))))))</f>
        <v>0</v>
      </c>
      <c r="F136" s="43"/>
      <c r="G136" s="19">
        <f>IF(OR(B136="",C136="",C136=0),"",IF(F136&lt;&gt;"",F136,B136*(1-$B$91))/C136)</f>
        <v>0</v>
      </c>
      <c r="H136" s="19">
        <f>IF(AND($B$21="Semestrielle",B136&lt;&gt;"",B135&lt;&gt;"",N(C136)+N(C135)&gt;0),(B136+B135)/(C136+C135),"")</f>
        <v>0</v>
      </c>
    </row>
    <row r="137" spans="1:8">
      <c r="A137" s="45"/>
      <c r="B137" s="43"/>
      <c r="C137" s="50"/>
      <c r="D137" s="19">
        <f>IF(OR(B137="",C137=""),"",IF(C137=0,"",B137/C137))</f>
        <v>0</v>
      </c>
      <c r="E137" s="7">
        <f>IF(B137="","",IF(C137=0,"Différé",IF(B137&lt;0,"Critique",IF(D137&lt;$B$88,"Critique",IF(D137&lt;$C$88,"Vigilance",IF(D137&lt;$D$88,"Favorable","Très favorable"))))))</f>
        <v>0</v>
      </c>
      <c r="F137" s="43"/>
      <c r="G137" s="19">
        <f>IF(OR(B137="",C137="",C137=0),"",IF(F137&lt;&gt;"",F137,B137*(1-$B$91))/C137)</f>
        <v>0</v>
      </c>
      <c r="H137" s="19"/>
    </row>
    <row r="138" spans="1:8">
      <c r="A138" s="45"/>
      <c r="B138" s="43"/>
      <c r="C138" s="50"/>
      <c r="D138" s="19">
        <f>IF(OR(B138="",C138=""),"",IF(C138=0,"",B138/C138))</f>
        <v>0</v>
      </c>
      <c r="E138" s="7">
        <f>IF(B138="","",IF(C138=0,"Différé",IF(B138&lt;0,"Critique",IF(D138&lt;$B$88,"Critique",IF(D138&lt;$C$88,"Vigilance",IF(D138&lt;$D$88,"Favorable","Très favorable"))))))</f>
        <v>0</v>
      </c>
      <c r="F138" s="43"/>
      <c r="G138" s="19">
        <f>IF(OR(B138="",C138="",C138=0),"",IF(F138&lt;&gt;"",F138,B138*(1-$B$91))/C138)</f>
        <v>0</v>
      </c>
      <c r="H138" s="19">
        <f>IF(AND($B$21="Semestrielle",B138&lt;&gt;"",B137&lt;&gt;"",N(C138)+N(C137)&gt;0),(B138+B137)/(C138+C137),"")</f>
        <v>0</v>
      </c>
    </row>
    <row r="139" spans="1:8">
      <c r="A139" s="45"/>
      <c r="B139" s="43"/>
      <c r="C139" s="50"/>
      <c r="D139" s="19">
        <f>IF(OR(B139="",C139=""),"",IF(C139=0,"",B139/C139))</f>
        <v>0</v>
      </c>
      <c r="E139" s="7">
        <f>IF(B139="","",IF(C139=0,"Différé",IF(B139&lt;0,"Critique",IF(D139&lt;$B$88,"Critique",IF(D139&lt;$C$88,"Vigilance",IF(D139&lt;$D$88,"Favorable","Très favorable"))))))</f>
        <v>0</v>
      </c>
      <c r="F139" s="43"/>
      <c r="G139" s="19">
        <f>IF(OR(B139="",C139="",C139=0),"",IF(F139&lt;&gt;"",F139,B139*(1-$B$91))/C139)</f>
        <v>0</v>
      </c>
      <c r="H139" s="19"/>
    </row>
    <row r="140" spans="1:8">
      <c r="A140" s="45"/>
      <c r="B140" s="43"/>
      <c r="C140" s="50"/>
      <c r="D140" s="19">
        <f>IF(OR(B140="",C140=""),"",IF(C140=0,"",B140/C140))</f>
        <v>0</v>
      </c>
      <c r="E140" s="7">
        <f>IF(B140="","",IF(C140=0,"Différé",IF(B140&lt;0,"Critique",IF(D140&lt;$B$88,"Critique",IF(D140&lt;$C$88,"Vigilance",IF(D140&lt;$D$88,"Favorable","Très favorable"))))))</f>
        <v>0</v>
      </c>
      <c r="F140" s="43"/>
      <c r="G140" s="19">
        <f>IF(OR(B140="",C140="",C140=0),"",IF(F140&lt;&gt;"",F140,B140*(1-$B$91))/C140)</f>
        <v>0</v>
      </c>
      <c r="H140" s="19">
        <f>IF(AND($B$21="Semestrielle",B140&lt;&gt;"",B139&lt;&gt;"",N(C140)+N(C139)&gt;0),(B140+B139)/(C140+C139),"")</f>
        <v>0</v>
      </c>
    </row>
    <row r="141" spans="1:8">
      <c r="A141" s="45"/>
      <c r="B141" s="43"/>
      <c r="C141" s="50"/>
      <c r="D141" s="19">
        <f>IF(OR(B141="",C141=""),"",IF(C141=0,"",B141/C141))</f>
        <v>0</v>
      </c>
      <c r="E141" s="7">
        <f>IF(B141="","",IF(C141=0,"Différé",IF(B141&lt;0,"Critique",IF(D141&lt;$B$88,"Critique",IF(D141&lt;$C$88,"Vigilance",IF(D141&lt;$D$88,"Favorable","Très favorable"))))))</f>
        <v>0</v>
      </c>
      <c r="F141" s="43"/>
      <c r="G141" s="19">
        <f>IF(OR(B141="",C141="",C141=0),"",IF(F141&lt;&gt;"",F141,B141*(1-$B$91))/C141)</f>
        <v>0</v>
      </c>
      <c r="H141" s="19"/>
    </row>
    <row r="142" spans="1:8">
      <c r="A142" s="45"/>
      <c r="B142" s="43"/>
      <c r="C142" s="50"/>
      <c r="D142" s="19">
        <f>IF(OR(B142="",C142=""),"",IF(C142=0,"",B142/C142))</f>
        <v>0</v>
      </c>
      <c r="E142" s="7">
        <f>IF(B142="","",IF(C142=0,"Différé",IF(B142&lt;0,"Critique",IF(D142&lt;$B$88,"Critique",IF(D142&lt;$C$88,"Vigilance",IF(D142&lt;$D$88,"Favorable","Très favorable"))))))</f>
        <v>0</v>
      </c>
      <c r="F142" s="43"/>
      <c r="G142" s="19">
        <f>IF(OR(B142="",C142="",C142=0),"",IF(F142&lt;&gt;"",F142,B142*(1-$B$91))/C142)</f>
        <v>0</v>
      </c>
      <c r="H142" s="19">
        <f>IF(AND($B$21="Semestrielle",B142&lt;&gt;"",B141&lt;&gt;"",N(C142)+N(C141)&gt;0),(B142+B141)/(C142+C141),"")</f>
        <v>0</v>
      </c>
    </row>
    <row r="143" spans="1:8">
      <c r="A143" s="45"/>
      <c r="B143" s="43"/>
      <c r="C143" s="50"/>
      <c r="D143" s="19">
        <f>IF(OR(B143="",C143=""),"",IF(C143=0,"",B143/C143))</f>
        <v>0</v>
      </c>
      <c r="E143" s="7">
        <f>IF(B143="","",IF(C143=0,"Différé",IF(B143&lt;0,"Critique",IF(D143&lt;$B$88,"Critique",IF(D143&lt;$C$88,"Vigilance",IF(D143&lt;$D$88,"Favorable","Très favorable"))))))</f>
        <v>0</v>
      </c>
      <c r="F143" s="43"/>
      <c r="G143" s="19">
        <f>IF(OR(B143="",C143="",C143=0),"",IF(F143&lt;&gt;"",F143,B143*(1-$B$91))/C143)</f>
        <v>0</v>
      </c>
      <c r="H143" s="19"/>
    </row>
    <row r="144" spans="1:8">
      <c r="A144" s="45"/>
      <c r="B144" s="43"/>
      <c r="C144" s="50"/>
      <c r="D144" s="19">
        <f>IF(OR(B144="",C144=""),"",IF(C144=0,"",B144/C144))</f>
        <v>0</v>
      </c>
      <c r="E144" s="7">
        <f>IF(B144="","",IF(C144=0,"Différé",IF(B144&lt;0,"Critique",IF(D144&lt;$B$88,"Critique",IF(D144&lt;$C$88,"Vigilance",IF(D144&lt;$D$88,"Favorable","Très favorable"))))))</f>
        <v>0</v>
      </c>
      <c r="F144" s="43"/>
      <c r="G144" s="19">
        <f>IF(OR(B144="",C144="",C144=0),"",IF(F144&lt;&gt;"",F144,B144*(1-$B$91))/C144)</f>
        <v>0</v>
      </c>
      <c r="H144" s="19">
        <f>IF(AND($B$21="Semestrielle",B144&lt;&gt;"",B143&lt;&gt;"",N(C144)+N(C143)&gt;0),(B144+B143)/(C144+C143),"")</f>
        <v>0</v>
      </c>
    </row>
    <row r="145" spans="1:8">
      <c r="A145" s="45"/>
      <c r="B145" s="43"/>
      <c r="C145" s="50"/>
      <c r="D145" s="19">
        <f>IF(OR(B145="",C145=""),"",IF(C145=0,"",B145/C145))</f>
        <v>0</v>
      </c>
      <c r="E145" s="7">
        <f>IF(B145="","",IF(C145=0,"Différé",IF(B145&lt;0,"Critique",IF(D145&lt;$B$88,"Critique",IF(D145&lt;$C$88,"Vigilance",IF(D145&lt;$D$88,"Favorable","Très favorable"))))))</f>
        <v>0</v>
      </c>
      <c r="F145" s="43"/>
      <c r="G145" s="19">
        <f>IF(OR(B145="",C145="",C145=0),"",IF(F145&lt;&gt;"",F145,B145*(1-$B$91))/C145)</f>
        <v>0</v>
      </c>
      <c r="H145" s="19"/>
    </row>
    <row r="146" spans="1:8">
      <c r="A146" s="45"/>
      <c r="B146" s="43"/>
      <c r="C146" s="50"/>
      <c r="D146" s="19">
        <f>IF(OR(B146="",C146=""),"",IF(C146=0,"",B146/C146))</f>
        <v>0</v>
      </c>
      <c r="E146" s="7">
        <f>IF(B146="","",IF(C146=0,"Différé",IF(B146&lt;0,"Critique",IF(D146&lt;$B$88,"Critique",IF(D146&lt;$C$88,"Vigilance",IF(D146&lt;$D$88,"Favorable","Très favorable"))))))</f>
        <v>0</v>
      </c>
      <c r="F146" s="43"/>
      <c r="G146" s="19">
        <f>IF(OR(B146="",C146="",C146=0),"",IF(F146&lt;&gt;"",F146,B146*(1-$B$91))/C146)</f>
        <v>0</v>
      </c>
      <c r="H146" s="19">
        <f>IF(AND($B$21="Semestrielle",B146&lt;&gt;"",B145&lt;&gt;"",N(C146)+N(C145)&gt;0),(B146+B145)/(C146+C145),"")</f>
        <v>0</v>
      </c>
    </row>
    <row r="147" spans="1:8">
      <c r="A147" s="45"/>
      <c r="B147" s="43"/>
      <c r="C147" s="50"/>
      <c r="D147" s="19">
        <f>IF(OR(B147="",C147=""),"",IF(C147=0,"",B147/C147))</f>
        <v>0</v>
      </c>
      <c r="E147" s="7">
        <f>IF(B147="","",IF(C147=0,"Différé",IF(B147&lt;0,"Critique",IF(D147&lt;$B$88,"Critique",IF(D147&lt;$C$88,"Vigilance",IF(D147&lt;$D$88,"Favorable","Très favorable"))))))</f>
        <v>0</v>
      </c>
      <c r="F147" s="43"/>
      <c r="G147" s="19">
        <f>IF(OR(B147="",C147="",C147=0),"",IF(F147&lt;&gt;"",F147,B147*(1-$B$91))/C147)</f>
        <v>0</v>
      </c>
      <c r="H147" s="19"/>
    </row>
    <row r="148" spans="1:8">
      <c r="A148" s="45"/>
      <c r="B148" s="43"/>
      <c r="C148" s="50"/>
      <c r="D148" s="19">
        <f>IF(OR(B148="",C148=""),"",IF(C148=0,"",B148/C148))</f>
        <v>0</v>
      </c>
      <c r="E148" s="7">
        <f>IF(B148="","",IF(C148=0,"Différé",IF(B148&lt;0,"Critique",IF(D148&lt;$B$88,"Critique",IF(D148&lt;$C$88,"Vigilance",IF(D148&lt;$D$88,"Favorable","Très favorable"))))))</f>
        <v>0</v>
      </c>
      <c r="F148" s="43"/>
      <c r="G148" s="19">
        <f>IF(OR(B148="",C148="",C148=0),"",IF(F148&lt;&gt;"",F148,B148*(1-$B$91))/C148)</f>
        <v>0</v>
      </c>
      <c r="H148" s="19">
        <f>IF(AND($B$21="Semestrielle",B148&lt;&gt;"",B147&lt;&gt;"",N(C148)+N(C147)&gt;0),(B148+B147)/(C148+C147),"")</f>
        <v>0</v>
      </c>
    </row>
    <row r="149" spans="1:8">
      <c r="A149" s="45"/>
      <c r="B149" s="43"/>
      <c r="C149" s="50"/>
      <c r="D149" s="19">
        <f>IF(OR(B149="",C149=""),"",IF(C149=0,"",B149/C149))</f>
        <v>0</v>
      </c>
      <c r="E149" s="7">
        <f>IF(B149="","",IF(C149=0,"Différé",IF(B149&lt;0,"Critique",IF(D149&lt;$B$88,"Critique",IF(D149&lt;$C$88,"Vigilance",IF(D149&lt;$D$88,"Favorable","Très favorable"))))))</f>
        <v>0</v>
      </c>
      <c r="F149" s="43"/>
      <c r="G149" s="19">
        <f>IF(OR(B149="",C149="",C149=0),"",IF(F149&lt;&gt;"",F149,B149*(1-$B$91))/C149)</f>
        <v>0</v>
      </c>
      <c r="H149" s="19"/>
    </row>
    <row r="150" spans="1:8">
      <c r="A150" s="45"/>
      <c r="B150" s="43"/>
      <c r="C150" s="50"/>
      <c r="D150" s="19">
        <f>IF(OR(B150="",C150=""),"",IF(C150=0,"",B150/C150))</f>
        <v>0</v>
      </c>
      <c r="E150" s="7">
        <f>IF(B150="","",IF(C150=0,"Différé",IF(B150&lt;0,"Critique",IF(D150&lt;$B$88,"Critique",IF(D150&lt;$C$88,"Vigilance",IF(D150&lt;$D$88,"Favorable","Très favorable"))))))</f>
        <v>0</v>
      </c>
      <c r="F150" s="43"/>
      <c r="G150" s="19">
        <f>IF(OR(B150="",C150="",C150=0),"",IF(F150&lt;&gt;"",F150,B150*(1-$B$91))/C150)</f>
        <v>0</v>
      </c>
      <c r="H150" s="19">
        <f>IF(AND($B$21="Semestrielle",B150&lt;&gt;"",B149&lt;&gt;"",N(C150)+N(C149)&gt;0),(B150+B149)/(C150+C149),"")</f>
        <v>0</v>
      </c>
    </row>
    <row r="151" spans="1:8">
      <c r="A151" s="45"/>
      <c r="B151" s="43"/>
      <c r="C151" s="50"/>
      <c r="D151" s="19">
        <f>IF(OR(B151="",C151=""),"",IF(C151=0,"",B151/C151))</f>
        <v>0</v>
      </c>
      <c r="E151" s="7">
        <f>IF(B151="","",IF(C151=0,"Différé",IF(B151&lt;0,"Critique",IF(D151&lt;$B$88,"Critique",IF(D151&lt;$C$88,"Vigilance",IF(D151&lt;$D$88,"Favorable","Très favorable"))))))</f>
        <v>0</v>
      </c>
      <c r="F151" s="43"/>
      <c r="G151" s="19">
        <f>IF(OR(B151="",C151="",C151=0),"",IF(F151&lt;&gt;"",F151,B151*(1-$B$91))/C151)</f>
        <v>0</v>
      </c>
      <c r="H151" s="19"/>
    </row>
    <row r="152" spans="1:8">
      <c r="A152" s="45"/>
      <c r="B152" s="43"/>
      <c r="C152" s="50"/>
      <c r="D152" s="19">
        <f>IF(OR(B152="",C152=""),"",IF(C152=0,"",B152/C152))</f>
        <v>0</v>
      </c>
      <c r="E152" s="7">
        <f>IF(B152="","",IF(C152=0,"Différé",IF(B152&lt;0,"Critique",IF(D152&lt;$B$88,"Critique",IF(D152&lt;$C$88,"Vigilance",IF(D152&lt;$D$88,"Favorable","Très favorable"))))))</f>
        <v>0</v>
      </c>
      <c r="F152" s="43"/>
      <c r="G152" s="19">
        <f>IF(OR(B152="",C152="",C152=0),"",IF(F152&lt;&gt;"",F152,B152*(1-$B$91))/C152)</f>
        <v>0</v>
      </c>
      <c r="H152" s="19">
        <f>IF(AND($B$21="Semestrielle",B152&lt;&gt;"",B151&lt;&gt;"",N(C152)+N(C151)&gt;0),(B152+B151)/(C152+C151),"")</f>
        <v>0</v>
      </c>
    </row>
    <row r="154" spans="1:8">
      <c r="A154" s="21" t="s">
        <v>928</v>
      </c>
      <c r="D154" s="38">
        <f>IF(COUNT(D93:D152)=0,"",MIN(D93:D152))</f>
        <v>0</v>
      </c>
      <c r="E154" s="7">
        <f>IF(D154="","",IF(F154&gt;0,"Critique",IF(D154&lt;$B$88,"Critique",IF(D154&lt;$C$88,"Vigilance",IF(D154&lt;$D$88,"Favorable","Très favorable")))))</f>
        <v>0</v>
      </c>
      <c r="F154" s="35">
        <f>COUNTIF(B93:B152,"&lt;0")</f>
        <v>0</v>
      </c>
    </row>
    <row r="155" spans="1:8">
      <c r="A155" s="21" t="s">
        <v>929</v>
      </c>
      <c r="D155" s="38">
        <f>IF(COUNT(G93:G152)=0,"",MIN(G93:G152))</f>
        <v>0</v>
      </c>
      <c r="E155" s="7">
        <f>IF(D155="","",IF(D155&lt;$B$88,"Critique",IF(D155&lt;$C$88,"Vigilance",IF(D155&lt;$D$88,"Favorable","Très favorable"))))</f>
        <v>0</v>
      </c>
    </row>
    <row r="156" spans="1:8">
      <c r="A156" s="17" t="s">
        <v>930</v>
      </c>
      <c r="D156" s="19">
        <f>IF(SUM(C93:C152)=0,"",SUM(B93:B152)/SUM(C93:C152))</f>
        <v>0</v>
      </c>
    </row>
    <row r="157" spans="1:8">
      <c r="A157" s="17" t="s">
        <v>931</v>
      </c>
      <c r="D157" s="19">
        <f>IF(COUNT(H93:H152)=0,"",MIN(H93:H152))</f>
        <v>0</v>
      </c>
    </row>
    <row r="158" spans="1:8">
      <c r="A158" s="17" t="s">
        <v>932</v>
      </c>
      <c r="D158" s="15">
        <f>COUNT(B93:B152)</f>
        <v>0</v>
      </c>
    </row>
    <row r="161" spans="1:20">
      <c r="A161" s="3" t="s">
        <v>933</v>
      </c>
      <c r="B161" s="3"/>
      <c r="C161" s="3"/>
      <c r="D161" s="3"/>
      <c r="E161" s="3"/>
      <c r="F161" s="3"/>
      <c r="G161" s="3"/>
      <c r="H161" s="3"/>
    </row>
    <row r="162" spans="1:20" ht="30" customHeight="1">
      <c r="A162" s="11" t="s">
        <v>76</v>
      </c>
      <c r="B162" s="11" t="s">
        <v>108</v>
      </c>
      <c r="C162" s="11" t="s">
        <v>77</v>
      </c>
      <c r="D162" s="11" t="s">
        <v>934</v>
      </c>
      <c r="E162" s="11" t="s">
        <v>935</v>
      </c>
      <c r="F162" s="11"/>
      <c r="G162" s="11"/>
      <c r="H162" s="11" t="s">
        <v>936</v>
      </c>
    </row>
    <row r="163" spans="1:20">
      <c r="A163" s="13" t="s">
        <v>937</v>
      </c>
      <c r="B163" s="7">
        <f>IF($D$154="","",IF($F$154&gt;0,P_Ancre_C,IF($D$154&lt;$B$88,P_Ancre_C,IF($D$154&lt;$C$88,P_Ancre_V,IF($D$154&lt;$D$88,P_Ancre_F,P_Ancre_TF)))))</f>
        <v>0</v>
      </c>
      <c r="C163" s="28">
        <f>INDEX(P_PoidsN,1)</f>
        <v>0</v>
      </c>
      <c r="D163" s="20">
        <f>IF(ISNUMBER(B163),B163,P_InfoInsuff)*C163</f>
        <v>0</v>
      </c>
      <c r="E163" s="13">
        <f>IF($D$154="","",IF($F$154&gt;0,"CFADS négatif sur au moins une période : Critique d'office","DSCR minimum "&amp;FIXED($D$154,3)&amp;" face au seuil critique "&amp;FIXED($B$88,2)&amp;" du couple "&amp;$B$18&amp;" × "&amp;$B$19))</f>
        <v>0</v>
      </c>
      <c r="F163" s="13"/>
      <c r="G163" s="13"/>
      <c r="H163" s="13"/>
    </row>
    <row r="164" spans="1:20">
      <c r="A164" s="13" t="s">
        <v>938</v>
      </c>
      <c r="B164" s="7">
        <f>IF($D$155="","",IF($D$155&lt;$B$88,P_Ancre_C,IF($D$155&lt;$C$88,P_Ancre_V,IF($D$155&lt;$D$88,P_Ancre_F,P_Ancre_TF))))</f>
        <v>0</v>
      </c>
      <c r="C164" s="28">
        <f>INDEX(P_PoidsN,2)</f>
        <v>0</v>
      </c>
      <c r="D164" s="20">
        <f>IF(ISNUMBER(B164),B164,P_InfoInsuff)*C164</f>
        <v>0</v>
      </c>
      <c r="E164" s="13">
        <f>IF($D$155="","","DSCR stressé minimum "&amp;FIXED($D$155,3)&amp;" — "&amp;$C$91)</f>
        <v>0</v>
      </c>
      <c r="F164" s="13"/>
      <c r="G164" s="13"/>
      <c r="H164" s="13"/>
    </row>
    <row r="165" spans="1:20">
      <c r="A165" s="13" t="s">
        <v>939</v>
      </c>
      <c r="B165" s="7">
        <f>IF($B$20="P1",IF($B$51="","",IF($B$51&gt;=P_N3_TF,P_Ancre_TF,IF($B$51&gt;=P_N3_F,P_Ancre_F,IF(AND($B$51&gt;=P_N3_V,$B$53="Oui"),P_Ancre_V,P_Ancre_C)))),IF($B$171="","",$B$171))</f>
        <v>0</v>
      </c>
      <c r="C165" s="28">
        <f>INDEX(P_PoidsN,3)</f>
        <v>0</v>
      </c>
      <c r="D165" s="20">
        <f>IF(ISNUMBER(B165),B165,P_InfoInsuff)*C165</f>
        <v>0</v>
      </c>
      <c r="E165" s="13">
        <f>IF($B$20="P1",IF($B$51="","","Phase P1 : test de financement à terminaison, couverture "&amp;FIXED($B$51*100,1)&amp;" %"),"LLCR "&amp;IF($B$172="","non renseigné",FIXED($B$172,2))&amp;" — note N3 saisie ligne 171")</f>
        <v>0</v>
      </c>
      <c r="F165" s="13"/>
      <c r="G165" s="13"/>
      <c r="H165" s="13"/>
    </row>
    <row r="166" spans="1:20" ht="30" customHeight="1">
      <c r="A166" s="13" t="s">
        <v>940</v>
      </c>
      <c r="B166" s="7">
        <f>IF($S166="","",CHOOSE($S166,P_Ancre_TF,P_Ancre_F,P_Ancre_V,P_Ancre_C,"Info. insuffisante"))</f>
        <v>0</v>
      </c>
      <c r="C166" s="28">
        <f>INDEX(P_PoidsN,4)</f>
        <v>0</v>
      </c>
      <c r="D166" s="20">
        <f>IF(ISNUMBER(B166),B166,P_InfoInsuff)*C166</f>
        <v>0</v>
      </c>
      <c r="E166" s="51"/>
      <c r="F166" s="51"/>
      <c r="G166" s="51"/>
      <c r="H166" s="47"/>
      <c r="L166" s="35" t="s">
        <v>84</v>
      </c>
      <c r="M166" s="35">
        <f>MATCH($L166,R_Cles,0)</f>
        <v>0</v>
      </c>
      <c r="S166" s="35">
        <f>IF($E166="","",IFERROR(MATCH($E166,INDEX(R_Opts,$M166,0),0),""))</f>
        <v>0</v>
      </c>
      <c r="T166" s="35">
        <f>IF(AND(N($S166)&gt;=4,$H166=""),ROW(),"")</f>
        <v>0</v>
      </c>
    </row>
    <row r="167" spans="1:20" ht="30" customHeight="1">
      <c r="A167" s="13" t="s">
        <v>942</v>
      </c>
      <c r="B167" s="7">
        <f>IF($S167="","",CHOOSE($S167,P_Ancre_TF,P_Ancre_F,P_Ancre_V,P_Ancre_C,"Info. insuffisante"))</f>
        <v>0</v>
      </c>
      <c r="C167" s="28">
        <f>INDEX(P_PoidsN,5)</f>
        <v>0</v>
      </c>
      <c r="D167" s="20">
        <f>IF(ISNUMBER(B167),B167,P_InfoInsuff)*C167</f>
        <v>0</v>
      </c>
      <c r="E167" s="51"/>
      <c r="F167" s="51"/>
      <c r="G167" s="51"/>
      <c r="H167" s="47"/>
      <c r="L167" s="35" t="s">
        <v>86</v>
      </c>
      <c r="M167" s="35">
        <f>MATCH($L167,R_Cles,0)</f>
        <v>0</v>
      </c>
      <c r="S167" s="35">
        <f>IF($E167="","",IFERROR(MATCH($E167,INDEX(R_Opts,$M167,0),0),""))</f>
        <v>0</v>
      </c>
      <c r="T167" s="35">
        <f>IF(AND(N($S167)&gt;=4,$H167=""),ROW(),"")</f>
        <v>0</v>
      </c>
    </row>
    <row r="168" spans="1:20" ht="30" customHeight="1">
      <c r="A168" s="13" t="s">
        <v>944</v>
      </c>
      <c r="B168" s="7">
        <f>IF($S168="","",CHOOSE($S168,P_Ancre_TF,P_Ancre_F,P_Ancre_V,P_Ancre_C,"Info. insuffisante"))</f>
        <v>0</v>
      </c>
      <c r="C168" s="28">
        <f>INDEX(P_PoidsN,6)</f>
        <v>0</v>
      </c>
      <c r="D168" s="20">
        <f>IF(ISNUMBER(B168),B168,P_InfoInsuff)*C168</f>
        <v>0</v>
      </c>
      <c r="E168" s="51"/>
      <c r="F168" s="51"/>
      <c r="G168" s="51"/>
      <c r="H168" s="47"/>
      <c r="L168" s="35" t="s">
        <v>88</v>
      </c>
      <c r="M168" s="35">
        <f>MATCH($L168,R_Cles,0)</f>
        <v>0</v>
      </c>
      <c r="S168" s="35">
        <f>IF($E168="","",IFERROR(MATCH($E168,INDEX(R_Opts,$M168,0),0),""))</f>
        <v>0</v>
      </c>
      <c r="T168" s="35">
        <f>IF(AND(N($S168)&gt;=4,$H168=""),ROW(),"")</f>
        <v>0</v>
      </c>
    </row>
    <row r="169" spans="1:20">
      <c r="A169" s="21" t="s">
        <v>946</v>
      </c>
      <c r="D169" s="14">
        <f>SUM(D163:D168)</f>
        <v>0</v>
      </c>
    </row>
    <row r="170" spans="1:20">
      <c r="A170" s="11" t="s">
        <v>947</v>
      </c>
      <c r="B170" s="11"/>
      <c r="C170" s="11"/>
      <c r="D170" s="11"/>
      <c r="E170" s="11"/>
      <c r="F170" s="11"/>
      <c r="G170" s="11"/>
      <c r="H170" s="11"/>
    </row>
    <row r="171" spans="1:20">
      <c r="A171" s="13" t="s">
        <v>948</v>
      </c>
      <c r="B171" s="5"/>
    </row>
    <row r="172" spans="1:20">
      <c r="A172" s="13" t="s">
        <v>949</v>
      </c>
      <c r="B172" s="50"/>
    </row>
    <row r="173" spans="1:20">
      <c r="A173" s="13" t="s">
        <v>950</v>
      </c>
      <c r="B173" s="43"/>
    </row>
    <row r="174" spans="1:20">
      <c r="A174" s="13" t="s">
        <v>951</v>
      </c>
      <c r="B174" s="49"/>
    </row>
    <row r="175" spans="1:20">
      <c r="A175" s="13" t="s">
        <v>952</v>
      </c>
      <c r="B175" s="49"/>
    </row>
    <row r="176" spans="1:20">
      <c r="A176" s="13" t="s">
        <v>953</v>
      </c>
      <c r="B176" s="5"/>
    </row>
    <row r="177" spans="1:20">
      <c r="A177" s="13" t="s">
        <v>954</v>
      </c>
      <c r="B177" s="49"/>
    </row>
    <row r="178" spans="1:20">
      <c r="A178" s="13" t="s">
        <v>955</v>
      </c>
      <c r="B178" s="5"/>
    </row>
    <row r="179" spans="1:20">
      <c r="A179" s="13" t="s">
        <v>956</v>
      </c>
      <c r="B179" s="43"/>
    </row>
    <row r="180" spans="1:20">
      <c r="A180" s="13" t="s">
        <v>957</v>
      </c>
      <c r="B180" s="43"/>
    </row>
    <row r="181" spans="1:20">
      <c r="A181" s="13" t="s">
        <v>958</v>
      </c>
      <c r="B181" s="5"/>
    </row>
    <row r="182" spans="1:20">
      <c r="A182" s="13" t="s">
        <v>959</v>
      </c>
      <c r="B182" s="5"/>
    </row>
    <row r="183" spans="1:20">
      <c r="A183" s="13" t="s">
        <v>960</v>
      </c>
      <c r="B183" s="5"/>
    </row>
    <row r="184" spans="1:20">
      <c r="A184" s="13" t="s">
        <v>961</v>
      </c>
      <c r="B184" s="5"/>
    </row>
    <row r="185" spans="1:20">
      <c r="A185" s="13" t="s">
        <v>962</v>
      </c>
      <c r="B185" s="43"/>
    </row>
    <row r="186" spans="1:20">
      <c r="A186" s="13" t="s">
        <v>963</v>
      </c>
      <c r="B186" s="5"/>
    </row>
    <row r="188" spans="1:20">
      <c r="A188" s="3" t="s">
        <v>964</v>
      </c>
      <c r="B188" s="3"/>
      <c r="C188" s="3"/>
      <c r="D188" s="3"/>
      <c r="E188" s="3"/>
      <c r="F188" s="3"/>
      <c r="G188" s="3"/>
      <c r="H188" s="3"/>
    </row>
    <row r="189" spans="1:20" ht="30" customHeight="1">
      <c r="A189" s="11" t="s">
        <v>965</v>
      </c>
      <c r="B189" s="11" t="s">
        <v>108</v>
      </c>
      <c r="C189" s="11" t="s">
        <v>77</v>
      </c>
      <c r="D189" s="11" t="s">
        <v>966</v>
      </c>
      <c r="E189" s="11" t="s">
        <v>967</v>
      </c>
      <c r="F189" s="11"/>
      <c r="G189" s="11"/>
      <c r="H189" s="11" t="s">
        <v>968</v>
      </c>
    </row>
    <row r="190" spans="1:20">
      <c r="A190" s="21" t="s">
        <v>969</v>
      </c>
      <c r="B190" s="17"/>
      <c r="C190" s="28">
        <f>IFERROR(INDEX(P_PoidsDom,1,MATCH($B$20,P_PoidsHdr,0)),"")</f>
        <v>0</v>
      </c>
      <c r="D190" s="14">
        <f>IF(N(C190)=0,"",SUMPRODUCT(B191:B193,C191:C193)+P_InfoInsuff*SUMPRODUCT((1-ISNUMBER(B191:B193))*C191:C193))</f>
        <v>0</v>
      </c>
      <c r="E190" s="47"/>
      <c r="F190" s="47"/>
      <c r="G190" s="47"/>
      <c r="H190" s="47"/>
      <c r="J190" s="35" t="s">
        <v>971</v>
      </c>
      <c r="K190" s="35">
        <f>IF(N(C190)&gt;0,1,0)</f>
        <v>0</v>
      </c>
      <c r="M190" s="35">
        <f>N(C190)*SUMPRODUCT(ISNUMBER(B191:B193)*C191:C193)</f>
        <v>0</v>
      </c>
    </row>
    <row r="191" spans="1:20" ht="30" customHeight="1">
      <c r="A191" s="13" t="s">
        <v>972</v>
      </c>
      <c r="B191" s="7">
        <f>IF($S191="","",CHOOSE($S191,P_Ancre_TF,P_Ancre_F,P_Ancre_V,P_Ancre_C,"Info. insuffisante"))</f>
        <v>0</v>
      </c>
      <c r="C191" s="28">
        <f>INDEX(P_SCPoids,MATCH(L191,P_SCCle,0))</f>
        <v>0</v>
      </c>
      <c r="D191" s="17"/>
      <c r="E191" s="51"/>
      <c r="F191" s="51"/>
      <c r="G191" s="51"/>
      <c r="H191" s="47"/>
      <c r="J191" s="35" t="s">
        <v>973</v>
      </c>
      <c r="K191" s="35">
        <f>K190</f>
        <v>0</v>
      </c>
      <c r="L191" s="35" t="s">
        <v>205</v>
      </c>
      <c r="M191" s="35">
        <f>MATCH($L191,R_Cles,0)</f>
        <v>0</v>
      </c>
      <c r="P191" s="35">
        <f>IF(AND(K191=1,B191=""),ROW(),"")</f>
        <v>0</v>
      </c>
      <c r="S191" s="35">
        <f>IF($E191="","",IFERROR(MATCH($E191,INDEX(R_Opts,$M191,0),0),""))</f>
        <v>0</v>
      </c>
      <c r="T191" s="35">
        <f>IF(AND(K191=1,N($S191)&gt;=4,$H191=""),ROW(),"")</f>
        <v>0</v>
      </c>
    </row>
    <row r="192" spans="1:20" ht="30" customHeight="1">
      <c r="A192" s="13" t="s">
        <v>974</v>
      </c>
      <c r="B192" s="7">
        <f>IF($S192="","",CHOOSE($S192,P_Ancre_TF,P_Ancre_F,P_Ancre_V,P_Ancre_C,"Info. insuffisante"))</f>
        <v>0</v>
      </c>
      <c r="C192" s="28">
        <f>INDEX(P_SCPoids,MATCH(L192,P_SCCle,0))</f>
        <v>0</v>
      </c>
      <c r="D192" s="17"/>
      <c r="E192" s="51"/>
      <c r="F192" s="51"/>
      <c r="G192" s="51"/>
      <c r="H192" s="47"/>
      <c r="J192" s="35" t="s">
        <v>973</v>
      </c>
      <c r="K192" s="35">
        <f>K190</f>
        <v>0</v>
      </c>
      <c r="L192" s="35" t="s">
        <v>207</v>
      </c>
      <c r="M192" s="35">
        <f>MATCH($L192,R_Cles,0)</f>
        <v>0</v>
      </c>
      <c r="P192" s="35">
        <f>IF(AND(K192=1,B192=""),ROW(),"")</f>
        <v>0</v>
      </c>
      <c r="S192" s="35">
        <f>IF($E192="","",IFERROR(MATCH($E192,INDEX(R_Opts,$M192,0),0),""))</f>
        <v>0</v>
      </c>
      <c r="T192" s="35">
        <f>IF(AND(K192=1,N($S192)&gt;=4,$H192=""),ROW(),"")</f>
        <v>0</v>
      </c>
    </row>
    <row r="193" spans="1:20" ht="30" customHeight="1">
      <c r="A193" s="13" t="s">
        <v>975</v>
      </c>
      <c r="B193" s="7">
        <f>IF($S193="","",CHOOSE($S193,P_Ancre_TF,P_Ancre_F,P_Ancre_V,P_Ancre_C,"Info. insuffisante"))</f>
        <v>0</v>
      </c>
      <c r="C193" s="28">
        <f>INDEX(P_SCPoids,MATCH(L193,P_SCCle,0))</f>
        <v>0</v>
      </c>
      <c r="D193" s="17"/>
      <c r="E193" s="51"/>
      <c r="F193" s="51"/>
      <c r="G193" s="51"/>
      <c r="H193" s="47"/>
      <c r="J193" s="35" t="s">
        <v>973</v>
      </c>
      <c r="K193" s="35">
        <f>K190</f>
        <v>0</v>
      </c>
      <c r="L193" s="35" t="s">
        <v>209</v>
      </c>
      <c r="M193" s="35">
        <f>MATCH($L193,R_Cles,0)</f>
        <v>0</v>
      </c>
      <c r="P193" s="35">
        <f>IF(AND(K193=1,B193=""),ROW(),"")</f>
        <v>0</v>
      </c>
      <c r="S193" s="35">
        <f>IF($E193="","",IFERROR(MATCH($E193,INDEX(R_Opts,$M193,0),0),""))</f>
        <v>0</v>
      </c>
      <c r="T193" s="35">
        <f>IF(AND(K193=1,N($S193)&gt;=4,$H193=""),ROW(),"")</f>
        <v>0</v>
      </c>
    </row>
    <row r="194" spans="1:20">
      <c r="A194" s="21" t="s">
        <v>976</v>
      </c>
      <c r="B194" s="17"/>
      <c r="C194" s="28">
        <f>IFERROR(INDEX(P_PoidsDom,2,MATCH($B$20,P_PoidsHdr,0)),"")</f>
        <v>0</v>
      </c>
      <c r="D194" s="14">
        <f>IF(N(C194)=0,"",SUMPRODUCT(B195:B197,C195:C197)+P_InfoInsuff*SUMPRODUCT((1-ISNUMBER(B195:B197))*C195:C197))</f>
        <v>0</v>
      </c>
      <c r="E194" s="47"/>
      <c r="F194" s="47"/>
      <c r="G194" s="47"/>
      <c r="H194" s="47"/>
      <c r="J194" s="35" t="s">
        <v>971</v>
      </c>
      <c r="K194" s="35">
        <f>IF(N(C194)&gt;0,1,0)</f>
        <v>0</v>
      </c>
      <c r="M194" s="35">
        <f>N(C194)*SUMPRODUCT(ISNUMBER(B195:B197)*C195:C197)</f>
        <v>0</v>
      </c>
    </row>
    <row r="195" spans="1:20" ht="30" customHeight="1">
      <c r="A195" s="13" t="s">
        <v>977</v>
      </c>
      <c r="B195" s="7">
        <f>IF($S195="","",CHOOSE($S195,P_Ancre_TF,P_Ancre_F,P_Ancre_V,P_Ancre_C,"Info. insuffisante"))</f>
        <v>0</v>
      </c>
      <c r="C195" s="28">
        <f>INDEX(P_SCPoids,MATCH(L195,P_SCCle,0))</f>
        <v>0</v>
      </c>
      <c r="D195" s="17"/>
      <c r="E195" s="51"/>
      <c r="F195" s="51"/>
      <c r="G195" s="51"/>
      <c r="H195" s="47"/>
      <c r="J195" s="35" t="s">
        <v>973</v>
      </c>
      <c r="K195" s="35">
        <f>K194</f>
        <v>0</v>
      </c>
      <c r="L195" s="35" t="s">
        <v>211</v>
      </c>
      <c r="M195" s="35">
        <f>IFERROR(MATCH($L195&amp;"|"&amp;$B$19,R_Cles,0),MATCH($L195,R_Cles,0))</f>
        <v>0</v>
      </c>
      <c r="P195" s="35">
        <f>IF(AND(K195=1,B195=""),ROW(),"")</f>
        <v>0</v>
      </c>
      <c r="S195" s="35">
        <f>IF($E195="","",IFERROR(MATCH($E195,INDEX(R_Opts,$M195,0),0),""))</f>
        <v>0</v>
      </c>
      <c r="T195" s="35">
        <f>IF(AND(K195=1,N($S195)&gt;=4,$H195=""),ROW(),"")</f>
        <v>0</v>
      </c>
    </row>
    <row r="196" spans="1:20" ht="30" customHeight="1">
      <c r="A196" s="13" t="s">
        <v>978</v>
      </c>
      <c r="B196" s="7">
        <f>IF($S196="","",CHOOSE($S196,P_Ancre_TF,P_Ancre_F,P_Ancre_V,P_Ancre_C,"Info. insuffisante"))</f>
        <v>0</v>
      </c>
      <c r="C196" s="28">
        <f>INDEX(P_SCPoids,MATCH(L196,P_SCCle,0))</f>
        <v>0</v>
      </c>
      <c r="D196" s="17"/>
      <c r="E196" s="51"/>
      <c r="F196" s="51"/>
      <c r="G196" s="51"/>
      <c r="H196" s="47"/>
      <c r="J196" s="35" t="s">
        <v>973</v>
      </c>
      <c r="K196" s="35">
        <f>K194</f>
        <v>0</v>
      </c>
      <c r="L196" s="35" t="s">
        <v>213</v>
      </c>
      <c r="M196" s="35">
        <f>MATCH($L196,R_Cles,0)</f>
        <v>0</v>
      </c>
      <c r="P196" s="35">
        <f>IF(AND(K196=1,B196=""),ROW(),"")</f>
        <v>0</v>
      </c>
      <c r="S196" s="35">
        <f>IF($E196="","",IFERROR(MATCH($E196,INDEX(R_Opts,$M196,0),0),""))</f>
        <v>0</v>
      </c>
      <c r="T196" s="35">
        <f>IF(AND(K196=1,N($S196)&gt;=4,$H196=""),ROW(),"")</f>
        <v>0</v>
      </c>
    </row>
    <row r="197" spans="1:20" ht="30" customHeight="1">
      <c r="A197" s="13" t="s">
        <v>979</v>
      </c>
      <c r="B197" s="7">
        <f>IF($S197="","",CHOOSE($S197,P_Ancre_TF,P_Ancre_F,P_Ancre_V,P_Ancre_C,"Info. insuffisante"))</f>
        <v>0</v>
      </c>
      <c r="C197" s="28">
        <f>INDEX(P_SCPoids,MATCH(L197,P_SCCle,0))</f>
        <v>0</v>
      </c>
      <c r="D197" s="17"/>
      <c r="E197" s="51"/>
      <c r="F197" s="51"/>
      <c r="G197" s="51"/>
      <c r="H197" s="47"/>
      <c r="J197" s="35" t="s">
        <v>973</v>
      </c>
      <c r="K197" s="35">
        <f>K194</f>
        <v>0</v>
      </c>
      <c r="L197" s="35" t="s">
        <v>215</v>
      </c>
      <c r="M197" s="35">
        <f>MATCH($L197,R_Cles,0)</f>
        <v>0</v>
      </c>
      <c r="P197" s="35">
        <f>IF(AND(K197=1,B197=""),ROW(),"")</f>
        <v>0</v>
      </c>
      <c r="S197" s="35">
        <f>IF($E197="","",IFERROR(MATCH($E197,INDEX(R_Opts,$M197,0),0),""))</f>
        <v>0</v>
      </c>
      <c r="T197" s="35">
        <f>IF(AND(K197=1,N($S197)&gt;=4,$H197=""),ROW(),"")</f>
        <v>0</v>
      </c>
    </row>
    <row r="198" spans="1:20">
      <c r="A198" s="21" t="s">
        <v>980</v>
      </c>
      <c r="B198" s="17"/>
      <c r="C198" s="28">
        <f>IFERROR(INDEX(P_PoidsDom,3,MATCH($B$20,P_PoidsHdr,0)),"")</f>
        <v>0</v>
      </c>
      <c r="D198" s="14">
        <f>IF(N(C198)=0,"",SUMPRODUCT(B199:B201,C199:C201)+P_InfoInsuff*SUMPRODUCT((1-ISNUMBER(B199:B201))*C199:C201))</f>
        <v>0</v>
      </c>
      <c r="E198" s="47"/>
      <c r="F198" s="47"/>
      <c r="G198" s="47"/>
      <c r="H198" s="47"/>
      <c r="J198" s="35" t="s">
        <v>971</v>
      </c>
      <c r="K198" s="35">
        <f>IF(N(C198)&gt;0,1,0)</f>
        <v>0</v>
      </c>
      <c r="M198" s="35">
        <f>N(C198)*SUMPRODUCT(ISNUMBER(B199:B201)*C199:C201)</f>
        <v>0</v>
      </c>
    </row>
    <row r="199" spans="1:20" ht="30" customHeight="1">
      <c r="A199" s="13" t="s">
        <v>982</v>
      </c>
      <c r="B199" s="7">
        <f>IF($S199="","",CHOOSE($S199,P_Ancre_TF,P_Ancre_F,P_Ancre_V,P_Ancre_C,"Info. insuffisante"))</f>
        <v>0</v>
      </c>
      <c r="C199" s="28">
        <f>INDEX(P_SCPoids,MATCH(L199,P_SCCle,0))</f>
        <v>0</v>
      </c>
      <c r="D199" s="17"/>
      <c r="E199" s="51"/>
      <c r="F199" s="51"/>
      <c r="G199" s="51"/>
      <c r="H199" s="47"/>
      <c r="J199" s="35" t="s">
        <v>973</v>
      </c>
      <c r="K199" s="35">
        <f>K198</f>
        <v>0</v>
      </c>
      <c r="L199" s="35" t="s">
        <v>217</v>
      </c>
      <c r="M199" s="35">
        <f>MATCH($L199,R_Cles,0)</f>
        <v>0</v>
      </c>
      <c r="P199" s="35">
        <f>IF(AND(K199=1,B199=""),ROW(),"")</f>
        <v>0</v>
      </c>
      <c r="S199" s="35">
        <f>IF($E199="","",IFERROR(MATCH($E199,INDEX(R_Opts,$M199,0),0),""))</f>
        <v>0</v>
      </c>
      <c r="T199" s="35">
        <f>IF(AND(K199=1,N($S199)&gt;=4,$H199=""),ROW(),"")</f>
        <v>0</v>
      </c>
    </row>
    <row r="200" spans="1:20" ht="30" customHeight="1">
      <c r="A200" s="13" t="s">
        <v>983</v>
      </c>
      <c r="B200" s="7">
        <f>IF($S200="","",CHOOSE($S200,P_Ancre_TF,P_Ancre_F,P_Ancre_V,P_Ancre_C,"Info. insuffisante"))</f>
        <v>0</v>
      </c>
      <c r="C200" s="28">
        <f>INDEX(P_SCPoids,MATCH(L200,P_SCCle,0))</f>
        <v>0</v>
      </c>
      <c r="D200" s="17"/>
      <c r="E200" s="51"/>
      <c r="F200" s="51"/>
      <c r="G200" s="51"/>
      <c r="H200" s="47"/>
      <c r="J200" s="35" t="s">
        <v>973</v>
      </c>
      <c r="K200" s="35">
        <f>K198</f>
        <v>0</v>
      </c>
      <c r="L200" s="35" t="s">
        <v>219</v>
      </c>
      <c r="M200" s="35">
        <f>MATCH($L200,R_Cles,0)</f>
        <v>0</v>
      </c>
      <c r="P200" s="35">
        <f>IF(AND(K200=1,B200=""),ROW(),"")</f>
        <v>0</v>
      </c>
      <c r="S200" s="35">
        <f>IF($E200="","",IFERROR(MATCH($E200,INDEX(R_Opts,$M200,0),0),""))</f>
        <v>0</v>
      </c>
      <c r="T200" s="35">
        <f>IF(AND(K200=1,N($S200)&gt;=4,$H200=""),ROW(),"")</f>
        <v>0</v>
      </c>
    </row>
    <row r="201" spans="1:20" ht="30" customHeight="1">
      <c r="A201" s="13" t="s">
        <v>984</v>
      </c>
      <c r="B201" s="7">
        <f>IF($S201="","",CHOOSE($S201,P_Ancre_TF,P_Ancre_F,P_Ancre_V,P_Ancre_C,"Info. insuffisante"))</f>
        <v>0</v>
      </c>
      <c r="C201" s="28">
        <f>INDEX(P_SCPoids,MATCH(L201,P_SCCle,0))</f>
        <v>0</v>
      </c>
      <c r="D201" s="17"/>
      <c r="E201" s="51"/>
      <c r="F201" s="51"/>
      <c r="G201" s="51"/>
      <c r="H201" s="47"/>
      <c r="J201" s="35" t="s">
        <v>973</v>
      </c>
      <c r="K201" s="35">
        <f>K198</f>
        <v>0</v>
      </c>
      <c r="L201" s="35" t="s">
        <v>221</v>
      </c>
      <c r="M201" s="35">
        <f>MATCH($L201,R_Cles,0)</f>
        <v>0</v>
      </c>
      <c r="P201" s="35">
        <f>IF(AND(K201=1,B201=""),ROW(),"")</f>
        <v>0</v>
      </c>
      <c r="S201" s="35">
        <f>IF($E201="","",IFERROR(MATCH($E201,INDEX(R_Opts,$M201,0),0),""))</f>
        <v>0</v>
      </c>
      <c r="T201" s="35">
        <f>IF(AND(K201=1,N($S201)&gt;=4,$H201=""),ROW(),"")</f>
        <v>0</v>
      </c>
    </row>
    <row r="202" spans="1:20">
      <c r="A202" s="21" t="s">
        <v>985</v>
      </c>
      <c r="B202" s="17"/>
      <c r="C202" s="28">
        <f>IFERROR(INDEX(P_PoidsDom,4,MATCH($B$20,P_PoidsHdr,0)),"")</f>
        <v>0</v>
      </c>
      <c r="D202" s="14">
        <f>IF(N(C202)=0,"",SUMPRODUCT(B203:B205,C203:C205)+P_InfoInsuff*SUMPRODUCT((1-ISNUMBER(B203:B205))*C203:C205))</f>
        <v>0</v>
      </c>
      <c r="E202" s="47"/>
      <c r="F202" s="47"/>
      <c r="G202" s="47"/>
      <c r="H202" s="47"/>
      <c r="J202" s="35" t="s">
        <v>971</v>
      </c>
      <c r="K202" s="35">
        <f>IF(N(C202)&gt;0,1,0)</f>
        <v>0</v>
      </c>
      <c r="M202" s="35">
        <f>N(C202)*SUMPRODUCT(ISNUMBER(B203:B205)*C203:C205)</f>
        <v>0</v>
      </c>
    </row>
    <row r="203" spans="1:20" ht="30" customHeight="1">
      <c r="A203" s="13" t="s">
        <v>987</v>
      </c>
      <c r="B203" s="7">
        <f>IF($S203="","",CHOOSE($S203,P_Ancre_TF,P_Ancre_F,P_Ancre_V,P_Ancre_C,"Info. insuffisante"))</f>
        <v>0</v>
      </c>
      <c r="C203" s="28">
        <f>INDEX(P_SCPoids,MATCH(L203,P_SCCle,0))</f>
        <v>0</v>
      </c>
      <c r="D203" s="17"/>
      <c r="E203" s="51"/>
      <c r="F203" s="51"/>
      <c r="G203" s="51"/>
      <c r="H203" s="47"/>
      <c r="J203" s="35" t="s">
        <v>973</v>
      </c>
      <c r="K203" s="35">
        <f>K202</f>
        <v>0</v>
      </c>
      <c r="L203" s="35" t="s">
        <v>223</v>
      </c>
      <c r="M203" s="35">
        <f>IFERROR(MATCH($L203&amp;"|"&amp;$B$19,R_Cles,0),MATCH($L203,R_Cles,0))</f>
        <v>0</v>
      </c>
      <c r="P203" s="35">
        <f>IF(AND(K203=1,B203=""),ROW(),"")</f>
        <v>0</v>
      </c>
      <c r="S203" s="35">
        <f>IF($E203="","",IFERROR(MATCH($E203,INDEX(R_Opts,$M203,0),0),""))</f>
        <v>0</v>
      </c>
      <c r="T203" s="35">
        <f>IF(AND(K203=1,N($S203)&gt;=4,$H203=""),ROW(),"")</f>
        <v>0</v>
      </c>
    </row>
    <row r="204" spans="1:20" ht="30" customHeight="1">
      <c r="A204" s="13" t="s">
        <v>988</v>
      </c>
      <c r="B204" s="7">
        <f>IF($S204="","",CHOOSE($S204,P_Ancre_TF,P_Ancre_F,P_Ancre_V,P_Ancre_C,"Info. insuffisante"))</f>
        <v>0</v>
      </c>
      <c r="C204" s="28">
        <f>INDEX(P_SCPoids,MATCH(L204,P_SCCle,0))</f>
        <v>0</v>
      </c>
      <c r="D204" s="17"/>
      <c r="E204" s="51"/>
      <c r="F204" s="51"/>
      <c r="G204" s="51"/>
      <c r="H204" s="47"/>
      <c r="J204" s="35" t="s">
        <v>973</v>
      </c>
      <c r="K204" s="35">
        <f>K202</f>
        <v>0</v>
      </c>
      <c r="L204" s="35" t="s">
        <v>225</v>
      </c>
      <c r="M204" s="35">
        <f>MATCH($L204,R_Cles,0)</f>
        <v>0</v>
      </c>
      <c r="P204" s="35">
        <f>IF(AND(K204=1,B204=""),ROW(),"")</f>
        <v>0</v>
      </c>
      <c r="S204" s="35">
        <f>IF($E204="","",IFERROR(MATCH($E204,INDEX(R_Opts,$M204,0),0),""))</f>
        <v>0</v>
      </c>
      <c r="T204" s="35">
        <f>IF(AND(K204=1,N($S204)&gt;=4,$H204=""),ROW(),"")</f>
        <v>0</v>
      </c>
    </row>
    <row r="205" spans="1:20" ht="30" customHeight="1">
      <c r="A205" s="13" t="s">
        <v>989</v>
      </c>
      <c r="B205" s="7">
        <f>IF($S205="","",CHOOSE($S205,P_Ancre_TF,P_Ancre_F,P_Ancre_V,P_Ancre_C,"Info. insuffisante"))</f>
        <v>0</v>
      </c>
      <c r="C205" s="28">
        <f>INDEX(P_SCPoids,MATCH(L205,P_SCCle,0))</f>
        <v>0</v>
      </c>
      <c r="D205" s="17"/>
      <c r="E205" s="51"/>
      <c r="F205" s="51"/>
      <c r="G205" s="51"/>
      <c r="H205" s="47"/>
      <c r="J205" s="35" t="s">
        <v>973</v>
      </c>
      <c r="K205" s="35">
        <f>K202</f>
        <v>0</v>
      </c>
      <c r="L205" s="35" t="s">
        <v>227</v>
      </c>
      <c r="M205" s="35">
        <f>IFERROR(MATCH($L205&amp;"|"&amp;$B$19,R_Cles,0),MATCH($L205,R_Cles,0))</f>
        <v>0</v>
      </c>
      <c r="P205" s="35">
        <f>IF(AND(K205=1,B205=""),ROW(),"")</f>
        <v>0</v>
      </c>
      <c r="S205" s="35">
        <f>IF($E205="","",IFERROR(MATCH($E205,INDEX(R_Opts,$M205,0),0),""))</f>
        <v>0</v>
      </c>
      <c r="T205" s="35">
        <f>IF(AND(K205=1,N($S205)&gt;=4,$H205=""),ROW(),"")</f>
        <v>0</v>
      </c>
    </row>
    <row r="206" spans="1:20">
      <c r="A206" s="21" t="s">
        <v>990</v>
      </c>
      <c r="B206" s="17"/>
      <c r="C206" s="28">
        <f>IFERROR(INDEX(P_PoidsDom,5,MATCH($B$20,P_PoidsHdr,0)),"")</f>
        <v>0</v>
      </c>
      <c r="D206" s="14">
        <f>IF(N(C206)=0,"",SUMPRODUCT(B207:B209,C207:C209)+P_InfoInsuff*SUMPRODUCT((1-ISNUMBER(B207:B209))*C207:C209))</f>
        <v>0</v>
      </c>
      <c r="E206" s="47"/>
      <c r="F206" s="47"/>
      <c r="G206" s="47"/>
      <c r="H206" s="47"/>
      <c r="J206" s="35" t="s">
        <v>971</v>
      </c>
      <c r="K206" s="35">
        <f>IF(N(C206)&gt;0,1,0)</f>
        <v>0</v>
      </c>
      <c r="M206" s="35">
        <f>N(C206)*SUMPRODUCT(ISNUMBER(B207:B209)*C207:C209)</f>
        <v>0</v>
      </c>
    </row>
    <row r="207" spans="1:20" ht="30" customHeight="1">
      <c r="A207" s="13" t="s">
        <v>991</v>
      </c>
      <c r="B207" s="7">
        <f>IF($S207="","",CHOOSE($S207,P_Ancre_TF,P_Ancre_F,P_Ancre_V,P_Ancre_C,"Info. insuffisante"))</f>
        <v>0</v>
      </c>
      <c r="C207" s="28">
        <f>INDEX(P_SCPoids,MATCH(L207,P_SCCle,0))</f>
        <v>0</v>
      </c>
      <c r="D207" s="17"/>
      <c r="E207" s="51"/>
      <c r="F207" s="51"/>
      <c r="G207" s="51"/>
      <c r="H207" s="47"/>
      <c r="J207" s="35" t="s">
        <v>973</v>
      </c>
      <c r="K207" s="35">
        <f>K206</f>
        <v>0</v>
      </c>
      <c r="L207" s="35" t="s">
        <v>229</v>
      </c>
      <c r="M207" s="35">
        <f>MATCH($L207,R_Cles,0)</f>
        <v>0</v>
      </c>
      <c r="P207" s="35">
        <f>IF(AND(K207=1,B207=""),ROW(),"")</f>
        <v>0</v>
      </c>
      <c r="S207" s="35">
        <f>IF($E207="","",IFERROR(MATCH($E207,INDEX(R_Opts,$M207,0),0),""))</f>
        <v>0</v>
      </c>
      <c r="T207" s="35">
        <f>IF(AND(K207=1,N($S207)&gt;=4,$H207=""),ROW(),"")</f>
        <v>0</v>
      </c>
    </row>
    <row r="208" spans="1:20" ht="30" customHeight="1">
      <c r="A208" s="13" t="s">
        <v>992</v>
      </c>
      <c r="B208" s="7">
        <f>IF($S208="","",CHOOSE($S208,P_Ancre_TF,P_Ancre_F,P_Ancre_V,P_Ancre_C,"Info. insuffisante"))</f>
        <v>0</v>
      </c>
      <c r="C208" s="28">
        <f>INDEX(P_SCPoids,MATCH(L208,P_SCCle,0))</f>
        <v>0</v>
      </c>
      <c r="D208" s="17"/>
      <c r="E208" s="51"/>
      <c r="F208" s="51"/>
      <c r="G208" s="51"/>
      <c r="H208" s="47"/>
      <c r="J208" s="35" t="s">
        <v>973</v>
      </c>
      <c r="K208" s="35">
        <f>K206</f>
        <v>0</v>
      </c>
      <c r="L208" s="35" t="s">
        <v>231</v>
      </c>
      <c r="M208" s="35">
        <f>IFERROR(MATCH($L208&amp;"|"&amp;$B$19,R_Cles,0),MATCH($L208,R_Cles,0))</f>
        <v>0</v>
      </c>
      <c r="P208" s="35">
        <f>IF(AND(K208=1,B208=""),ROW(),"")</f>
        <v>0</v>
      </c>
      <c r="S208" s="35">
        <f>IF($E208="","",IFERROR(MATCH($E208,INDEX(R_Opts,$M208,0),0),""))</f>
        <v>0</v>
      </c>
      <c r="T208" s="35">
        <f>IF(AND(K208=1,N($S208)&gt;=4,$H208=""),ROW(),"")</f>
        <v>0</v>
      </c>
    </row>
    <row r="209" spans="1:20" ht="30" customHeight="1">
      <c r="A209" s="13" t="s">
        <v>993</v>
      </c>
      <c r="B209" s="7">
        <f>IF($S209="","",CHOOSE($S209,P_Ancre_TF,P_Ancre_F,P_Ancre_V,P_Ancre_C,"Info. insuffisante"))</f>
        <v>0</v>
      </c>
      <c r="C209" s="28">
        <f>INDEX(P_SCPoids,MATCH(L209,P_SCCle,0))</f>
        <v>0</v>
      </c>
      <c r="D209" s="17"/>
      <c r="E209" s="51"/>
      <c r="F209" s="51"/>
      <c r="G209" s="51"/>
      <c r="H209" s="47"/>
      <c r="J209" s="35" t="s">
        <v>973</v>
      </c>
      <c r="K209" s="35">
        <f>K206</f>
        <v>0</v>
      </c>
      <c r="L209" s="35" t="s">
        <v>233</v>
      </c>
      <c r="M209" s="35">
        <f>MATCH($L209,R_Cles,0)</f>
        <v>0</v>
      </c>
      <c r="P209" s="35">
        <f>IF(AND(K209=1,B209=""),ROW(),"")</f>
        <v>0</v>
      </c>
      <c r="S209" s="35">
        <f>IF($E209="","",IFERROR(MATCH($E209,INDEX(R_Opts,$M209,0),0),""))</f>
        <v>0</v>
      </c>
      <c r="T209" s="35">
        <f>IF(AND(K209=1,N($S209)&gt;=4,$H209=""),ROW(),"")</f>
        <v>0</v>
      </c>
    </row>
    <row r="210" spans="1:20">
      <c r="A210" s="21" t="s">
        <v>994</v>
      </c>
      <c r="B210" s="17"/>
      <c r="C210" s="28">
        <f>IFERROR(INDEX(P_PoidsDom,6,MATCH($B$20,P_PoidsHdr,0)),"")</f>
        <v>0</v>
      </c>
      <c r="D210" s="14">
        <f>IF(N(C210)=0,"",SUMPRODUCT(B211:B213,C211:C213)+P_InfoInsuff*SUMPRODUCT((1-ISNUMBER(B211:B213))*C211:C213))</f>
        <v>0</v>
      </c>
      <c r="E210" s="47"/>
      <c r="F210" s="47"/>
      <c r="G210" s="47"/>
      <c r="H210" s="47"/>
      <c r="J210" s="35" t="s">
        <v>971</v>
      </c>
      <c r="K210" s="35">
        <f>IF(N(C210)&gt;0,1,0)</f>
        <v>0</v>
      </c>
      <c r="M210" s="35">
        <f>N(C210)*SUMPRODUCT(ISNUMBER(B211:B213)*C211:C213)</f>
        <v>0</v>
      </c>
    </row>
    <row r="211" spans="1:20" ht="30" customHeight="1">
      <c r="A211" s="13" t="s">
        <v>996</v>
      </c>
      <c r="B211" s="7">
        <f>IF($S211="","",CHOOSE($S211,P_Ancre_TF,P_Ancre_F,P_Ancre_V,P_Ancre_C,"Info. insuffisante"))</f>
        <v>0</v>
      </c>
      <c r="C211" s="28">
        <f>INDEX(P_SCPoids,MATCH(L211,P_SCCle,0))</f>
        <v>0</v>
      </c>
      <c r="D211" s="17"/>
      <c r="E211" s="51"/>
      <c r="F211" s="51"/>
      <c r="G211" s="51"/>
      <c r="H211" s="47"/>
      <c r="J211" s="35" t="s">
        <v>973</v>
      </c>
      <c r="K211" s="35">
        <f>K210</f>
        <v>0</v>
      </c>
      <c r="L211" s="35" t="s">
        <v>235</v>
      </c>
      <c r="M211" s="35">
        <f>MATCH($L211,R_Cles,0)</f>
        <v>0</v>
      </c>
      <c r="P211" s="35">
        <f>IF(AND(K211=1,B211=""),ROW(),"")</f>
        <v>0</v>
      </c>
      <c r="S211" s="35">
        <f>IF($E211="","",IFERROR(MATCH($E211,INDEX(R_Opts,$M211,0),0),""))</f>
        <v>0</v>
      </c>
      <c r="T211" s="35">
        <f>IF(AND(K211=1,N($S211)&gt;=4,$H211=""),ROW(),"")</f>
        <v>0</v>
      </c>
    </row>
    <row r="212" spans="1:20" ht="30" customHeight="1">
      <c r="A212" s="13" t="s">
        <v>997</v>
      </c>
      <c r="B212" s="7">
        <f>IF($S212="","",CHOOSE($S212,P_Ancre_TF,P_Ancre_F,P_Ancre_V,P_Ancre_C,"Info. insuffisante"))</f>
        <v>0</v>
      </c>
      <c r="C212" s="28">
        <f>INDEX(P_SCPoids,MATCH(L212,P_SCCle,0))</f>
        <v>0</v>
      </c>
      <c r="D212" s="17"/>
      <c r="E212" s="51"/>
      <c r="F212" s="51"/>
      <c r="G212" s="51"/>
      <c r="H212" s="47"/>
      <c r="J212" s="35" t="s">
        <v>973</v>
      </c>
      <c r="K212" s="35">
        <f>K210</f>
        <v>0</v>
      </c>
      <c r="L212" s="35" t="s">
        <v>237</v>
      </c>
      <c r="M212" s="35">
        <f>MATCH($L212,R_Cles,0)</f>
        <v>0</v>
      </c>
      <c r="P212" s="35">
        <f>IF(AND(K212=1,B212=""),ROW(),"")</f>
        <v>0</v>
      </c>
      <c r="S212" s="35">
        <f>IF($E212="","",IFERROR(MATCH($E212,INDEX(R_Opts,$M212,0),0),""))</f>
        <v>0</v>
      </c>
      <c r="T212" s="35">
        <f>IF(AND(K212=1,N($S212)&gt;=4,$H212=""),ROW(),"")</f>
        <v>0</v>
      </c>
    </row>
    <row r="213" spans="1:20" ht="30" customHeight="1">
      <c r="A213" s="13" t="s">
        <v>998</v>
      </c>
      <c r="B213" s="7">
        <f>IF($S213="","",CHOOSE($S213,P_Ancre_TF,P_Ancre_F,P_Ancre_V,P_Ancre_C,"Info. insuffisante"))</f>
        <v>0</v>
      </c>
      <c r="C213" s="28">
        <f>INDEX(P_SCPoids,MATCH(L213,P_SCCle,0))</f>
        <v>0</v>
      </c>
      <c r="D213" s="17"/>
      <c r="E213" s="51"/>
      <c r="F213" s="51"/>
      <c r="G213" s="51"/>
      <c r="H213" s="47"/>
      <c r="J213" s="35" t="s">
        <v>973</v>
      </c>
      <c r="K213" s="35">
        <f>K210</f>
        <v>0</v>
      </c>
      <c r="L213" s="35" t="s">
        <v>239</v>
      </c>
      <c r="M213" s="35">
        <f>MATCH($L213,R_Cles,0)</f>
        <v>0</v>
      </c>
      <c r="P213" s="35">
        <f>IF(AND(K213=1,B213=""),ROW(),"")</f>
        <v>0</v>
      </c>
      <c r="S213" s="35">
        <f>IF($E213="","",IFERROR(MATCH($E213,INDEX(R_Opts,$M213,0),0),""))</f>
        <v>0</v>
      </c>
      <c r="T213" s="35">
        <f>IF(AND(K213=1,N($S213)&gt;=4,$H213=""),ROW(),"")</f>
        <v>0</v>
      </c>
    </row>
    <row r="214" spans="1:20">
      <c r="A214" s="21" t="s">
        <v>999</v>
      </c>
      <c r="B214" s="17"/>
      <c r="C214" s="28">
        <f>IFERROR(INDEX(P_PoidsDom,8,MATCH($B$20,P_PoidsHdr,0)),"")</f>
        <v>0</v>
      </c>
      <c r="D214" s="14">
        <f>IF(N(C214)=0,"",SUMPRODUCT(B215:B217,C215:C217)+P_InfoInsuff*SUMPRODUCT((1-ISNUMBER(B215:B217))*C215:C217))</f>
        <v>0</v>
      </c>
      <c r="E214" s="47"/>
      <c r="F214" s="47"/>
      <c r="G214" s="47"/>
      <c r="H214" s="47"/>
      <c r="J214" s="35" t="s">
        <v>971</v>
      </c>
      <c r="K214" s="35">
        <f>IF(N(C214)&gt;0,1,0)</f>
        <v>0</v>
      </c>
      <c r="M214" s="35">
        <f>N(C214)*SUMPRODUCT(ISNUMBER(B215:B217)*C215:C217)</f>
        <v>0</v>
      </c>
    </row>
    <row r="215" spans="1:20" ht="30" customHeight="1">
      <c r="A215" s="13" t="s">
        <v>1000</v>
      </c>
      <c r="B215" s="7">
        <f>IF($S215="","",CHOOSE($S215,P_Ancre_TF,P_Ancre_F,P_Ancre_V,P_Ancre_C,"Info. insuffisante"))</f>
        <v>0</v>
      </c>
      <c r="C215" s="28">
        <f>INDEX(P_SCPoids,MATCH(L215,P_SCCle,0))</f>
        <v>0</v>
      </c>
      <c r="D215" s="17"/>
      <c r="E215" s="51"/>
      <c r="F215" s="51"/>
      <c r="G215" s="51"/>
      <c r="H215" s="47"/>
      <c r="J215" s="35" t="s">
        <v>973</v>
      </c>
      <c r="K215" s="35">
        <f>K214</f>
        <v>0</v>
      </c>
      <c r="L215" s="35" t="s">
        <v>241</v>
      </c>
      <c r="M215" s="35">
        <f>MATCH($L215,R_Cles,0)</f>
        <v>0</v>
      </c>
      <c r="P215" s="35">
        <f>IF(AND(K215=1,B215=""),ROW(),"")</f>
        <v>0</v>
      </c>
      <c r="S215" s="35">
        <f>IF($E215="","",IFERROR(MATCH($E215,INDEX(R_Opts,$M215,0),0),""))</f>
        <v>0</v>
      </c>
      <c r="T215" s="35">
        <f>IF(AND(K215=1,N($S215)&gt;=4,$H215=""),ROW(),"")</f>
        <v>0</v>
      </c>
    </row>
    <row r="216" spans="1:20" ht="30" customHeight="1">
      <c r="A216" s="13" t="s">
        <v>1001</v>
      </c>
      <c r="B216" s="7">
        <f>IF($S216="","",CHOOSE($S216,P_Ancre_TF,P_Ancre_F,P_Ancre_V,P_Ancre_C,"Info. insuffisante"))</f>
        <v>0</v>
      </c>
      <c r="C216" s="28">
        <f>INDEX(P_SCPoids,MATCH(L216,P_SCCle,0))</f>
        <v>0</v>
      </c>
      <c r="D216" s="17"/>
      <c r="E216" s="51"/>
      <c r="F216" s="51"/>
      <c r="G216" s="51"/>
      <c r="H216" s="47"/>
      <c r="J216" s="35" t="s">
        <v>973</v>
      </c>
      <c r="K216" s="35">
        <f>K214</f>
        <v>0</v>
      </c>
      <c r="L216" s="35" t="s">
        <v>243</v>
      </c>
      <c r="M216" s="35">
        <f>MATCH($L216,R_Cles,0)</f>
        <v>0</v>
      </c>
      <c r="P216" s="35">
        <f>IF(AND(K216=1,B216=""),ROW(),"")</f>
        <v>0</v>
      </c>
      <c r="S216" s="35">
        <f>IF($E216="","",IFERROR(MATCH($E216,INDEX(R_Opts,$M216,0),0),""))</f>
        <v>0</v>
      </c>
      <c r="T216" s="35">
        <f>IF(AND(K216=1,N($S216)&gt;=4,$H216=""),ROW(),"")</f>
        <v>0</v>
      </c>
    </row>
    <row r="217" spans="1:20" ht="30" customHeight="1">
      <c r="A217" s="13" t="s">
        <v>1002</v>
      </c>
      <c r="B217" s="7">
        <f>IF($S217="","",CHOOSE($S217,P_Ancre_TF,P_Ancre_F,P_Ancre_V,P_Ancre_C,"Info. insuffisante"))</f>
        <v>0</v>
      </c>
      <c r="C217" s="28">
        <f>INDEX(P_SCPoids,MATCH(L217,P_SCCle,0))</f>
        <v>0</v>
      </c>
      <c r="D217" s="17"/>
      <c r="E217" s="51"/>
      <c r="F217" s="51"/>
      <c r="G217" s="51"/>
      <c r="H217" s="47"/>
      <c r="J217" s="35" t="s">
        <v>973</v>
      </c>
      <c r="K217" s="35">
        <f>K214</f>
        <v>0</v>
      </c>
      <c r="L217" s="35" t="s">
        <v>245</v>
      </c>
      <c r="M217" s="35">
        <f>MATCH($L217,R_Cles,0)</f>
        <v>0</v>
      </c>
      <c r="P217" s="35">
        <f>IF(AND(K217=1,B217=""),ROW(),"")</f>
        <v>0</v>
      </c>
      <c r="S217" s="35">
        <f>IF($E217="","",IFERROR(MATCH($E217,INDEX(R_Opts,$M217,0),0),""))</f>
        <v>0</v>
      </c>
      <c r="T217" s="35">
        <f>IF(AND(K217=1,N($S217)&gt;=4,$H217=""),ROW(),"")</f>
        <v>0</v>
      </c>
    </row>
    <row r="218" spans="1:20">
      <c r="A218" s="21" t="s">
        <v>1003</v>
      </c>
      <c r="B218" s="17"/>
      <c r="C218" s="28">
        <f>IFERROR(INDEX(P_PoidsDom,9,MATCH($B$20,P_PoidsHdr,0)),"")</f>
        <v>0</v>
      </c>
      <c r="D218" s="14">
        <f>IF(N(C218)=0,"",SUMPRODUCT(B219:B222,C219:C222)+P_InfoInsuff*SUMPRODUCT((1-ISNUMBER(B219:B222))*C219:C222))</f>
        <v>0</v>
      </c>
      <c r="E218" s="47"/>
      <c r="F218" s="47"/>
      <c r="G218" s="47"/>
      <c r="H218" s="47"/>
      <c r="J218" s="35" t="s">
        <v>971</v>
      </c>
      <c r="K218" s="35">
        <f>IF(N(C218)&gt;0,1,0)</f>
        <v>0</v>
      </c>
      <c r="M218" s="35">
        <f>N(C218)*SUMPRODUCT(ISNUMBER(B219:B222)*C219:C222)</f>
        <v>0</v>
      </c>
    </row>
    <row r="219" spans="1:20" ht="30" customHeight="1">
      <c r="A219" s="13" t="s">
        <v>1004</v>
      </c>
      <c r="B219" s="7">
        <f>IF($S219="","",CHOOSE($S219,P_Ancre_TF,P_Ancre_F,P_Ancre_V,P_Ancre_C,"Info. insuffisante"))</f>
        <v>0</v>
      </c>
      <c r="C219" s="28">
        <f>INDEX(P_SCPoids,MATCH(L219,P_SCCle,0))</f>
        <v>0</v>
      </c>
      <c r="D219" s="17"/>
      <c r="E219" s="51"/>
      <c r="F219" s="51"/>
      <c r="G219" s="51"/>
      <c r="H219" s="47"/>
      <c r="J219" s="35" t="s">
        <v>973</v>
      </c>
      <c r="K219" s="35">
        <f>K218</f>
        <v>0</v>
      </c>
      <c r="L219" s="35" t="s">
        <v>247</v>
      </c>
      <c r="M219" s="35">
        <f>MATCH($L219,R_Cles,0)</f>
        <v>0</v>
      </c>
      <c r="P219" s="35">
        <f>IF(AND(K219=1,B219=""),ROW(),"")</f>
        <v>0</v>
      </c>
      <c r="S219" s="35">
        <f>IF($E219="","",IFERROR(MATCH($E219,INDEX(R_Opts,$M219,0),0),""))</f>
        <v>0</v>
      </c>
      <c r="T219" s="35">
        <f>IF(AND(K219=1,N($S219)&gt;=4,$H219=""),ROW(),"")</f>
        <v>0</v>
      </c>
    </row>
    <row r="220" spans="1:20" ht="30" customHeight="1">
      <c r="A220" s="13" t="s">
        <v>1005</v>
      </c>
      <c r="B220" s="7">
        <f>IF($S220="","",CHOOSE($S220,P_Ancre_TF,P_Ancre_F,P_Ancre_V,P_Ancre_C,"Info. insuffisante"))</f>
        <v>0</v>
      </c>
      <c r="C220" s="28">
        <f>INDEX(P_SCPoids,MATCH(L220,P_SCCle,0))</f>
        <v>0</v>
      </c>
      <c r="D220" s="17"/>
      <c r="E220" s="51"/>
      <c r="F220" s="51"/>
      <c r="G220" s="51"/>
      <c r="H220" s="47"/>
      <c r="J220" s="35" t="s">
        <v>973</v>
      </c>
      <c r="K220" s="35">
        <f>K218</f>
        <v>0</v>
      </c>
      <c r="L220" s="35" t="s">
        <v>249</v>
      </c>
      <c r="M220" s="35">
        <f>MATCH($L220,R_Cles,0)</f>
        <v>0</v>
      </c>
      <c r="P220" s="35">
        <f>IF(AND(K220=1,B220=""),ROW(),"")</f>
        <v>0</v>
      </c>
      <c r="S220" s="35">
        <f>IF($E220="","",IFERROR(MATCH($E220,INDEX(R_Opts,$M220,0),0),""))</f>
        <v>0</v>
      </c>
      <c r="T220" s="35">
        <f>IF(AND(K220=1,N($S220)&gt;=4,$H220=""),ROW(),"")</f>
        <v>0</v>
      </c>
    </row>
    <row r="221" spans="1:20" ht="30" customHeight="1">
      <c r="A221" s="13" t="s">
        <v>1006</v>
      </c>
      <c r="B221" s="7">
        <f>IF($S221="","",CHOOSE($S221,P_Ancre_TF,P_Ancre_F,P_Ancre_V,P_Ancre_C,"Info. insuffisante"))</f>
        <v>0</v>
      </c>
      <c r="C221" s="28">
        <f>INDEX(P_SCPoids,MATCH(L221,P_SCCle,0))</f>
        <v>0</v>
      </c>
      <c r="D221" s="17"/>
      <c r="E221" s="51"/>
      <c r="F221" s="51"/>
      <c r="G221" s="51"/>
      <c r="H221" s="47"/>
      <c r="J221" s="35" t="s">
        <v>973</v>
      </c>
      <c r="K221" s="35">
        <f>K218</f>
        <v>0</v>
      </c>
      <c r="L221" s="35" t="s">
        <v>251</v>
      </c>
      <c r="M221" s="35">
        <f>MATCH($L221,R_Cles,0)</f>
        <v>0</v>
      </c>
      <c r="P221" s="35">
        <f>IF(AND(K221=1,B221=""),ROW(),"")</f>
        <v>0</v>
      </c>
      <c r="S221" s="35">
        <f>IF($E221="","",IFERROR(MATCH($E221,INDEX(R_Opts,$M221,0),0),""))</f>
        <v>0</v>
      </c>
      <c r="T221" s="35">
        <f>IF(AND(K221=1,N($S221)&gt;=4,$H221=""),ROW(),"")</f>
        <v>0</v>
      </c>
    </row>
    <row r="222" spans="1:20" ht="30" customHeight="1">
      <c r="A222" s="13" t="s">
        <v>1007</v>
      </c>
      <c r="B222" s="7">
        <f>IF($S222="","",CHOOSE($S222,P_Ancre_TF,P_Ancre_F,P_Ancre_V,P_Ancre_C,"Info. insuffisante"))</f>
        <v>0</v>
      </c>
      <c r="C222" s="28">
        <f>INDEX(P_SCPoids,MATCH(L222,P_SCCle,0))</f>
        <v>0</v>
      </c>
      <c r="D222" s="17"/>
      <c r="E222" s="51"/>
      <c r="F222" s="51"/>
      <c r="G222" s="51"/>
      <c r="H222" s="47"/>
      <c r="J222" s="35" t="s">
        <v>973</v>
      </c>
      <c r="K222" s="35">
        <f>K218</f>
        <v>0</v>
      </c>
      <c r="L222" s="35" t="s">
        <v>253</v>
      </c>
      <c r="M222" s="35">
        <f>MATCH($L222,R_Cles,0)</f>
        <v>0</v>
      </c>
      <c r="P222" s="35">
        <f>IF(AND(K222=1,B222=""),ROW(),"")</f>
        <v>0</v>
      </c>
      <c r="S222" s="35">
        <f>IF($E222="","",IFERROR(MATCH($E222,INDEX(R_Opts,$M222,0),0),""))</f>
        <v>0</v>
      </c>
      <c r="T222" s="35">
        <f>IF(AND(K222=1,N($S222)&gt;=4,$H222=""),ROW(),"")</f>
        <v>0</v>
      </c>
    </row>
    <row r="224" spans="1:20">
      <c r="A224" s="13" t="s">
        <v>1008</v>
      </c>
      <c r="B224" s="28">
        <f>IF(SUMIF(J190:J222,"DOM",C190:C222)=0,"",SUM(M190:M222)/SUMIF(J190:J222,"DOM",C190:C222))</f>
        <v>0</v>
      </c>
    </row>
    <row r="225" spans="1:8">
      <c r="A225" s="13" t="s">
        <v>1009</v>
      </c>
      <c r="B225" s="28">
        <f>IF(SUMIF(J190:J222,"SC",K190:K222)=0,"",(COUNT(B163:B168)+SUMPRODUCT((J190:J222="SC")*(K190:K222=1)*ISNUMBER(B190:B222)))/(6+SUMIF(J190:J222,"SC",K190:K222)))</f>
        <v>0</v>
      </c>
    </row>
    <row r="227" spans="1:8">
      <c r="A227" s="3" t="s">
        <v>1010</v>
      </c>
      <c r="B227" s="3"/>
      <c r="C227" s="3"/>
      <c r="D227" s="3"/>
      <c r="E227" s="3"/>
      <c r="F227" s="3"/>
      <c r="G227" s="3"/>
      <c r="H227" s="3"/>
    </row>
    <row r="228" spans="1:8">
      <c r="A228" s="11" t="s">
        <v>55</v>
      </c>
      <c r="B228" s="11" t="s">
        <v>1011</v>
      </c>
      <c r="C228" s="11" t="s">
        <v>1012</v>
      </c>
      <c r="D228" s="11" t="s">
        <v>934</v>
      </c>
    </row>
    <row r="229" spans="1:8">
      <c r="A229" s="17" t="s">
        <v>969</v>
      </c>
      <c r="B229" s="20">
        <f>D190</f>
        <v>0</v>
      </c>
      <c r="C229" s="28">
        <f>IFERROR(INDEX(P_PoidsDom,1,MATCH($B$20,P_PoidsHdr,0)),"")</f>
        <v>0</v>
      </c>
      <c r="D229" s="20">
        <f>IF(ISNUMBER(B229),B229,0)*N(C229)</f>
        <v>0</v>
      </c>
    </row>
    <row r="230" spans="1:8">
      <c r="A230" s="17" t="s">
        <v>976</v>
      </c>
      <c r="B230" s="20">
        <f>D194</f>
        <v>0</v>
      </c>
      <c r="C230" s="28">
        <f>IFERROR(INDEX(P_PoidsDom,2,MATCH($B$20,P_PoidsHdr,0)),"")</f>
        <v>0</v>
      </c>
      <c r="D230" s="20">
        <f>IF(ISNUMBER(B230),B230,0)*N(C230)</f>
        <v>0</v>
      </c>
    </row>
    <row r="231" spans="1:8">
      <c r="A231" s="17" t="s">
        <v>980</v>
      </c>
      <c r="B231" s="20">
        <f>D198</f>
        <v>0</v>
      </c>
      <c r="C231" s="28">
        <f>IFERROR(INDEX(P_PoidsDom,3,MATCH($B$20,P_PoidsHdr,0)),"")</f>
        <v>0</v>
      </c>
      <c r="D231" s="20">
        <f>IF(ISNUMBER(B231),B231,0)*N(C231)</f>
        <v>0</v>
      </c>
    </row>
    <row r="232" spans="1:8">
      <c r="A232" s="17" t="s">
        <v>985</v>
      </c>
      <c r="B232" s="20">
        <f>D202</f>
        <v>0</v>
      </c>
      <c r="C232" s="28">
        <f>IFERROR(INDEX(P_PoidsDom,4,MATCH($B$20,P_PoidsHdr,0)),"")</f>
        <v>0</v>
      </c>
      <c r="D232" s="20">
        <f>IF(ISNUMBER(B232),B232,0)*N(C232)</f>
        <v>0</v>
      </c>
    </row>
    <row r="233" spans="1:8">
      <c r="A233" s="17" t="s">
        <v>990</v>
      </c>
      <c r="B233" s="20">
        <f>D206</f>
        <v>0</v>
      </c>
      <c r="C233" s="28">
        <f>IFERROR(INDEX(P_PoidsDom,5,MATCH($B$20,P_PoidsHdr,0)),"")</f>
        <v>0</v>
      </c>
      <c r="D233" s="20">
        <f>IF(ISNUMBER(B233),B233,0)*N(C233)</f>
        <v>0</v>
      </c>
    </row>
    <row r="234" spans="1:8">
      <c r="A234" s="17" t="s">
        <v>994</v>
      </c>
      <c r="B234" s="20">
        <f>D210</f>
        <v>0</v>
      </c>
      <c r="C234" s="28">
        <f>IFERROR(INDEX(P_PoidsDom,6,MATCH($B$20,P_PoidsHdr,0)),"")</f>
        <v>0</v>
      </c>
      <c r="D234" s="20">
        <f>IF(ISNUMBER(B234),B234,0)*N(C234)</f>
        <v>0</v>
      </c>
    </row>
    <row r="235" spans="1:8">
      <c r="A235" s="17" t="s">
        <v>1013</v>
      </c>
      <c r="B235" s="20">
        <f>D169</f>
        <v>0</v>
      </c>
      <c r="C235" s="28">
        <f>IFERROR(INDEX(P_PoidsDom,7,MATCH($B$20,P_PoidsHdr,0)),"")</f>
        <v>0</v>
      </c>
      <c r="D235" s="20">
        <f>IF(ISNUMBER(B235),B235,0)*N(C235)</f>
        <v>0</v>
      </c>
    </row>
    <row r="236" spans="1:8">
      <c r="A236" s="17" t="s">
        <v>999</v>
      </c>
      <c r="B236" s="20">
        <f>D214</f>
        <v>0</v>
      </c>
      <c r="C236" s="28">
        <f>IFERROR(INDEX(P_PoidsDom,8,MATCH($B$20,P_PoidsHdr,0)),"")</f>
        <v>0</v>
      </c>
      <c r="D236" s="20">
        <f>IF(ISNUMBER(B236),B236,0)*N(C236)</f>
        <v>0</v>
      </c>
    </row>
    <row r="237" spans="1:8">
      <c r="A237" s="17" t="s">
        <v>1003</v>
      </c>
      <c r="B237" s="20">
        <f>D218</f>
        <v>0</v>
      </c>
      <c r="C237" s="28">
        <f>IFERROR(INDEX(P_PoidsDom,9,MATCH($B$20,P_PoidsHdr,0)),"")</f>
        <v>0</v>
      </c>
      <c r="D237" s="20">
        <f>IF(ISNUMBER(B237),B237,0)*N(C237)</f>
        <v>0</v>
      </c>
    </row>
    <row r="238" spans="1:8">
      <c r="A238" s="21" t="s">
        <v>1014</v>
      </c>
      <c r="B238" s="14">
        <f>IF(N(C229)+N(C237)=0,"",SUM(D229:D237))</f>
        <v>0</v>
      </c>
    </row>
    <row r="239" spans="1:8">
      <c r="A239" s="21" t="s">
        <v>1015</v>
      </c>
      <c r="B239" s="14">
        <f>IF(B238="","",INDEX(P_ConvNote,MATCH(B238,P_ConvSeuil,1)))</f>
        <v>0</v>
      </c>
      <c r="C239" s="7">
        <f>IF(B238="","",INDEX(P_ConvLib,MATCH(B238,P_ConvSeuil,1)))</f>
        <v>0</v>
      </c>
    </row>
    <row r="241" spans="1:8">
      <c r="A241" s="3" t="s">
        <v>1016</v>
      </c>
      <c r="B241" s="3"/>
      <c r="C241" s="3"/>
      <c r="D241" s="3"/>
      <c r="E241" s="3"/>
      <c r="F241" s="3"/>
      <c r="G241" s="3"/>
      <c r="H241" s="3"/>
    </row>
    <row r="242" spans="1:8">
      <c r="A242" s="11" t="s">
        <v>1017</v>
      </c>
      <c r="B242" s="11"/>
      <c r="C242" s="11"/>
      <c r="D242" s="11"/>
      <c r="E242" s="11" t="s">
        <v>1018</v>
      </c>
      <c r="F242" s="11" t="s">
        <v>1019</v>
      </c>
      <c r="G242" s="11" t="s">
        <v>1020</v>
      </c>
      <c r="H242" s="11" t="s">
        <v>1021</v>
      </c>
    </row>
    <row r="243" spans="1:8" ht="27" customHeight="1">
      <c r="A243" s="13" t="s">
        <v>1022</v>
      </c>
      <c r="B243" s="13"/>
      <c r="C243" s="13"/>
      <c r="D243" s="13"/>
      <c r="E243" s="5"/>
      <c r="F243" s="7">
        <f>IF(OR(E243="Oui",H243="Oui"),"Oui","Non")</f>
        <v>0</v>
      </c>
      <c r="G243" s="17" t="s">
        <v>1023</v>
      </c>
      <c r="H243" s="7"/>
    </row>
    <row r="244" spans="1:8" ht="27" customHeight="1">
      <c r="A244" s="13" t="s">
        <v>1024</v>
      </c>
      <c r="B244" s="13"/>
      <c r="C244" s="13"/>
      <c r="D244" s="13"/>
      <c r="E244" s="5"/>
      <c r="F244" s="7">
        <f>IF(OR(E244="Oui",H244="Oui"),"Oui","Non")</f>
        <v>0</v>
      </c>
      <c r="G244" s="17" t="s">
        <v>1023</v>
      </c>
      <c r="H244" s="7"/>
    </row>
    <row r="245" spans="1:8" ht="27" customHeight="1">
      <c r="A245" s="13" t="s">
        <v>1025</v>
      </c>
      <c r="B245" s="13"/>
      <c r="C245" s="13"/>
      <c r="D245" s="13"/>
      <c r="E245" s="5"/>
      <c r="F245" s="7">
        <f>IF(OR(E245="Oui",H245="Oui"),"Oui","Non")</f>
        <v>0</v>
      </c>
      <c r="G245" s="17" t="s">
        <v>1023</v>
      </c>
      <c r="H245" s="7"/>
    </row>
    <row r="246" spans="1:8" ht="27" customHeight="1">
      <c r="A246" s="13" t="s">
        <v>1026</v>
      </c>
      <c r="B246" s="13"/>
      <c r="C246" s="13"/>
      <c r="D246" s="13"/>
      <c r="E246" s="5"/>
      <c r="F246" s="7">
        <f>IF(OR(E246="Oui",H246="Oui"),"Oui","Non")</f>
        <v>0</v>
      </c>
      <c r="G246" s="17" t="s">
        <v>1023</v>
      </c>
      <c r="H246" s="7"/>
    </row>
    <row r="247" spans="1:8" ht="27" customHeight="1">
      <c r="A247" s="13" t="s">
        <v>1027</v>
      </c>
      <c r="B247" s="13"/>
      <c r="C247" s="13"/>
      <c r="D247" s="13"/>
      <c r="E247" s="5"/>
      <c r="F247" s="7">
        <f>IF(OR(E247="Oui",H247="Oui"),"Oui","Non")</f>
        <v>0</v>
      </c>
      <c r="G247" s="17" t="s">
        <v>1028</v>
      </c>
      <c r="H247" s="7"/>
    </row>
    <row r="248" spans="1:8" ht="27" customHeight="1">
      <c r="A248" s="13" t="s">
        <v>1029</v>
      </c>
      <c r="B248" s="13"/>
      <c r="C248" s="13"/>
      <c r="D248" s="13"/>
      <c r="E248" s="5"/>
      <c r="F248" s="7">
        <f>IF(OR(E248="Oui",H248="Oui"),"Oui","Non")</f>
        <v>0</v>
      </c>
      <c r="G248" s="17" t="s">
        <v>1028</v>
      </c>
      <c r="H248" s="7"/>
    </row>
    <row r="249" spans="1:8" ht="27" customHeight="1">
      <c r="A249" s="13" t="s">
        <v>1030</v>
      </c>
      <c r="B249" s="13"/>
      <c r="C249" s="13"/>
      <c r="D249" s="13"/>
      <c r="E249" s="5"/>
      <c r="F249" s="7">
        <f>IF(OR(E249="Oui",H249="Oui"),"Oui","Non")</f>
        <v>0</v>
      </c>
      <c r="G249" s="17" t="s">
        <v>1031</v>
      </c>
      <c r="H249" s="7">
        <f>IF(AND($B$20="P1",ISNUMBER($B$51),$B$51&lt;P_N3_V),"Oui","")</f>
        <v>0</v>
      </c>
    </row>
    <row r="250" spans="1:8" ht="27" customHeight="1">
      <c r="A250" s="13" t="s">
        <v>1032</v>
      </c>
      <c r="B250" s="13"/>
      <c r="C250" s="13"/>
      <c r="D250" s="13"/>
      <c r="E250" s="5"/>
      <c r="F250" s="7">
        <f>IF(OR(E250="Oui",H250="Oui"),"Oui","Non")</f>
        <v>0</v>
      </c>
      <c r="G250" s="17" t="s">
        <v>1028</v>
      </c>
      <c r="H250" s="7"/>
    </row>
    <row r="251" spans="1:8" ht="27" customHeight="1">
      <c r="A251" s="13" t="s">
        <v>1033</v>
      </c>
      <c r="B251" s="13"/>
      <c r="C251" s="13"/>
      <c r="D251" s="13"/>
      <c r="E251" s="5"/>
      <c r="F251" s="7">
        <f>IF(OR(E251="Oui",H251="Oui"),"Oui","Non")</f>
        <v>0</v>
      </c>
      <c r="G251" s="17" t="s">
        <v>1031</v>
      </c>
      <c r="H251" s="7"/>
    </row>
    <row r="252" spans="1:8" ht="27" customHeight="1">
      <c r="A252" s="13" t="s">
        <v>1034</v>
      </c>
      <c r="B252" s="13"/>
      <c r="C252" s="13"/>
      <c r="D252" s="13"/>
      <c r="E252" s="5"/>
      <c r="F252" s="7">
        <f>IF(H252="Oui","Oui","Non")</f>
        <v>0</v>
      </c>
      <c r="G252" s="17" t="s">
        <v>1035</v>
      </c>
      <c r="H252" s="7">
        <f>IF(E252="Non","Oui","")</f>
        <v>0</v>
      </c>
    </row>
    <row r="253" spans="1:8" ht="27" customHeight="1">
      <c r="A253" s="13" t="s">
        <v>1036</v>
      </c>
      <c r="B253" s="13"/>
      <c r="C253" s="13"/>
      <c r="D253" s="13"/>
      <c r="E253" s="5"/>
      <c r="F253" s="7">
        <f>IF(OR(E253="Oui",H253="Oui"),"Oui","Non")</f>
        <v>0</v>
      </c>
      <c r="G253" s="17" t="s">
        <v>1035</v>
      </c>
      <c r="H253" s="7">
        <f>IF(AND(ISNUMBER($B$225),$B$225&lt;1),"Oui","")</f>
        <v>0</v>
      </c>
    </row>
    <row r="254" spans="1:8" ht="27" customHeight="1">
      <c r="A254" s="13" t="s">
        <v>1037</v>
      </c>
      <c r="B254" s="13"/>
      <c r="C254" s="13"/>
      <c r="D254" s="13"/>
      <c r="E254" s="5"/>
      <c r="F254" s="7">
        <f>IF(OR(E254="Oui",H254="Oui"),"Oui","Non")</f>
        <v>0</v>
      </c>
      <c r="G254" s="17" t="s">
        <v>1028</v>
      </c>
      <c r="H254" s="7"/>
    </row>
    <row r="256" spans="1:8">
      <c r="A256" s="3" t="s">
        <v>1038</v>
      </c>
      <c r="B256" s="3"/>
      <c r="C256" s="3"/>
      <c r="D256" s="3"/>
      <c r="E256" s="3"/>
      <c r="F256" s="3"/>
      <c r="G256" s="3"/>
      <c r="H256" s="3"/>
    </row>
    <row r="257" spans="1:7">
      <c r="A257" s="11" t="s">
        <v>1017</v>
      </c>
      <c r="B257" s="11" t="s">
        <v>1039</v>
      </c>
      <c r="C257" s="11" t="s">
        <v>1040</v>
      </c>
      <c r="D257" s="11"/>
      <c r="E257" s="11" t="s">
        <v>1019</v>
      </c>
      <c r="F257" s="11" t="s">
        <v>131</v>
      </c>
      <c r="G257" s="11" t="s">
        <v>1041</v>
      </c>
    </row>
    <row r="258" spans="1:7" ht="27" customHeight="1">
      <c r="A258" s="13" t="s">
        <v>1042</v>
      </c>
      <c r="B258" s="19">
        <f>$D$154</f>
        <v>0</v>
      </c>
      <c r="C258" s="19">
        <f>P_C1</f>
        <v>0</v>
      </c>
      <c r="D258" s="19"/>
      <c r="E258" s="7">
        <f>IF($D$154="","n.r.",IF($D$154&lt;P_C1,"Oui","Non"))</f>
        <v>0</v>
      </c>
      <c r="F258" s="15">
        <f>INDEX(P_PlafNiv,1)</f>
        <v>0</v>
      </c>
      <c r="G258" s="15">
        <f>IF(E258="Oui",F258,10)</f>
        <v>0</v>
      </c>
    </row>
    <row r="259" spans="1:7" ht="27" customHeight="1">
      <c r="A259" s="13" t="s">
        <v>1043</v>
      </c>
      <c r="B259" s="19">
        <f>$D$154</f>
        <v>0</v>
      </c>
      <c r="C259" s="18">
        <f>$B$88</f>
        <v>0</v>
      </c>
      <c r="D259" s="18"/>
      <c r="E259" s="7">
        <f>IF(OR($D$154="",$B$88=""),"n.r.",IF($D$154&lt;$B$88,"Oui","Non"))</f>
        <v>0</v>
      </c>
      <c r="F259" s="15">
        <f>INDEX(P_PlafNiv,2)</f>
        <v>0</v>
      </c>
      <c r="G259" s="15">
        <f>IF(E259="Oui",F259,10)</f>
        <v>0</v>
      </c>
    </row>
    <row r="260" spans="1:7" ht="27" customHeight="1">
      <c r="A260" s="13" t="s">
        <v>1044</v>
      </c>
      <c r="B260" s="19">
        <f>$D$155</f>
        <v>0</v>
      </c>
      <c r="C260" s="19">
        <f>P_C3</f>
        <v>0</v>
      </c>
      <c r="D260" s="19"/>
      <c r="E260" s="7">
        <f>IF($D$155="","n.r.",IF($D$155&lt;P_C3,"Oui","Non"))</f>
        <v>0</v>
      </c>
      <c r="F260" s="15">
        <f>INDEX(P_PlafNiv,3)</f>
        <v>0</v>
      </c>
      <c r="G260" s="15">
        <f>IF(E260="Oui",F260,10)</f>
        <v>0</v>
      </c>
    </row>
    <row r="261" spans="1:7" ht="27" customHeight="1">
      <c r="A261" s="13" t="s">
        <v>1045</v>
      </c>
      <c r="B261" s="18">
        <f>$B$172</f>
        <v>0</v>
      </c>
      <c r="C261" s="18">
        <f>P_C4</f>
        <v>0</v>
      </c>
      <c r="D261" s="18"/>
      <c r="E261" s="7">
        <f>IF($B$172="","n.r.",IF($B$172&lt;P_C4,"Oui","Non"))</f>
        <v>0</v>
      </c>
      <c r="F261" s="15">
        <f>INDEX(P_PlafNiv,4)</f>
        <v>0</v>
      </c>
      <c r="G261" s="15">
        <f>IF(E261="Oui",F261,10)</f>
        <v>0</v>
      </c>
    </row>
    <row r="262" spans="1:7" ht="27" customHeight="1">
      <c r="A262" s="13" t="s">
        <v>1046</v>
      </c>
      <c r="B262" s="13">
        <f>IF($B$179="","",$B$179&amp;" ans / dette "&amp;$B$180&amp;" ans")</f>
        <v>0</v>
      </c>
      <c r="C262" s="13">
        <f>"contrat &lt; dette"</f>
        <v>0</v>
      </c>
      <c r="D262" s="13"/>
      <c r="E262" s="7">
        <f>IF($B$18="R4","n.a.",IF(OR($B$179="",$B$180=""),"n.r.",IF(AND($B$179&lt;$B$180,$B$181&lt;&gt;"Oui"),"Oui","Non")))</f>
        <v>0</v>
      </c>
      <c r="F262" s="15">
        <f>INDEX(P_PlafNiv,5)</f>
        <v>0</v>
      </c>
      <c r="G262" s="15">
        <f>IF(E262="Oui",F262,10)</f>
        <v>0</v>
      </c>
    </row>
    <row r="263" spans="1:7" ht="27" customHeight="1">
      <c r="A263" s="13" t="s">
        <v>1047</v>
      </c>
      <c r="B263" s="28">
        <f>$B$174</f>
        <v>0</v>
      </c>
      <c r="C263" s="28">
        <f>P_C6</f>
        <v>0</v>
      </c>
      <c r="D263" s="28"/>
      <c r="E263" s="7">
        <f>IF($B$174="","n.r.",IF($B$174&gt;P_C6,"Oui","Non"))</f>
        <v>0</v>
      </c>
      <c r="F263" s="15">
        <f>INDEX(P_PlafNiv,6)</f>
        <v>0</v>
      </c>
      <c r="G263" s="15">
        <f>IF(E263="Oui",F263,10)</f>
        <v>0</v>
      </c>
    </row>
    <row r="264" spans="1:7" ht="27" customHeight="1">
      <c r="A264" s="13" t="s">
        <v>1048</v>
      </c>
      <c r="B264" s="20">
        <f>$B$173</f>
        <v>0</v>
      </c>
      <c r="C264" s="20">
        <f>P_C7</f>
        <v>0</v>
      </c>
      <c r="D264" s="20"/>
      <c r="E264" s="7">
        <f>IF($B$173="","n.r.",IF($B$173&lt;P_C7,"Oui","Non"))</f>
        <v>0</v>
      </c>
      <c r="F264" s="15">
        <f>INDEX(P_PlafNiv,7)</f>
        <v>0</v>
      </c>
      <c r="G264" s="15">
        <f>IF(E264="Oui",F264,10)</f>
        <v>0</v>
      </c>
    </row>
    <row r="265" spans="1:7" ht="27" customHeight="1">
      <c r="A265" s="13" t="s">
        <v>1049</v>
      </c>
      <c r="B265" s="28">
        <f>$B$175</f>
        <v>0</v>
      </c>
      <c r="C265" s="28">
        <f>P_C8</f>
        <v>0</v>
      </c>
      <c r="D265" s="28"/>
      <c r="E265" s="7">
        <f>IF($B$175="","n.r.",IF(AND($B$175&gt;P_C8,$B$176&lt;&gt;"Oui"),"Oui","Non"))</f>
        <v>0</v>
      </c>
      <c r="F265" s="15">
        <f>INDEX(P_PlafNiv,8)</f>
        <v>0</v>
      </c>
      <c r="G265" s="15">
        <f>IF(E265="Oui",F265,10)</f>
        <v>0</v>
      </c>
    </row>
    <row r="266" spans="1:7" ht="27" customHeight="1">
      <c r="A266" s="13" t="s">
        <v>1050</v>
      </c>
      <c r="B266" s="28">
        <f>$B$52</f>
        <v>0</v>
      </c>
      <c r="C266" s="28">
        <f>P_C9</f>
        <v>0</v>
      </c>
      <c r="D266" s="28"/>
      <c r="E266" s="7">
        <f>IF($B$52="","n.r.",IF($B$52&gt;P_C9,"Oui","Non"))</f>
        <v>0</v>
      </c>
      <c r="F266" s="15">
        <f>INDEX(P_PlafNiv,9)</f>
        <v>0</v>
      </c>
      <c r="G266" s="15">
        <f>IF(E266="Oui",F266,10)</f>
        <v>0</v>
      </c>
    </row>
    <row r="267" spans="1:7" ht="27" customHeight="1">
      <c r="A267" s="13" t="s">
        <v>1051</v>
      </c>
      <c r="B267" s="13">
        <f>IF($B$177="","",FIXED($B$177*100,0)&amp;" % — "&amp;$B$178)</f>
        <v>0</v>
      </c>
      <c r="C267" s="13">
        <f>P_C10</f>
        <v>0</v>
      </c>
      <c r="D267" s="13"/>
      <c r="E267" s="7">
        <f>IF(OR($B$177="",$B$178=""),"n.r.",IF(AND($B$177&gt;P_C10,$B$178&lt;&gt;INDEX(L_QualAch,1)),"Oui","Non"))</f>
        <v>0</v>
      </c>
      <c r="F267" s="15">
        <f>INDEX(P_PlafNiv,10)</f>
        <v>0</v>
      </c>
      <c r="G267" s="15">
        <f>IF(E267="Oui",F267,10)</f>
        <v>0</v>
      </c>
    </row>
    <row r="268" spans="1:7" ht="27" customHeight="1">
      <c r="A268" s="13" t="s">
        <v>1052</v>
      </c>
      <c r="B268" s="13">
        <f>$B$35</f>
        <v>0</v>
      </c>
      <c r="C268" s="13">
        <f>"élevé sans plan"</f>
        <v>0</v>
      </c>
      <c r="D268" s="13"/>
      <c r="E268" s="7">
        <f>IF($B$35="","n.r.",IF(AND($B$35="Oui",$B$182&lt;&gt;"Oui"),"Oui","Non"))</f>
        <v>0</v>
      </c>
      <c r="F268" s="15">
        <f>INDEX(P_PlafNiv,11)</f>
        <v>0</v>
      </c>
      <c r="G268" s="15">
        <f>IF(E268="Oui",F268,10)</f>
        <v>0</v>
      </c>
    </row>
    <row r="269" spans="1:7" ht="27" customHeight="1">
      <c r="A269" s="13" t="s">
        <v>1053</v>
      </c>
      <c r="B269" s="13">
        <f>$B$183</f>
        <v>0</v>
      </c>
      <c r="C269" s="13">
        <f>"insuffisante"</f>
        <v>0</v>
      </c>
      <c r="D269" s="13"/>
      <c r="E269" s="7">
        <f>IF($B$183="","n.r.",IF($B$183="Non","Oui","Non"))</f>
        <v>0</v>
      </c>
      <c r="F269" s="15">
        <f>INDEX(P_PlafNiv,12)</f>
        <v>0</v>
      </c>
      <c r="G269" s="15">
        <f>IF(E269="Oui",F269,10)</f>
        <v>0</v>
      </c>
    </row>
    <row r="270" spans="1:7" ht="27" customHeight="1">
      <c r="A270" s="13" t="s">
        <v>1054</v>
      </c>
      <c r="B270" s="13">
        <f>IF($B$184="","",$B$184&amp;IF($B$185="",""," — écart "&amp;$B$185&amp;" ans"))</f>
        <v>0</v>
      </c>
      <c r="C270" s="13">
        <f>P_C13</f>
        <v>0</v>
      </c>
      <c r="D270" s="13"/>
      <c r="E270" s="7">
        <f>IF($B$184="","n.r.",IF(AND($B$184="Non",N($B$185)&gt;P_C13),"Oui","Non"))</f>
        <v>0</v>
      </c>
      <c r="F270" s="15">
        <f>INDEX(P_PlafNiv,13)</f>
        <v>0</v>
      </c>
      <c r="G270" s="15">
        <f>IF(E270="Oui",F270,10)</f>
        <v>0</v>
      </c>
    </row>
    <row r="271" spans="1:7" ht="27" customHeight="1">
      <c r="A271" s="13" t="s">
        <v>1055</v>
      </c>
      <c r="B271" s="13">
        <f>$B$186</f>
        <v>0</v>
      </c>
      <c r="C271" s="13">
        <f>"au-delà limite"</f>
        <v>0</v>
      </c>
      <c r="D271" s="13"/>
      <c r="E271" s="7">
        <f>IF($B$186="","n.r.",IF($B$186="Oui","Oui","Non"))</f>
        <v>0</v>
      </c>
      <c r="F271" s="15">
        <f>INDEX(P_PlafNiv,14)</f>
        <v>0</v>
      </c>
      <c r="G271" s="15">
        <f>IF(E271="Oui",F271,10)</f>
        <v>0</v>
      </c>
    </row>
    <row r="272" spans="1:7" ht="27" customHeight="1">
      <c r="A272" s="13" t="s">
        <v>1056</v>
      </c>
      <c r="B272" s="28">
        <f>$B$224</f>
        <v>0</v>
      </c>
      <c r="C272" s="28">
        <f>P_COUV</f>
        <v>0</v>
      </c>
      <c r="D272" s="28"/>
      <c r="E272" s="7">
        <f>IF(OR($B$224="",$B$225=""),"n.r.",IF(OR($B$224&lt;P_COUV,$B$225&lt;1),"Oui","Non"))</f>
        <v>0</v>
      </c>
      <c r="F272" s="15">
        <f>INDEX(P_PlafNiv,15)</f>
        <v>0</v>
      </c>
      <c r="G272" s="15">
        <f>IF(E272="Oui",F272,10)</f>
        <v>0</v>
      </c>
    </row>
    <row r="273" spans="1:8">
      <c r="A273" s="21" t="s">
        <v>1057</v>
      </c>
      <c r="B273" s="14">
        <f>MIN(G258:G272)</f>
        <v>0</v>
      </c>
    </row>
    <row r="275" spans="1:8">
      <c r="A275" s="3" t="s">
        <v>1058</v>
      </c>
      <c r="B275" s="3"/>
      <c r="C275" s="3"/>
      <c r="D275" s="3"/>
      <c r="E275" s="3"/>
      <c r="F275" s="3"/>
      <c r="G275" s="3"/>
      <c r="H275" s="3"/>
    </row>
    <row r="276" spans="1:8" ht="30" customHeight="1">
      <c r="A276" s="21" t="s">
        <v>1059</v>
      </c>
      <c r="B276" s="25">
        <f>IF(COUNTIF(F243:F246,"Oui")&gt;0,"—",IF(B239="","",MIN(B239,B273)))</f>
        <v>0</v>
      </c>
    </row>
    <row r="277" spans="1:8">
      <c r="A277" s="21" t="s">
        <v>817</v>
      </c>
      <c r="B277" s="32">
        <f>IF(B239="","Dossier incomplet",IF(COUNTIF(F243:F246,"Oui")&gt;0,"Hors périmètre — aucune note produite",IF(COUNTIF(F247:F254,"Oui")&gt;0,"Note provisoire — stade bloqué : "&amp;TRIM(IF(F247="Oui","B1 (Octroi)  ","")&amp;IF(F248="Oui","B2 (Octroi)  ","")&amp;IF(F249="Oui","B3 (Décaissement)  ","")&amp;IF(F250="Oui","B4 (Octroi)  ","")&amp;IF(F251="Oui","B5 (Décaissement)  ","")&amp;IF(F252="Oui","B6 (Notation validée)  ","")&amp;IF(F253="Oui","B7 (Notation validée)  ","")&amp;IF(F254="Oui","B8 (Octroi)  ","")),IF(E272="Oui","Note provisoire — évaluation partielle (C15)","Note validable, à soumettre au comité"))))</f>
        <v>0</v>
      </c>
      <c r="C277" s="32"/>
      <c r="D277" s="32"/>
      <c r="E277" s="32"/>
      <c r="F277" s="32"/>
      <c r="G277" s="32"/>
      <c r="H277" s="32"/>
    </row>
    <row r="279" spans="1:8">
      <c r="A279" s="3" t="s">
        <v>1060</v>
      </c>
      <c r="B279" s="3"/>
      <c r="C279" s="3"/>
      <c r="D279" s="3"/>
      <c r="E279" s="3"/>
      <c r="F279" s="3"/>
      <c r="G279" s="3"/>
      <c r="H279" s="3"/>
    </row>
    <row r="280" spans="1:8" ht="75" customHeight="1">
      <c r="A280" s="22" t="s">
        <v>1061</v>
      </c>
      <c r="B280" s="47"/>
      <c r="C280" s="47"/>
      <c r="D280" s="47"/>
      <c r="E280" s="47"/>
      <c r="F280" s="47"/>
      <c r="G280" s="47"/>
      <c r="H280" s="47"/>
    </row>
    <row r="281" spans="1:8" ht="45" customHeight="1">
      <c r="A281" s="22" t="s">
        <v>1063</v>
      </c>
      <c r="B281" s="47"/>
      <c r="C281" s="47"/>
      <c r="D281" s="47"/>
      <c r="E281" s="47"/>
      <c r="F281" s="47"/>
      <c r="G281" s="47"/>
      <c r="H281" s="47"/>
    </row>
    <row r="282" spans="1:8" ht="45" customHeight="1">
      <c r="A282" s="22" t="s">
        <v>1065</v>
      </c>
      <c r="B282" s="47"/>
      <c r="C282" s="47"/>
      <c r="D282" s="47"/>
      <c r="E282" s="47"/>
      <c r="F282" s="47"/>
      <c r="G282" s="47"/>
      <c r="H282" s="47"/>
    </row>
    <row r="283" spans="1:8" ht="60" customHeight="1">
      <c r="A283" s="22" t="s">
        <v>1067</v>
      </c>
      <c r="B283" s="47"/>
      <c r="C283" s="47"/>
      <c r="D283" s="47"/>
      <c r="E283" s="47"/>
      <c r="F283" s="47"/>
      <c r="G283" s="47"/>
      <c r="H283" s="47"/>
    </row>
    <row r="284" spans="1:8" ht="60" customHeight="1">
      <c r="A284" s="22">
        <f>IF(OR(COUNTIF($E$258:$E$272,"Oui")&gt;0,COUNTIF($F$243:$F$254,"Oui")&gt;0,SUMPRODUCT(($J$190:$J$222="SC")*($K$190:$K$222=1)*($S$190:$S$222=5))&gt;0,COUNTIF($S$166:$S$168,5)&gt;0),"Justification des écarts — OBLIGATOIRE : plafond, verrou ou info. insuffisante actif","Justification des écarts (aucun plafond, verrou ni info. insuffisante actif)")</f>
        <v>0</v>
      </c>
      <c r="B284" s="47"/>
      <c r="C284" s="47"/>
      <c r="D284" s="47"/>
      <c r="E284" s="47"/>
      <c r="F284" s="47"/>
      <c r="G284" s="47"/>
      <c r="H284" s="47"/>
    </row>
    <row r="285" spans="1:8" ht="30" customHeight="1">
      <c r="A285" s="22" t="s">
        <v>1069</v>
      </c>
      <c r="B285" s="5"/>
      <c r="C285" s="5"/>
      <c r="D285" s="47"/>
      <c r="E285" s="47"/>
      <c r="F285" s="47"/>
      <c r="G285" s="47"/>
      <c r="H285" s="47"/>
    </row>
    <row r="286" spans="1:8" ht="30" customHeight="1">
      <c r="A286" s="22" t="s">
        <v>1071</v>
      </c>
      <c r="B286" s="5"/>
      <c r="C286" s="5"/>
      <c r="D286" s="47"/>
      <c r="E286" s="47"/>
      <c r="F286" s="47"/>
      <c r="G286" s="47"/>
      <c r="H286" s="47"/>
    </row>
  </sheetData>
  <sheetProtection sheet="1" objects="1" scenarios="1" formatColumns="0" formatRows="0"/>
  <mergeCells count="151">
    <mergeCell ref="A3:H3"/>
    <mergeCell ref="C4:F4"/>
    <mergeCell ref="G4:H4"/>
    <mergeCell ref="A5:H5"/>
    <mergeCell ref="F6:H6"/>
    <mergeCell ref="F7:H7"/>
    <mergeCell ref="B8:H8"/>
    <mergeCell ref="B9:H9"/>
    <mergeCell ref="F11:H11"/>
    <mergeCell ref="A13:H13"/>
    <mergeCell ref="C14:H14"/>
    <mergeCell ref="C15:H15"/>
    <mergeCell ref="C16:H16"/>
    <mergeCell ref="C17:H17"/>
    <mergeCell ref="C18:H18"/>
    <mergeCell ref="C19:H19"/>
    <mergeCell ref="C20:H20"/>
    <mergeCell ref="C21:H21"/>
    <mergeCell ref="C22:H22"/>
    <mergeCell ref="A24:H24"/>
    <mergeCell ref="C25:H25"/>
    <mergeCell ref="C37:H37"/>
    <mergeCell ref="C38:H38"/>
    <mergeCell ref="A40:H40"/>
    <mergeCell ref="F41:G41"/>
    <mergeCell ref="F42:G42"/>
    <mergeCell ref="F43:G43"/>
    <mergeCell ref="F44:G44"/>
    <mergeCell ref="F45:G45"/>
    <mergeCell ref="F46:G46"/>
    <mergeCell ref="F47:G47"/>
    <mergeCell ref="F48:G48"/>
    <mergeCell ref="F49:G49"/>
    <mergeCell ref="A55:H55"/>
    <mergeCell ref="B56:D56"/>
    <mergeCell ref="B57:D57"/>
    <mergeCell ref="B58:D58"/>
    <mergeCell ref="B59:D59"/>
    <mergeCell ref="B60:D60"/>
    <mergeCell ref="B61:D61"/>
    <mergeCell ref="B62:D62"/>
    <mergeCell ref="A63:D63"/>
    <mergeCell ref="F63:G63"/>
    <mergeCell ref="A65:H65"/>
    <mergeCell ref="D66:H66"/>
    <mergeCell ref="D67:H67"/>
    <mergeCell ref="D68:H68"/>
    <mergeCell ref="D69:H69"/>
    <mergeCell ref="D70:H70"/>
    <mergeCell ref="D71:H71"/>
    <mergeCell ref="D72:H72"/>
    <mergeCell ref="B73:H73"/>
    <mergeCell ref="B74:H74"/>
    <mergeCell ref="B75:H75"/>
    <mergeCell ref="B76:H76"/>
    <mergeCell ref="B77:H77"/>
    <mergeCell ref="B78:H78"/>
    <mergeCell ref="B79:H79"/>
    <mergeCell ref="B80:H80"/>
    <mergeCell ref="B81:H81"/>
    <mergeCell ref="A83:H83"/>
    <mergeCell ref="A90:H90"/>
    <mergeCell ref="C91:H91"/>
    <mergeCell ref="A161:H161"/>
    <mergeCell ref="E162:G162"/>
    <mergeCell ref="E163:H163"/>
    <mergeCell ref="E164:H164"/>
    <mergeCell ref="E165:H165"/>
    <mergeCell ref="E166:G166"/>
    <mergeCell ref="E167:G167"/>
    <mergeCell ref="E168:G168"/>
    <mergeCell ref="A170:H170"/>
    <mergeCell ref="A188:H188"/>
    <mergeCell ref="E189:G189"/>
    <mergeCell ref="E190:H190"/>
    <mergeCell ref="E191:G191"/>
    <mergeCell ref="E192:G192"/>
    <mergeCell ref="E193:G193"/>
    <mergeCell ref="E194:H194"/>
    <mergeCell ref="E195:G195"/>
    <mergeCell ref="E196:G196"/>
    <mergeCell ref="E197:G197"/>
    <mergeCell ref="E198:H198"/>
    <mergeCell ref="E199:G199"/>
    <mergeCell ref="E200:G200"/>
    <mergeCell ref="E201:G201"/>
    <mergeCell ref="E202:H202"/>
    <mergeCell ref="E203:G203"/>
    <mergeCell ref="E204:G204"/>
    <mergeCell ref="E205:G205"/>
    <mergeCell ref="E206:H206"/>
    <mergeCell ref="E207:G207"/>
    <mergeCell ref="E208:G208"/>
    <mergeCell ref="E209:G209"/>
    <mergeCell ref="E210:H210"/>
    <mergeCell ref="E211:G211"/>
    <mergeCell ref="E212:G212"/>
    <mergeCell ref="E213:G213"/>
    <mergeCell ref="E214:H214"/>
    <mergeCell ref="E215:G215"/>
    <mergeCell ref="E216:G216"/>
    <mergeCell ref="E217:G217"/>
    <mergeCell ref="E218:H218"/>
    <mergeCell ref="E219:G219"/>
    <mergeCell ref="E220:G220"/>
    <mergeCell ref="E221:G221"/>
    <mergeCell ref="E222:G222"/>
    <mergeCell ref="A227:H227"/>
    <mergeCell ref="A241:H241"/>
    <mergeCell ref="A242:D242"/>
    <mergeCell ref="A243:D243"/>
    <mergeCell ref="A244:D244"/>
    <mergeCell ref="A245:D245"/>
    <mergeCell ref="A246:D246"/>
    <mergeCell ref="A247:D247"/>
    <mergeCell ref="A248:D248"/>
    <mergeCell ref="A249:D249"/>
    <mergeCell ref="A250:D250"/>
    <mergeCell ref="A251:D251"/>
    <mergeCell ref="A252:D252"/>
    <mergeCell ref="A253:D253"/>
    <mergeCell ref="A254:D254"/>
    <mergeCell ref="A256:H256"/>
    <mergeCell ref="C257:D257"/>
    <mergeCell ref="C258:D258"/>
    <mergeCell ref="C259:D259"/>
    <mergeCell ref="C260:D260"/>
    <mergeCell ref="C261:D261"/>
    <mergeCell ref="C262:D262"/>
    <mergeCell ref="C263:D263"/>
    <mergeCell ref="C264:D264"/>
    <mergeCell ref="C265:D265"/>
    <mergeCell ref="C266:D266"/>
    <mergeCell ref="C267:D267"/>
    <mergeCell ref="C268:D268"/>
    <mergeCell ref="C269:D269"/>
    <mergeCell ref="C270:D270"/>
    <mergeCell ref="C271:D271"/>
    <mergeCell ref="C272:D272"/>
    <mergeCell ref="A275:H275"/>
    <mergeCell ref="B277:H277"/>
    <mergeCell ref="A279:H279"/>
    <mergeCell ref="B280:H280"/>
    <mergeCell ref="B281:H281"/>
    <mergeCell ref="B282:H282"/>
    <mergeCell ref="B283:H283"/>
    <mergeCell ref="B284:H284"/>
    <mergeCell ref="B285:C285"/>
    <mergeCell ref="D285:H285"/>
    <mergeCell ref="B286:C286"/>
    <mergeCell ref="D286:H286"/>
  </mergeCells>
  <conditionalFormatting sqref="A191:H191">
    <cfRule type="expression" dxfId="5" priority="36">
      <formula>$K$191=0</formula>
    </cfRule>
  </conditionalFormatting>
  <conditionalFormatting sqref="A192:H192">
    <cfRule type="expression" dxfId="5" priority="40">
      <formula>$K$192=0</formula>
    </cfRule>
  </conditionalFormatting>
  <conditionalFormatting sqref="A193:H193">
    <cfRule type="expression" dxfId="5" priority="44">
      <formula>$K$193=0</formula>
    </cfRule>
  </conditionalFormatting>
  <conditionalFormatting sqref="A195:H195">
    <cfRule type="expression" dxfId="5" priority="48">
      <formula>$K$195=0</formula>
    </cfRule>
  </conditionalFormatting>
  <conditionalFormatting sqref="A196:H196">
    <cfRule type="expression" dxfId="5" priority="52">
      <formula>$K$196=0</formula>
    </cfRule>
  </conditionalFormatting>
  <conditionalFormatting sqref="A197:H197">
    <cfRule type="expression" dxfId="5" priority="56">
      <formula>$K$197=0</formula>
    </cfRule>
  </conditionalFormatting>
  <conditionalFormatting sqref="A199:H199">
    <cfRule type="expression" dxfId="5" priority="60">
      <formula>$K$199=0</formula>
    </cfRule>
  </conditionalFormatting>
  <conditionalFormatting sqref="A200:H200">
    <cfRule type="expression" dxfId="5" priority="64">
      <formula>$K$200=0</formula>
    </cfRule>
  </conditionalFormatting>
  <conditionalFormatting sqref="A201:H201">
    <cfRule type="expression" dxfId="5" priority="68">
      <formula>$K$201=0</formula>
    </cfRule>
  </conditionalFormatting>
  <conditionalFormatting sqref="A203:H203">
    <cfRule type="expression" dxfId="5" priority="72">
      <formula>$K$203=0</formula>
    </cfRule>
  </conditionalFormatting>
  <conditionalFormatting sqref="A204:H204">
    <cfRule type="expression" dxfId="5" priority="76">
      <formula>$K$204=0</formula>
    </cfRule>
  </conditionalFormatting>
  <conditionalFormatting sqref="A205:H205">
    <cfRule type="expression" dxfId="5" priority="80">
      <formula>$K$205=0</formula>
    </cfRule>
  </conditionalFormatting>
  <conditionalFormatting sqref="A207:H207">
    <cfRule type="expression" dxfId="5" priority="84">
      <formula>$K$207=0</formula>
    </cfRule>
  </conditionalFormatting>
  <conditionalFormatting sqref="A208:H208">
    <cfRule type="expression" dxfId="5" priority="88">
      <formula>$K$208=0</formula>
    </cfRule>
  </conditionalFormatting>
  <conditionalFormatting sqref="A209:H209">
    <cfRule type="expression" dxfId="5" priority="92">
      <formula>$K$209=0</formula>
    </cfRule>
  </conditionalFormatting>
  <conditionalFormatting sqref="A211:H211">
    <cfRule type="expression" dxfId="5" priority="96">
      <formula>$K$211=0</formula>
    </cfRule>
  </conditionalFormatting>
  <conditionalFormatting sqref="A212:H212">
    <cfRule type="expression" dxfId="5" priority="100">
      <formula>$K$212=0</formula>
    </cfRule>
  </conditionalFormatting>
  <conditionalFormatting sqref="A213:H213">
    <cfRule type="expression" dxfId="5" priority="104">
      <formula>$K$213=0</formula>
    </cfRule>
  </conditionalFormatting>
  <conditionalFormatting sqref="A215:H215">
    <cfRule type="expression" dxfId="5" priority="108">
      <formula>$K$215=0</formula>
    </cfRule>
  </conditionalFormatting>
  <conditionalFormatting sqref="A216:H216">
    <cfRule type="expression" dxfId="5" priority="112">
      <formula>$K$216=0</formula>
    </cfRule>
  </conditionalFormatting>
  <conditionalFormatting sqref="A217:H217">
    <cfRule type="expression" dxfId="5" priority="116">
      <formula>$K$217=0</formula>
    </cfRule>
  </conditionalFormatting>
  <conditionalFormatting sqref="A219:H219">
    <cfRule type="expression" dxfId="5" priority="120">
      <formula>$K$219=0</formula>
    </cfRule>
  </conditionalFormatting>
  <conditionalFormatting sqref="A220:H220">
    <cfRule type="expression" dxfId="5" priority="124">
      <formula>$K$220=0</formula>
    </cfRule>
  </conditionalFormatting>
  <conditionalFormatting sqref="A221:H221">
    <cfRule type="expression" dxfId="5" priority="128">
      <formula>$K$221=0</formula>
    </cfRule>
  </conditionalFormatting>
  <conditionalFormatting sqref="A222:H222">
    <cfRule type="expression" dxfId="5" priority="132">
      <formula>$K$222=0</formula>
    </cfRule>
  </conditionalFormatting>
  <conditionalFormatting sqref="A67:H67">
    <cfRule type="expression" dxfId="4" priority="15">
      <formula>$A$67="Sans objet pour ce secteur"</formula>
    </cfRule>
  </conditionalFormatting>
  <conditionalFormatting sqref="A68:H68">
    <cfRule type="expression" dxfId="4" priority="16">
      <formula>$A$68="Sans objet pour ce secteur"</formula>
    </cfRule>
  </conditionalFormatting>
  <conditionalFormatting sqref="A69:H69">
    <cfRule type="expression" dxfId="4" priority="17">
      <formula>$A$69="Sans objet pour ce secteur"</formula>
    </cfRule>
  </conditionalFormatting>
  <conditionalFormatting sqref="A70:H70">
    <cfRule type="expression" dxfId="4" priority="18">
      <formula>$A$70="Sans objet pour ce secteur"</formula>
    </cfRule>
  </conditionalFormatting>
  <conditionalFormatting sqref="A71:H71">
    <cfRule type="expression" dxfId="4" priority="19">
      <formula>$A$71="Sans objet pour ce secteur"</formula>
    </cfRule>
  </conditionalFormatting>
  <conditionalFormatting sqref="A72:H72">
    <cfRule type="expression" dxfId="4" priority="20">
      <formula>$A$72="Sans objet pour ce secteur"</formula>
    </cfRule>
  </conditionalFormatting>
  <conditionalFormatting sqref="B15">
    <cfRule type="expression" dxfId="2" priority="190">
      <formula>NOT(AND(LEN(TRIM($B$15))&gt;=1,LEN($B$15)&lt;=20))</formula>
    </cfRule>
  </conditionalFormatting>
  <conditionalFormatting sqref="B16">
    <cfRule type="expression" dxfId="2" priority="191">
      <formula>NOT(AND(LEN($B$16)=7,SUMPRODUCT(--ISNUMBER(FIND(MID($B$16,ROW(INDIRECT("1:7"))+0,1),"0123456789")))=7))</formula>
    </cfRule>
  </conditionalFormatting>
  <conditionalFormatting sqref="B17">
    <cfRule type="expression" dxfId="2" priority="192">
      <formula>NOT(AND(LEN($B$17)=12,EXACT(LEFT($B$17,3),"PF-"),MID($B$17,8,1)="-",SUMPRODUCT(--ISNUMBER(FIND(MID($B$17,ROW(INDIRECT("1:4"))+3,1),"0123456789")))=4,SUMPRODUCT(--ISNUMBER(FIND(MID($B$17,ROW(INDIRECT("1:4"))+8,1),"0123456789")))=4))</formula>
    </cfRule>
  </conditionalFormatting>
  <conditionalFormatting sqref="B171">
    <cfRule type="expression" dxfId="2" priority="215">
      <formula>NOT(OR($B$20="P1",$B$171&lt;&gt;""))</formula>
    </cfRule>
  </conditionalFormatting>
  <conditionalFormatting sqref="B172">
    <cfRule type="expression" dxfId="2" priority="216">
      <formula>NOT(ISNUMBER($B$172))</formula>
    </cfRule>
  </conditionalFormatting>
  <conditionalFormatting sqref="B173">
    <cfRule type="expression" dxfId="2" priority="217">
      <formula>NOT(ISNUMBER($B$173))</formula>
    </cfRule>
  </conditionalFormatting>
  <conditionalFormatting sqref="B174">
    <cfRule type="expression" dxfId="2" priority="218">
      <formula>NOT(ISNUMBER($B$174))</formula>
    </cfRule>
  </conditionalFormatting>
  <conditionalFormatting sqref="B175">
    <cfRule type="expression" dxfId="2" priority="219">
      <formula>NOT(ISNUMBER($B$175))</formula>
    </cfRule>
  </conditionalFormatting>
  <conditionalFormatting sqref="B176">
    <cfRule type="expression" dxfId="2" priority="220">
      <formula>NOT(OR(N($B$175)&lt;=P_C8,$B$176&lt;&gt;""))</formula>
    </cfRule>
  </conditionalFormatting>
  <conditionalFormatting sqref="B177">
    <cfRule type="expression" dxfId="2" priority="221">
      <formula>NOT(ISNUMBER($B$177))</formula>
    </cfRule>
  </conditionalFormatting>
  <conditionalFormatting sqref="B178">
    <cfRule type="expression" dxfId="2" priority="222">
      <formula>NOT($B$178&lt;&gt;"")</formula>
    </cfRule>
  </conditionalFormatting>
  <conditionalFormatting sqref="B179">
    <cfRule type="expression" dxfId="2" priority="223">
      <formula>NOT(OR($B$18="R4",ISNUMBER($B$179)))</formula>
    </cfRule>
  </conditionalFormatting>
  <conditionalFormatting sqref="B18">
    <cfRule type="expression" dxfId="2" priority="193">
      <formula>NOT($B$18&lt;&gt;"")</formula>
    </cfRule>
  </conditionalFormatting>
  <conditionalFormatting sqref="B180">
    <cfRule type="expression" dxfId="2" priority="224">
      <formula>NOT(ISNUMBER($B$180))</formula>
    </cfRule>
  </conditionalFormatting>
  <conditionalFormatting sqref="B181">
    <cfRule type="expression" dxfId="2" priority="225">
      <formula>NOT(OR(NOT(AND(ISNUMBER($B$179),ISNUMBER($B$180))),N($B$179)&gt;=N($B$180),$B$181&lt;&gt;""))</formula>
    </cfRule>
  </conditionalFormatting>
  <conditionalFormatting sqref="B182">
    <cfRule type="expression" dxfId="2" priority="226">
      <formula>NOT(OR($B$35&lt;&gt;"Oui",$B$182&lt;&gt;""))</formula>
    </cfRule>
  </conditionalFormatting>
  <conditionalFormatting sqref="B183">
    <cfRule type="expression" dxfId="2" priority="227">
      <formula>NOT($B$183&lt;&gt;"")</formula>
    </cfRule>
  </conditionalFormatting>
  <conditionalFormatting sqref="B184">
    <cfRule type="expression" dxfId="2" priority="228">
      <formula>NOT($B$184&lt;&gt;"")</formula>
    </cfRule>
  </conditionalFormatting>
  <conditionalFormatting sqref="B185">
    <cfRule type="expression" dxfId="2" priority="229">
      <formula>NOT(OR($B$184&lt;&gt;"Non",ISNUMBER($B$185)))</formula>
    </cfRule>
  </conditionalFormatting>
  <conditionalFormatting sqref="B186">
    <cfRule type="expression" dxfId="2" priority="230">
      <formula>NOT($B$186&lt;&gt;"")</formula>
    </cfRule>
  </conditionalFormatting>
  <conditionalFormatting sqref="B19">
    <cfRule type="expression" dxfId="2" priority="194">
      <formula>NOT($B$19&lt;&gt;"")</formula>
    </cfRule>
  </conditionalFormatting>
  <conditionalFormatting sqref="B191">
    <cfRule type="expression" dxfId="0" priority="39">
      <formula>AND($K$191=1,N($S$191)&gt;=4)</formula>
    </cfRule>
  </conditionalFormatting>
  <conditionalFormatting sqref="B192">
    <cfRule type="expression" dxfId="0" priority="43">
      <formula>AND($K$192=1,N($S$192)&gt;=4)</formula>
    </cfRule>
  </conditionalFormatting>
  <conditionalFormatting sqref="B193">
    <cfRule type="expression" dxfId="0" priority="47">
      <formula>AND($K$193=1,N($S$193)&gt;=4)</formula>
    </cfRule>
  </conditionalFormatting>
  <conditionalFormatting sqref="B195">
    <cfRule type="expression" dxfId="0" priority="51">
      <formula>AND($K$195=1,N($S$195)&gt;=4)</formula>
    </cfRule>
  </conditionalFormatting>
  <conditionalFormatting sqref="B196">
    <cfRule type="expression" dxfId="0" priority="55">
      <formula>AND($K$196=1,N($S$196)&gt;=4)</formula>
    </cfRule>
  </conditionalFormatting>
  <conditionalFormatting sqref="B197">
    <cfRule type="expression" dxfId="0" priority="59">
      <formula>AND($K$197=1,N($S$197)&gt;=4)</formula>
    </cfRule>
  </conditionalFormatting>
  <conditionalFormatting sqref="B199">
    <cfRule type="expression" dxfId="0" priority="63">
      <formula>AND($K$199=1,N($S$199)&gt;=4)</formula>
    </cfRule>
  </conditionalFormatting>
  <conditionalFormatting sqref="B20">
    <cfRule type="expression" dxfId="2" priority="195">
      <formula>NOT($B$20&lt;&gt;"")</formula>
    </cfRule>
  </conditionalFormatting>
  <conditionalFormatting sqref="B200">
    <cfRule type="expression" dxfId="0" priority="67">
      <formula>AND($K$200=1,N($S$200)&gt;=4)</formula>
    </cfRule>
  </conditionalFormatting>
  <conditionalFormatting sqref="B201">
    <cfRule type="expression" dxfId="0" priority="71">
      <formula>AND($K$201=1,N($S$201)&gt;=4)</formula>
    </cfRule>
  </conditionalFormatting>
  <conditionalFormatting sqref="B203">
    <cfRule type="expression" dxfId="0" priority="75">
      <formula>AND($K$203=1,N($S$203)&gt;=4)</formula>
    </cfRule>
  </conditionalFormatting>
  <conditionalFormatting sqref="B204">
    <cfRule type="expression" dxfId="0" priority="79">
      <formula>AND($K$204=1,N($S$204)&gt;=4)</formula>
    </cfRule>
  </conditionalFormatting>
  <conditionalFormatting sqref="B205">
    <cfRule type="expression" dxfId="0" priority="83">
      <formula>AND($K$205=1,N($S$205)&gt;=4)</formula>
    </cfRule>
  </conditionalFormatting>
  <conditionalFormatting sqref="B207">
    <cfRule type="expression" dxfId="0" priority="87">
      <formula>AND($K$207=1,N($S$207)&gt;=4)</formula>
    </cfRule>
  </conditionalFormatting>
  <conditionalFormatting sqref="B208">
    <cfRule type="expression" dxfId="0" priority="91">
      <formula>AND($K$208=1,N($S$208)&gt;=4)</formula>
    </cfRule>
  </conditionalFormatting>
  <conditionalFormatting sqref="B209">
    <cfRule type="expression" dxfId="0" priority="95">
      <formula>AND($K$209=1,N($S$209)&gt;=4)</formula>
    </cfRule>
  </conditionalFormatting>
  <conditionalFormatting sqref="B21">
    <cfRule type="expression" dxfId="2" priority="196">
      <formula>NOT($B$21&lt;&gt;"")</formula>
    </cfRule>
  </conditionalFormatting>
  <conditionalFormatting sqref="B211">
    <cfRule type="expression" dxfId="0" priority="99">
      <formula>AND($K$211=1,N($S$211)&gt;=4)</formula>
    </cfRule>
  </conditionalFormatting>
  <conditionalFormatting sqref="B212">
    <cfRule type="expression" dxfId="0" priority="103">
      <formula>AND($K$212=1,N($S$212)&gt;=4)</formula>
    </cfRule>
  </conditionalFormatting>
  <conditionalFormatting sqref="B213">
    <cfRule type="expression" dxfId="0" priority="107">
      <formula>AND($K$213=1,N($S$213)&gt;=4)</formula>
    </cfRule>
  </conditionalFormatting>
  <conditionalFormatting sqref="B215">
    <cfRule type="expression" dxfId="0" priority="111">
      <formula>AND($K$215=1,N($S$215)&gt;=4)</formula>
    </cfRule>
  </conditionalFormatting>
  <conditionalFormatting sqref="B216">
    <cfRule type="expression" dxfId="0" priority="115">
      <formula>AND($K$216=1,N($S$216)&gt;=4)</formula>
    </cfRule>
  </conditionalFormatting>
  <conditionalFormatting sqref="B217">
    <cfRule type="expression" dxfId="0" priority="119">
      <formula>AND($K$217=1,N($S$217)&gt;=4)</formula>
    </cfRule>
  </conditionalFormatting>
  <conditionalFormatting sqref="B219">
    <cfRule type="expression" dxfId="0" priority="123">
      <formula>AND($K$219=1,N($S$219)&gt;=4)</formula>
    </cfRule>
  </conditionalFormatting>
  <conditionalFormatting sqref="B220">
    <cfRule type="expression" dxfId="0" priority="127">
      <formula>AND($K$220=1,N($S$220)&gt;=4)</formula>
    </cfRule>
  </conditionalFormatting>
  <conditionalFormatting sqref="B221">
    <cfRule type="expression" dxfId="0" priority="131">
      <formula>AND($K$221=1,N($S$221)&gt;=4)</formula>
    </cfRule>
  </conditionalFormatting>
  <conditionalFormatting sqref="B222">
    <cfRule type="expression" dxfId="0" priority="135">
      <formula>AND($K$222=1,N($S$222)&gt;=4)</formula>
    </cfRule>
  </conditionalFormatting>
  <conditionalFormatting sqref="B26">
    <cfRule type="expression" dxfId="2" priority="197">
      <formula>NOT(ISNUMBER($B$26))</formula>
    </cfRule>
  </conditionalFormatting>
  <conditionalFormatting sqref="B27">
    <cfRule type="expression" dxfId="2" priority="198">
      <formula>NOT($B$27&lt;&gt;"")</formula>
    </cfRule>
  </conditionalFormatting>
  <conditionalFormatting sqref="B28">
    <cfRule type="expression" dxfId="2" priority="199">
      <formula>NOT(ISNUMBER($B$28))</formula>
    </cfRule>
  </conditionalFormatting>
  <conditionalFormatting sqref="B280:H280">
    <cfRule type="expression" dxfId="2" priority="231">
      <formula>NOT($B$280&lt;&gt;"")</formula>
    </cfRule>
  </conditionalFormatting>
  <conditionalFormatting sqref="B284:H284">
    <cfRule type="expression" dxfId="2" priority="232">
      <formula>NOT(OR(NOT(OR(COUNTIF($E$258:$E$272,"Oui")&gt;0,COUNTIF($F$243:$F$254,"Oui")&gt;0,SUMPRODUCT(($J$190:$J$222="SC")*($K$190:$K$222=1)*($S$190:$S$222=5))&gt;0,COUNTIF($S$166:$S$168,5)&gt;0)),$B$284&lt;&gt;""))</formula>
    </cfRule>
  </conditionalFormatting>
  <conditionalFormatting sqref="B29">
    <cfRule type="expression" dxfId="2" priority="200">
      <formula>NOT($B$29&lt;&gt;"")</formula>
    </cfRule>
  </conditionalFormatting>
  <conditionalFormatting sqref="B30">
    <cfRule type="expression" dxfId="2" priority="201">
      <formula>NOT(OR(NOT($B$20="P1"),$B$30&lt;&gt;""))</formula>
    </cfRule>
  </conditionalFormatting>
  <conditionalFormatting sqref="B31">
    <cfRule type="expression" dxfId="2" priority="202">
      <formula>NOT($B$31&lt;&gt;"")</formula>
    </cfRule>
  </conditionalFormatting>
  <conditionalFormatting sqref="B32">
    <cfRule type="expression" dxfId="2" priority="203">
      <formula>NOT($B$32&lt;&gt;"")</formula>
    </cfRule>
  </conditionalFormatting>
  <conditionalFormatting sqref="B33">
    <cfRule type="expression" dxfId="2" priority="204">
      <formula>NOT($B$33&lt;&gt;"")</formula>
    </cfRule>
  </conditionalFormatting>
  <conditionalFormatting sqref="B34">
    <cfRule type="expression" dxfId="2" priority="205">
      <formula>NOT($B$34&lt;&gt;"")</formula>
    </cfRule>
  </conditionalFormatting>
  <conditionalFormatting sqref="B35">
    <cfRule type="expression" dxfId="2" priority="206">
      <formula>NOT($B$35&lt;&gt;"")</formula>
    </cfRule>
  </conditionalFormatting>
  <conditionalFormatting sqref="B36">
    <cfRule type="expression" dxfId="2" priority="207">
      <formula>NOT(ISNUMBER($B$36))</formula>
    </cfRule>
  </conditionalFormatting>
  <conditionalFormatting sqref="B4">
    <cfRule type="expression" dxfId="1" priority="1">
      <formula>AND(ISNUMBER($B$4),$B$4=0)</formula>
    </cfRule>
    <cfRule type="expression" dxfId="2" priority="2">
      <formula>AND(ISNUMBER($B$4),$B$4&gt;0)</formula>
    </cfRule>
  </conditionalFormatting>
  <conditionalFormatting sqref="B42">
    <cfRule type="expression" dxfId="2" priority="208">
      <formula>NOT(N($B$50)&gt;0)</formula>
    </cfRule>
  </conditionalFormatting>
  <conditionalFormatting sqref="B53">
    <cfRule type="expression" dxfId="2" priority="210">
      <formula>NOT(OR(NOT(AND($B$20="P1",ISNUMBER($B$51),N($B$51)&gt;=P_N3_V,N($B$51)&lt;P_N3_F)),$B$53&lt;&gt;""))</formula>
    </cfRule>
  </conditionalFormatting>
  <conditionalFormatting sqref="B6">
    <cfRule type="expression" dxfId="1" priority="3">
      <formula>AND(ISNUMBER($B$6),$B$6&gt;=8)</formula>
    </cfRule>
    <cfRule type="expression" dxfId="3" priority="4">
      <formula>AND(ISNUMBER($B$6),$B$6&gt;=6,$B$6&lt;8)</formula>
    </cfRule>
    <cfRule type="expression" dxfId="0" priority="5">
      <formula>AND(ISNUMBER($B$6),$B$6&lt;6)</formula>
    </cfRule>
    <cfRule type="expression" dxfId="0" priority="9">
      <formula>$B$6="—"</formula>
    </cfRule>
  </conditionalFormatting>
  <conditionalFormatting sqref="B91">
    <cfRule type="expression" dxfId="2" priority="211">
      <formula>NOT(ISNUMBER($B$91))</formula>
    </cfRule>
  </conditionalFormatting>
  <conditionalFormatting sqref="B93:C94">
    <cfRule type="expression" dxfId="2" priority="22">
      <formula>AND(COUNT($B$93:$B$152)&lt;2,B93="")</formula>
    </cfRule>
  </conditionalFormatting>
  <conditionalFormatting sqref="C15">
    <cfRule type="expression" dxfId="0" priority="10">
      <formula>AND($B$15&lt;&gt;"",NOT(AND(LEN(TRIM($B$15))&gt;=1,LEN($B$15)&lt;=20)))</formula>
    </cfRule>
  </conditionalFormatting>
  <conditionalFormatting sqref="C16">
    <cfRule type="expression" dxfId="0" priority="11">
      <formula>AND($B$16&lt;&gt;"",NOT(AND(LEN($B$16)=7,SUMPRODUCT(--ISNUMBER(FIND(MID($B$16,ROW(INDIRECT("1:7"))+0,1),"0123456789")))=7)))</formula>
    </cfRule>
  </conditionalFormatting>
  <conditionalFormatting sqref="C17">
    <cfRule type="expression" dxfId="0" priority="12">
      <formula>AND($B$17&lt;&gt;"",NOT(AND(LEN($B$17)=12,EXACT(LEFT($B$17,3),"PF-"),MID($B$17,8,1)="-",SUMPRODUCT(--ISNUMBER(FIND(MID($B$17,ROW(INDIRECT("1:4"))+3,1),"0123456789")))=4,SUMPRODUCT(--ISNUMBER(FIND(MID($B$17,ROW(INDIRECT("1:4"))+8,1),"0123456789")))=4)))</formula>
    </cfRule>
  </conditionalFormatting>
  <conditionalFormatting sqref="C93:C152">
    <cfRule type="expression" dxfId="2" priority="21">
      <formula>AND(ISNUMBER($B93),NOT(ISNUMBER($C93)))</formula>
    </cfRule>
  </conditionalFormatting>
  <conditionalFormatting sqref="D7">
    <cfRule type="expression" dxfId="1" priority="6">
      <formula>AND(ISNUMBER($D$7),$D$7&gt;=8)</formula>
    </cfRule>
    <cfRule type="expression" dxfId="3" priority="7">
      <formula>AND(ISNUMBER($D$7),$D$7&gt;=6,$D$7&lt;8)</formula>
    </cfRule>
    <cfRule type="expression" dxfId="0" priority="8">
      <formula>AND(ISNUMBER($D$7),$D$7&lt;6)</formula>
    </cfRule>
  </conditionalFormatting>
  <conditionalFormatting sqref="E154">
    <cfRule type="cellIs" dxfId="0" priority="26" operator="equal">
      <formula>"Critique"</formula>
    </cfRule>
    <cfRule type="cellIs" dxfId="3" priority="27" operator="equal">
      <formula>"Vigilance"</formula>
    </cfRule>
  </conditionalFormatting>
  <conditionalFormatting sqref="E155">
    <cfRule type="cellIs" dxfId="0" priority="28" operator="equal">
      <formula>"Critique"</formula>
    </cfRule>
    <cfRule type="cellIs" dxfId="3" priority="29" operator="equal">
      <formula>"Vigilance"</formula>
    </cfRule>
  </conditionalFormatting>
  <conditionalFormatting sqref="E166:G166">
    <cfRule type="expression" dxfId="2" priority="30">
      <formula>$B$166=""</formula>
    </cfRule>
    <cfRule type="expression" dxfId="2" priority="212">
      <formula>NOT($B$166&lt;&gt;"")</formula>
    </cfRule>
  </conditionalFormatting>
  <conditionalFormatting sqref="E167:G167">
    <cfRule type="expression" dxfId="2" priority="32">
      <formula>$B$167=""</formula>
    </cfRule>
    <cfRule type="expression" dxfId="2" priority="213">
      <formula>NOT($B$167&lt;&gt;"")</formula>
    </cfRule>
  </conditionalFormatting>
  <conditionalFormatting sqref="E168:G168">
    <cfRule type="expression" dxfId="2" priority="34">
      <formula>$B$168=""</formula>
    </cfRule>
    <cfRule type="expression" dxfId="2" priority="214">
      <formula>NOT($B$168&lt;&gt;"")</formula>
    </cfRule>
  </conditionalFormatting>
  <conditionalFormatting sqref="E191:G191">
    <cfRule type="expression" dxfId="2" priority="37">
      <formula>AND($K$191=1,$B$191="")</formula>
    </cfRule>
  </conditionalFormatting>
  <conditionalFormatting sqref="E192:G192">
    <cfRule type="expression" dxfId="2" priority="41">
      <formula>AND($K$192=1,$B$192="")</formula>
    </cfRule>
  </conditionalFormatting>
  <conditionalFormatting sqref="E193:G193">
    <cfRule type="expression" dxfId="2" priority="45">
      <formula>AND($K$193=1,$B$193="")</formula>
    </cfRule>
  </conditionalFormatting>
  <conditionalFormatting sqref="E195:G195">
    <cfRule type="expression" dxfId="2" priority="49">
      <formula>AND($K$195=1,$B$195="")</formula>
    </cfRule>
  </conditionalFormatting>
  <conditionalFormatting sqref="E196:G196">
    <cfRule type="expression" dxfId="2" priority="53">
      <formula>AND($K$196=1,$B$196="")</formula>
    </cfRule>
  </conditionalFormatting>
  <conditionalFormatting sqref="E197:G197">
    <cfRule type="expression" dxfId="2" priority="57">
      <formula>AND($K$197=1,$B$197="")</formula>
    </cfRule>
  </conditionalFormatting>
  <conditionalFormatting sqref="E199:G199">
    <cfRule type="expression" dxfId="2" priority="61">
      <formula>AND($K$199=1,$B$199="")</formula>
    </cfRule>
  </conditionalFormatting>
  <conditionalFormatting sqref="E200:G200">
    <cfRule type="expression" dxfId="2" priority="65">
      <formula>AND($K$200=1,$B$200="")</formula>
    </cfRule>
  </conditionalFormatting>
  <conditionalFormatting sqref="E201:G201">
    <cfRule type="expression" dxfId="2" priority="69">
      <formula>AND($K$201=1,$B$201="")</formula>
    </cfRule>
  </conditionalFormatting>
  <conditionalFormatting sqref="E203:G203">
    <cfRule type="expression" dxfId="2" priority="73">
      <formula>AND($K$203=1,$B$203="")</formula>
    </cfRule>
  </conditionalFormatting>
  <conditionalFormatting sqref="E204:G204">
    <cfRule type="expression" dxfId="2" priority="77">
      <formula>AND($K$204=1,$B$204="")</formula>
    </cfRule>
  </conditionalFormatting>
  <conditionalFormatting sqref="E205:G205">
    <cfRule type="expression" dxfId="2" priority="81">
      <formula>AND($K$205=1,$B$205="")</formula>
    </cfRule>
  </conditionalFormatting>
  <conditionalFormatting sqref="E207:G207">
    <cfRule type="expression" dxfId="2" priority="85">
      <formula>AND($K$207=1,$B$207="")</formula>
    </cfRule>
  </conditionalFormatting>
  <conditionalFormatting sqref="E208:G208">
    <cfRule type="expression" dxfId="2" priority="89">
      <formula>AND($K$208=1,$B$208="")</formula>
    </cfRule>
  </conditionalFormatting>
  <conditionalFormatting sqref="E209:G209">
    <cfRule type="expression" dxfId="2" priority="93">
      <formula>AND($K$209=1,$B$209="")</formula>
    </cfRule>
  </conditionalFormatting>
  <conditionalFormatting sqref="E211:G211">
    <cfRule type="expression" dxfId="2" priority="97">
      <formula>AND($K$211=1,$B$211="")</formula>
    </cfRule>
  </conditionalFormatting>
  <conditionalFormatting sqref="E212:G212">
    <cfRule type="expression" dxfId="2" priority="101">
      <formula>AND($K$212=1,$B$212="")</formula>
    </cfRule>
  </conditionalFormatting>
  <conditionalFormatting sqref="E213:G213">
    <cfRule type="expression" dxfId="2" priority="105">
      <formula>AND($K$213=1,$B$213="")</formula>
    </cfRule>
  </conditionalFormatting>
  <conditionalFormatting sqref="E215:G215">
    <cfRule type="expression" dxfId="2" priority="109">
      <formula>AND($K$215=1,$B$215="")</formula>
    </cfRule>
  </conditionalFormatting>
  <conditionalFormatting sqref="E216:G216">
    <cfRule type="expression" dxfId="2" priority="113">
      <formula>AND($K$216=1,$B$216="")</formula>
    </cfRule>
  </conditionalFormatting>
  <conditionalFormatting sqref="E217:G217">
    <cfRule type="expression" dxfId="2" priority="117">
      <formula>AND($K$217=1,$B$217="")</formula>
    </cfRule>
  </conditionalFormatting>
  <conditionalFormatting sqref="E219:G219">
    <cfRule type="expression" dxfId="2" priority="121">
      <formula>AND($K$219=1,$B$219="")</formula>
    </cfRule>
  </conditionalFormatting>
  <conditionalFormatting sqref="E220:G220">
    <cfRule type="expression" dxfId="2" priority="125">
      <formula>AND($K$220=1,$B$220="")</formula>
    </cfRule>
  </conditionalFormatting>
  <conditionalFormatting sqref="E221:G221">
    <cfRule type="expression" dxfId="2" priority="129">
      <formula>AND($K$221=1,$B$221="")</formula>
    </cfRule>
  </conditionalFormatting>
  <conditionalFormatting sqref="E222:G222">
    <cfRule type="expression" dxfId="2" priority="133">
      <formula>AND($K$222=1,$B$222="")</formula>
    </cfRule>
  </conditionalFormatting>
  <conditionalFormatting sqref="E243">
    <cfRule type="expression" dxfId="2" priority="136">
      <formula>$E$243=""</formula>
    </cfRule>
  </conditionalFormatting>
  <conditionalFormatting sqref="E244">
    <cfRule type="expression" dxfId="2" priority="138">
      <formula>$E$244=""</formula>
    </cfRule>
  </conditionalFormatting>
  <conditionalFormatting sqref="E245">
    <cfRule type="expression" dxfId="2" priority="140">
      <formula>$E$245=""</formula>
    </cfRule>
  </conditionalFormatting>
  <conditionalFormatting sqref="E246">
    <cfRule type="expression" dxfId="2" priority="142">
      <formula>$E$246=""</formula>
    </cfRule>
  </conditionalFormatting>
  <conditionalFormatting sqref="E247">
    <cfRule type="expression" dxfId="2" priority="144">
      <formula>$E$247=""</formula>
    </cfRule>
  </conditionalFormatting>
  <conditionalFormatting sqref="E248">
    <cfRule type="expression" dxfId="2" priority="146">
      <formula>$E$248=""</formula>
    </cfRule>
  </conditionalFormatting>
  <conditionalFormatting sqref="E249">
    <cfRule type="expression" dxfId="2" priority="148">
      <formula>$E$249=""</formula>
    </cfRule>
  </conditionalFormatting>
  <conditionalFormatting sqref="E250">
    <cfRule type="expression" dxfId="2" priority="150">
      <formula>$E$250=""</formula>
    </cfRule>
  </conditionalFormatting>
  <conditionalFormatting sqref="E251">
    <cfRule type="expression" dxfId="2" priority="152">
      <formula>$E$251=""</formula>
    </cfRule>
  </conditionalFormatting>
  <conditionalFormatting sqref="E252">
    <cfRule type="expression" dxfId="2" priority="154">
      <formula>$E$252=""</formula>
    </cfRule>
  </conditionalFormatting>
  <conditionalFormatting sqref="E253">
    <cfRule type="expression" dxfId="2" priority="156">
      <formula>$E$253=""</formula>
    </cfRule>
  </conditionalFormatting>
  <conditionalFormatting sqref="E254">
    <cfRule type="expression" dxfId="2" priority="158">
      <formula>$E$254=""</formula>
    </cfRule>
  </conditionalFormatting>
  <conditionalFormatting sqref="E258">
    <cfRule type="cellIs" dxfId="0" priority="160" operator="equal">
      <formula>"Oui"</formula>
    </cfRule>
    <cfRule type="cellIs" dxfId="3" priority="161" operator="equal">
      <formula>"n.r."</formula>
    </cfRule>
  </conditionalFormatting>
  <conditionalFormatting sqref="E259">
    <cfRule type="cellIs" dxfId="0" priority="162" operator="equal">
      <formula>"Oui"</formula>
    </cfRule>
    <cfRule type="cellIs" dxfId="3" priority="163" operator="equal">
      <formula>"n.r."</formula>
    </cfRule>
  </conditionalFormatting>
  <conditionalFormatting sqref="E260">
    <cfRule type="cellIs" dxfId="0" priority="164" operator="equal">
      <formula>"Oui"</formula>
    </cfRule>
    <cfRule type="cellIs" dxfId="3" priority="165" operator="equal">
      <formula>"n.r."</formula>
    </cfRule>
  </conditionalFormatting>
  <conditionalFormatting sqref="E261">
    <cfRule type="cellIs" dxfId="0" priority="166" operator="equal">
      <formula>"Oui"</formula>
    </cfRule>
    <cfRule type="cellIs" dxfId="3" priority="167" operator="equal">
      <formula>"n.r."</formula>
    </cfRule>
  </conditionalFormatting>
  <conditionalFormatting sqref="E262">
    <cfRule type="cellIs" dxfId="0" priority="168" operator="equal">
      <formula>"Oui"</formula>
    </cfRule>
    <cfRule type="cellIs" dxfId="3" priority="169" operator="equal">
      <formula>"n.r."</formula>
    </cfRule>
  </conditionalFormatting>
  <conditionalFormatting sqref="E263">
    <cfRule type="cellIs" dxfId="0" priority="170" operator="equal">
      <formula>"Oui"</formula>
    </cfRule>
    <cfRule type="cellIs" dxfId="3" priority="171" operator="equal">
      <formula>"n.r."</formula>
    </cfRule>
  </conditionalFormatting>
  <conditionalFormatting sqref="E264">
    <cfRule type="cellIs" dxfId="0" priority="172" operator="equal">
      <formula>"Oui"</formula>
    </cfRule>
    <cfRule type="cellIs" dxfId="3" priority="173" operator="equal">
      <formula>"n.r."</formula>
    </cfRule>
  </conditionalFormatting>
  <conditionalFormatting sqref="E265">
    <cfRule type="cellIs" dxfId="0" priority="174" operator="equal">
      <formula>"Oui"</formula>
    </cfRule>
    <cfRule type="cellIs" dxfId="3" priority="175" operator="equal">
      <formula>"n.r."</formula>
    </cfRule>
  </conditionalFormatting>
  <conditionalFormatting sqref="E266">
    <cfRule type="cellIs" dxfId="0" priority="176" operator="equal">
      <formula>"Oui"</formula>
    </cfRule>
    <cfRule type="cellIs" dxfId="3" priority="177" operator="equal">
      <formula>"n.r."</formula>
    </cfRule>
  </conditionalFormatting>
  <conditionalFormatting sqref="E267">
    <cfRule type="cellIs" dxfId="0" priority="178" operator="equal">
      <formula>"Oui"</formula>
    </cfRule>
    <cfRule type="cellIs" dxfId="3" priority="179" operator="equal">
      <formula>"n.r."</formula>
    </cfRule>
  </conditionalFormatting>
  <conditionalFormatting sqref="E268">
    <cfRule type="cellIs" dxfId="0" priority="180" operator="equal">
      <formula>"Oui"</formula>
    </cfRule>
    <cfRule type="cellIs" dxfId="3" priority="181" operator="equal">
      <formula>"n.r."</formula>
    </cfRule>
  </conditionalFormatting>
  <conditionalFormatting sqref="E269">
    <cfRule type="cellIs" dxfId="0" priority="182" operator="equal">
      <formula>"Oui"</formula>
    </cfRule>
    <cfRule type="cellIs" dxfId="3" priority="183" operator="equal">
      <formula>"n.r."</formula>
    </cfRule>
  </conditionalFormatting>
  <conditionalFormatting sqref="E270">
    <cfRule type="cellIs" dxfId="0" priority="184" operator="equal">
      <formula>"Oui"</formula>
    </cfRule>
    <cfRule type="cellIs" dxfId="3" priority="185" operator="equal">
      <formula>"n.r."</formula>
    </cfRule>
  </conditionalFormatting>
  <conditionalFormatting sqref="E271">
    <cfRule type="cellIs" dxfId="0" priority="186" operator="equal">
      <formula>"Oui"</formula>
    </cfRule>
    <cfRule type="cellIs" dxfId="3" priority="187" operator="equal">
      <formula>"n.r."</formula>
    </cfRule>
  </conditionalFormatting>
  <conditionalFormatting sqref="E272">
    <cfRule type="cellIs" dxfId="0" priority="188" operator="equal">
      <formula>"Oui"</formula>
    </cfRule>
    <cfRule type="cellIs" dxfId="3" priority="189" operator="equal">
      <formula>"n.r."</formula>
    </cfRule>
  </conditionalFormatting>
  <conditionalFormatting sqref="E42">
    <cfRule type="expression" dxfId="2" priority="209">
      <formula>NOT(N($E$50)&gt;0)</formula>
    </cfRule>
  </conditionalFormatting>
  <conditionalFormatting sqref="E93:E152">
    <cfRule type="cellIs" dxfId="0" priority="23" operator="equal">
      <formula>"Critique"</formula>
    </cfRule>
    <cfRule type="cellIs" dxfId="3" priority="24" operator="equal">
      <formula>"Vigilance"</formula>
    </cfRule>
    <cfRule type="cellIs" dxfId="1" priority="25" operator="equal">
      <formula>"Très favorable"</formula>
    </cfRule>
  </conditionalFormatting>
  <conditionalFormatting sqref="F243">
    <cfRule type="cellIs" dxfId="0" priority="137" operator="equal">
      <formula>"Oui"</formula>
    </cfRule>
  </conditionalFormatting>
  <conditionalFormatting sqref="F244">
    <cfRule type="cellIs" dxfId="0" priority="139" operator="equal">
      <formula>"Oui"</formula>
    </cfRule>
  </conditionalFormatting>
  <conditionalFormatting sqref="F245">
    <cfRule type="cellIs" dxfId="0" priority="141" operator="equal">
      <formula>"Oui"</formula>
    </cfRule>
  </conditionalFormatting>
  <conditionalFormatting sqref="F246">
    <cfRule type="cellIs" dxfId="0" priority="143" operator="equal">
      <formula>"Oui"</formula>
    </cfRule>
  </conditionalFormatting>
  <conditionalFormatting sqref="F247">
    <cfRule type="cellIs" dxfId="0" priority="145" operator="equal">
      <formula>"Oui"</formula>
    </cfRule>
  </conditionalFormatting>
  <conditionalFormatting sqref="F248">
    <cfRule type="cellIs" dxfId="0" priority="147" operator="equal">
      <formula>"Oui"</formula>
    </cfRule>
  </conditionalFormatting>
  <conditionalFormatting sqref="F249">
    <cfRule type="cellIs" dxfId="0" priority="149" operator="equal">
      <formula>"Oui"</formula>
    </cfRule>
  </conditionalFormatting>
  <conditionalFormatting sqref="F250">
    <cfRule type="cellIs" dxfId="0" priority="151" operator="equal">
      <formula>"Oui"</formula>
    </cfRule>
  </conditionalFormatting>
  <conditionalFormatting sqref="F251">
    <cfRule type="cellIs" dxfId="0" priority="153" operator="equal">
      <formula>"Oui"</formula>
    </cfRule>
  </conditionalFormatting>
  <conditionalFormatting sqref="F252">
    <cfRule type="cellIs" dxfId="0" priority="155" operator="equal">
      <formula>"Oui"</formula>
    </cfRule>
  </conditionalFormatting>
  <conditionalFormatting sqref="F253">
    <cfRule type="cellIs" dxfId="0" priority="157" operator="equal">
      <formula>"Oui"</formula>
    </cfRule>
  </conditionalFormatting>
  <conditionalFormatting sqref="F254">
    <cfRule type="cellIs" dxfId="0" priority="159" operator="equal">
      <formula>"Oui"</formula>
    </cfRule>
  </conditionalFormatting>
  <conditionalFormatting sqref="F42:G49">
    <cfRule type="expression" dxfId="2" priority="13">
      <formula>AND(ISNUMBER($E42),$F42="")</formula>
    </cfRule>
  </conditionalFormatting>
  <conditionalFormatting sqref="H166">
    <cfRule type="expression" dxfId="2" priority="31">
      <formula>$T$166&lt;&gt;""</formula>
    </cfRule>
  </conditionalFormatting>
  <conditionalFormatting sqref="H167">
    <cfRule type="expression" dxfId="2" priority="33">
      <formula>$T$167&lt;&gt;""</formula>
    </cfRule>
  </conditionalFormatting>
  <conditionalFormatting sqref="H168">
    <cfRule type="expression" dxfId="2" priority="35">
      <formula>$T$168&lt;&gt;""</formula>
    </cfRule>
  </conditionalFormatting>
  <conditionalFormatting sqref="H191">
    <cfRule type="expression" dxfId="2" priority="38">
      <formula>$T$191&lt;&gt;""</formula>
    </cfRule>
  </conditionalFormatting>
  <conditionalFormatting sqref="H192">
    <cfRule type="expression" dxfId="2" priority="42">
      <formula>$T$192&lt;&gt;""</formula>
    </cfRule>
  </conditionalFormatting>
  <conditionalFormatting sqref="H193">
    <cfRule type="expression" dxfId="2" priority="46">
      <formula>$T$193&lt;&gt;""</formula>
    </cfRule>
  </conditionalFormatting>
  <conditionalFormatting sqref="H195">
    <cfRule type="expression" dxfId="2" priority="50">
      <formula>$T$195&lt;&gt;""</formula>
    </cfRule>
  </conditionalFormatting>
  <conditionalFormatting sqref="H196">
    <cfRule type="expression" dxfId="2" priority="54">
      <formula>$T$196&lt;&gt;""</formula>
    </cfRule>
  </conditionalFormatting>
  <conditionalFormatting sqref="H197">
    <cfRule type="expression" dxfId="2" priority="58">
      <formula>$T$197&lt;&gt;""</formula>
    </cfRule>
  </conditionalFormatting>
  <conditionalFormatting sqref="H199">
    <cfRule type="expression" dxfId="2" priority="62">
      <formula>$T$199&lt;&gt;""</formula>
    </cfRule>
  </conditionalFormatting>
  <conditionalFormatting sqref="H200">
    <cfRule type="expression" dxfId="2" priority="66">
      <formula>$T$200&lt;&gt;""</formula>
    </cfRule>
  </conditionalFormatting>
  <conditionalFormatting sqref="H201">
    <cfRule type="expression" dxfId="2" priority="70">
      <formula>$T$201&lt;&gt;""</formula>
    </cfRule>
  </conditionalFormatting>
  <conditionalFormatting sqref="H203">
    <cfRule type="expression" dxfId="2" priority="74">
      <formula>$T$203&lt;&gt;""</formula>
    </cfRule>
  </conditionalFormatting>
  <conditionalFormatting sqref="H204">
    <cfRule type="expression" dxfId="2" priority="78">
      <formula>$T$204&lt;&gt;""</formula>
    </cfRule>
  </conditionalFormatting>
  <conditionalFormatting sqref="H205">
    <cfRule type="expression" dxfId="2" priority="82">
      <formula>$T$205&lt;&gt;""</formula>
    </cfRule>
  </conditionalFormatting>
  <conditionalFormatting sqref="H207">
    <cfRule type="expression" dxfId="2" priority="86">
      <formula>$T$207&lt;&gt;""</formula>
    </cfRule>
  </conditionalFormatting>
  <conditionalFormatting sqref="H208">
    <cfRule type="expression" dxfId="2" priority="90">
      <formula>$T$208&lt;&gt;""</formula>
    </cfRule>
  </conditionalFormatting>
  <conditionalFormatting sqref="H209">
    <cfRule type="expression" dxfId="2" priority="94">
      <formula>$T$209&lt;&gt;""</formula>
    </cfRule>
  </conditionalFormatting>
  <conditionalFormatting sqref="H211">
    <cfRule type="expression" dxfId="2" priority="98">
      <formula>$T$211&lt;&gt;""</formula>
    </cfRule>
  </conditionalFormatting>
  <conditionalFormatting sqref="H212">
    <cfRule type="expression" dxfId="2" priority="102">
      <formula>$T$212&lt;&gt;""</formula>
    </cfRule>
  </conditionalFormatting>
  <conditionalFormatting sqref="H213">
    <cfRule type="expression" dxfId="2" priority="106">
      <formula>$T$213&lt;&gt;""</formula>
    </cfRule>
  </conditionalFormatting>
  <conditionalFormatting sqref="H215">
    <cfRule type="expression" dxfId="2" priority="110">
      <formula>$T$215&lt;&gt;""</formula>
    </cfRule>
  </conditionalFormatting>
  <conditionalFormatting sqref="H216">
    <cfRule type="expression" dxfId="2" priority="114">
      <formula>$T$216&lt;&gt;""</formula>
    </cfRule>
  </conditionalFormatting>
  <conditionalFormatting sqref="H217">
    <cfRule type="expression" dxfId="2" priority="118">
      <formula>$T$217&lt;&gt;""</formula>
    </cfRule>
  </conditionalFormatting>
  <conditionalFormatting sqref="H219">
    <cfRule type="expression" dxfId="2" priority="122">
      <formula>$T$219&lt;&gt;""</formula>
    </cfRule>
  </conditionalFormatting>
  <conditionalFormatting sqref="H220">
    <cfRule type="expression" dxfId="2" priority="126">
      <formula>$T$220&lt;&gt;""</formula>
    </cfRule>
  </conditionalFormatting>
  <conditionalFormatting sqref="H221">
    <cfRule type="expression" dxfId="2" priority="130">
      <formula>$T$221&lt;&gt;""</formula>
    </cfRule>
  </conditionalFormatting>
  <conditionalFormatting sqref="H222">
    <cfRule type="expression" dxfId="2" priority="134">
      <formula>$T$222&lt;&gt;""</formula>
    </cfRule>
  </conditionalFormatting>
  <conditionalFormatting sqref="H63">
    <cfRule type="expression" dxfId="3" priority="14">
      <formula>AND(ISNUMBER($H$63),ABS($H$63)&gt;0.5)</formula>
    </cfRule>
  </conditionalFormatting>
  <dataValidations count="144">
    <dataValidation allowBlank="1" showInputMessage="1" showErrorMessage="1" promptTitle="Intitulé du dossier" prompt="Nom du projet, ex. « Centrale solaire de 80 MWc ». Le code projet se saisit au bloc 1." sqref="A1"/>
    <dataValidation allowBlank="1" showInputMessage="1" showErrorMessage="1" promptTitle="SPV et localisation" prompt="Société de projet emprunteuse et lieu du site." sqref="A2"/>
    <dataValidation allowBlank="1" showInputMessage="1" showErrorMessage="1" promptTitle="Résumé du projet" prompt="Objet, contrat de recettes, montage financier : trois ou quatre lignes." sqref="A3"/>
    <dataValidation type="custom" allowBlank="1" showInputMessage="1" showErrorMessage="1" errorTitle="Format non admis" error="Code client T24 : 20 caractères au plus." promptTitle="Code client T24" prompt="Code du client (société de projet) dans T24. Saisi comme du texte : les zéros de tête sont conservés." sqref="B15">
      <formula1>AND(LEN(TRIM(B15))&gt;=1,LEN(B15)&lt;=20)</formula1>
    </dataValidation>
    <dataValidation type="custom" allowBlank="1" showInputMessage="1" showErrorMessage="1" errorTitle="Format non admis" error="Le radical compte exactement 7 chiffres, zéros de tête compris (ex. 0041027)." promptTitle="Radical du client" prompt="Exactement 7 chiffres, zéros de tête compris (ex. 0041027). Repris dans la synthèse, la fiche comité, le nom du PDF et le journal." sqref="B16">
      <formula1>AND(LEN(B16)=7,SUMPRODUCT(--ISNUMBER(FIND(MID(B16,ROW(INDIRECT("1:7"))+0,1),"0123456789")))=7)</formula1>
    </dataValidation>
    <dataValidation type="custom" allowBlank="1" showInputMessage="1" showErrorMessage="1" errorTitle="Format non admis" error="Format attendu : PF-AAAA-NNNN, par exemple PF-2026-0014." promptTitle="Code projet" prompt="Format PF-AAAA-NNNN, ex. PF-2026-0014. Le contrôle d'import des propositions IA compare ce code à celui du fichier." sqref="B17">
      <formula1>AND(LEN(B17)=12,EXACT(LEFT(B17,3),"PF-"),MID(B17,8,1)="-",SUMPRODUCT(--ISNUMBER(FIND(MID(B17,ROW(INDIRECT("1:4"))+3,1),"0123456789")))=4,SUMPRODUCT(--ISNUMBER(FIND(MID(B17,ROW(INDIRECT("1:4"))+8,1),"0123456789")))=4)</formula1>
    </dataValidation>
    <dataValidation type="list" allowBlank="1" showInputMessage="1" showErrorMessage="1" errorTitle="Valeur non admise" error="Choisissez une valeur dans la liste déroulante (flèche à droite de la cellule)." promptTitle="Régime de revenus" prompt="R1 contrat ferme (take-or-pay) ; R2 paiement à la disponibilité ; R3 contrat à risque de volume ; R4 exposition au marché. Fixe les seuils DSCR." sqref="B18">
      <formula1>P_Regimes</formula1>
    </dataValidation>
    <dataValidation type="list" allowBlank="1" showInputMessage="1" showErrorMessage="1" errorTitle="Valeur non admise" error="Choisissez une valeur dans la liste déroulante (flèche à droite de la cellule)." promptTitle="Secteur du projet" prompt="Code du secteur. Il ajoute l'écart Δ au seuil DSCR, choisit les champs du bloc 4 et les descriptions sectorielles de D2.1, D4.1, D4.3 et D5.2." sqref="B19">
      <formula1>P_SecCodes</formula1>
    </dataValidation>
    <dataValidation type="list" allowBlank="1" showInputMessage="1" showErrorMessage="1" errorTitle="Valeur non admise" error="Choisissez une valeur dans la liste déroulante (flèche à droite de la cellule)." promptTitle="Phase du projet" prompt="P1 construction ; P2 montée en charge (+0,05 sur les seuils) ; P3 exploitation stabilisée. La phase fixe les poids des domaines." sqref="B20">
      <formula1>P_PhaseCodes</formula1>
    </dataValidation>
    <dataValidation type="list" allowBlank="1" showInputMessage="1" showErrorMessage="1" errorTitle="Valeur non admise" error="Choisissez une valeur dans la liste déroulante (flèche à droite de la cellule)." promptTitle="Périodicité des échéances" prompt="Fréquence du service de la dette. Le DSCR se mesure échéance par échéance, jamais en annuel." sqref="B21">
      <formula1>L_Periodicite</formula1>
    </dataValidation>
    <dataValidation allowBlank="1" showInputMessage="1" showErrorMessage="1" promptTitle="Famille de financement" prompt="PF-FLUX : société de projet remboursée par les flux du projet. La vente d'actifs (R5) est hors outil." sqref="B22"/>
    <dataValidation type="decimal" operator="greaterThanOrEqual" allowBlank="1" showInputMessage="1" showErrorMessage="1" errorTitle="Valeur non admise" error="Saisissez un nombre positif ou nul." promptTitle="Exposition de la banque" prompt="Montant total engagé par la banque sur le projet, en millions de dirhams (MMAD). Ex. : 250." sqref="B26">
      <formula1>0</formula1>
    </dataValidation>
    <dataValidation type="list" allowBlank="1" showInputMessage="1" showErrorMessage="1" errorTitle="Valeur non admise" error="Choisissez une valeur dans la liste déroulante (flèche à droite de la cellule)." promptTitle="Tout en dirhams ?" prompt="Oui si recettes, coûts et dette sont intégralement en MAD. Non dès qu'une part est en devises." sqref="B27">
      <formula1>L_OuiNon</formula1>
    </dataValidation>
    <dataValidation type="decimal" allowBlank="1" showInputMessage="1" showErrorMessage="1" errorTitle="Valeur non admise" error="Saisissez une durée en années (0 à 99)." promptTitle="Durée du financement" prompt="Durée totale de la dette, en années. Ex. : 15." sqref="B28">
      <formula1>0</formula1>
      <formula2>99</formula2>
    </dataValidation>
    <dataValidation type="list" allowBlank="1" showInputMessage="1" showErrorMessage="1" errorTitle="Valeur non admise" error="Choisissez une valeur dans la liste déroulante (flèche à droite de la cellule)." promptTitle="Technologie éprouvée ?" prompt="Oui si la technologie compte au moins 3 références industrielles de plus de 3 ans." sqref="B29">
      <formula1>L_OuiNon</formula1>
    </dataValidation>
    <dataValidation type="list" allowBlank="1" showInputMessage="1" showErrorMessage="1" errorTitle="Valeur non admise" error="Choisissez une valeur dans la liste déroulante (flèche à droite de la cellule)." promptTitle="EPC clé-en-main &lt; 18 mois ?" prompt="Phase P1 seulement : Oui si le contrat EPC est forfaitaire, à prix et délai garantis, pour une durée de moins de 18 mois." sqref="B30">
      <formula1>L_OuiNon</formula1>
    </dataValidation>
    <dataValidation type="list" allowBlank="1" showInputMessage="1" showErrorMessage="1" errorTitle="Valeur non admise" error="Choisissez une valeur dans la liste déroulante (flèche à droite de la cellule)." promptTitle="Acheteur principal unique ?" prompt="Oui si l'essentiel des recettes provient d'un acheteur principal unique et identifié." sqref="B31">
      <formula1>L_OuiNon</formula1>
    </dataValidation>
    <dataValidation type="list" allowBlank="1" showInputMessage="1" showErrorMessage="1" errorTitle="Valeur non admise" error="Choisissez une valeur dans la liste déroulante (flèche à droite de la cellule)." promptTitle="Première référence ?" prompt="Oui si la technologie est une première dans la juridiction (régime L)." sqref="B32">
      <formula1>L_OuiNon</formula1>
    </dataValidation>
    <dataValidation type="list" allowBlank="1" showInputMessage="1" showErrorMessage="1" errorTitle="Valeur non admise" error="Choisissez une valeur dans la liste déroulante (flèche à droite de la cellule)." promptTitle="Opération consortiale ?" prompt="Oui si le financement est consortial au sens de la directive 3/W/2025 (régime L)." sqref="B33">
      <formula1>L_OuiNon</formula1>
    </dataValidation>
    <dataValidation type="list" allowBlank="1" showInputMessage="1" showErrorMessage="1" errorTitle="Valeur non admise" error="Choisissez une valeur dans la liste déroulante (flèche à droite de la cellule)." promptTitle="Contrat de plus de 20 ans ?" prompt="Oui si la concession ou le contrat de revenus dépasse 20 ans (régime L)." sqref="B34">
      <formula1>L_OuiNon</formula1>
    </dataValidation>
    <dataValidation type="list" allowBlank="1" showInputMessage="1" showErrorMessage="1" errorTitle="Valeur non admise" error="Choisissez une valeur dans la liste déroulante (flèche à droite de la cellule)." promptTitle="Risque climatique élevé ?" prompt="Oui si le site est classé à risque climatique physique élevé : régime L, et plafond C11 sans plan d'adaptation financé." sqref="B35">
      <formula1>L_OuiNon</formula1>
    </dataValidation>
    <dataValidation type="whole" allowBlank="1" showInputMessage="1" showErrorMessage="1" errorTitle="Valeur non admise" error="Saisissez un nombre entier." promptTitle="Contreparties clés" prompt="Nombre de contreparties clés : acheteur, EPC, opérateur, fournisseurs critiques… Au-delà de 3, régime L." sqref="B36">
      <formula1>0</formula1>
      <formula2>99</formula2>
    </dataValidation>
    <dataValidation allowBlank="1" showInputMessage="1" showErrorMessage="1" promptTitle="Emploi" prompt="Poste du besoin à terminaison : CAPEX, intérêts intercalaires, DSRA initiale, aléas…" sqref="A42:A49"/>
    <dataValidation type="decimal" operator="greaterThanOrEqual" allowBlank="1" showInputMessage="1" showErrorMessage="1" errorTitle="Valeur non admise" error="Saisissez un nombre positif ou nul." promptTitle="Montant de l'emploi" prompt="Montant en millions de dirhams (MMAD)." sqref="B42:B49">
      <formula1>0</formula1>
    </dataValidation>
    <dataValidation allowBlank="1" showInputMessage="1" showErrorMessage="1" promptTitle="Ressource" prompt="Ressource engagée : dette senior, capital, quasi-fonds propres, subvention…" sqref="D42:D49"/>
    <dataValidation type="decimal" operator="greaterThanOrEqual" allowBlank="1" showInputMessage="1" showErrorMessage="1" errorTitle="Valeur non admise" error="Saisissez un nombre positif ou nul." promptTitle="Montant de la ressource" prompt="Montant engagé, en millions de dirhams (MMAD)." sqref="E42:E49">
      <formula1>0</formula1>
    </dataValidation>
    <dataValidation type="list" allowBlank="1" showInputMessage="1" showErrorMessage="1" errorTitle="Valeur non admise" error="Choisissez une valeur dans la liste déroulante (flèche à droite de la cellule)." promptTitle="Nature de la ressource" prompt="À choisir dans la liste. Dette senior et dette subordonnée forment la quote-part de dette (plafond C9 au-delà de 85 %)." sqref="F42:F49">
      <formula1>L_Nature</formula1>
    </dataValidation>
    <dataValidation type="list" allowBlank="1" showInputMessage="1" showErrorMessage="1" errorTitle="Valeur non admise" error="Choisissez une valeur dans la liste déroulante (flèche à droite de la cellule)." promptTitle="Plan de remédiation" prompt="Phase P1 : Oui si un plan approuvé couvre l'écart lorsque les ressources couvrent entre 95 % et 100 % du besoin." sqref="B53">
      <formula1>L_OuiNon</formula1>
    </dataValidation>
    <dataValidation allowBlank="1" showInputMessage="1" showErrorMessage="1" promptTitle="Numéro du dossier de crédit" prompt="Référence du crédit dans le système de la banque, ex. CR-26-0101. Une ligne par crédit accordé ou proposé sur le projet." sqref="A57:A62"/>
    <dataValidation type="list" allowBlank="1" showInputMessage="1" showErrorMessage="1" errorTitle="Valeur non admise" error="Choisissez une valeur dans la liste déroulante (flèche à droite de la cellule)." promptTitle="Nature du crédit" prompt="À choisir dans la liste : investissement, relais, fonctionnement, garantie, couverture." sqref="B57:B62">
      <formula1>L_NatureCredit</formula1>
    </dataValidation>
    <dataValidation type="decimal" operator="greaterThanOrEqual" allowBlank="1" showInputMessage="1" showErrorMessage="1" errorTitle="Valeur non admise" error="Saisissez un nombre positif ou nul." promptTitle="Montant du crédit" prompt="Montant en millions de dirhams (MMAD), contre-valeur pour un crédit en devises." sqref="E57:E62">
      <formula1>0</formula1>
    </dataValidation>
    <dataValidation type="list" allowBlank="1" showInputMessage="1" showErrorMessage="1" errorTitle="Valeur non admise" error="Choisissez une valeur dans la liste déroulante (flèche à droite de la cellule)." promptTitle="Devise du crédit" prompt="Devise de tirage et de remboursement." sqref="F57:F62">
      <formula1>L_Devise</formula1>
    </dataValidation>
    <dataValidation type="decimal" allowBlank="1" showInputMessage="1" showErrorMessage="1" errorTitle="Valeur non admise" error="Saisissez une durée en années (0 à 99)." promptTitle="Durée du crédit" prompt="Durée en années." sqref="G57:G62">
      <formula1>0</formula1>
      <formula2>99</formula2>
    </dataValidation>
    <dataValidation allowBlank="1" showInputMessage="1" showErrorMessage="1" promptTitle="Observation" prompt="Information libre : taux, différé, profil d'amortissement…" sqref="H57:H62"/>
    <dataValidation allowBlank="1" showInputMessage="1" showErrorMessage="1" promptTitle="Donnée sectorielle" prompt="Valeur de la donnée affichée à gauche, dans l'unité indiquée. Information, non utilisée par le calcul ; elle éclaire les sous-critères du secteur." sqref="B67:B72"/>
    <dataValidation allowBlank="1" showInputMessage="1" showErrorMessage="1" promptTitle="Observation, source" prompt="Source de la donnée (rapport d'expert, contrat, plan d'affaires) ou commentaire." sqref="D67:D72"/>
    <dataValidation allowBlank="1" showInputMessage="1" showErrorMessage="1" promptTitle="Hypothèse d'exploitation" prompt="Information libre, non utilisée par le calcul." sqref="A74:B81"/>
    <dataValidation type="decimal" allowBlank="1" showInputMessage="1" showErrorMessage="1" errorTitle="Valeur non admise" error="Saisissez la baisse du CFADS en pourcentage, par exemple 15% (95 % au plus)." promptTitle="Scénario défavorable" prompt="Baisse du CFADS appliquée à chaque période. Ex. : saisir 15% pour une baisse de 15 %. Sans effet sur les périodes dont le CFADS stressé est saisi." sqref="B91">
      <formula1>0</formula1>
      <formula2>0.95</formula2>
    </dataValidation>
    <dataValidation allowBlank="1" showInputMessage="1" showErrorMessage="1" promptTitle="Description du stress" prompt="Décrivez le scénario défavorable, ex. « production P90 et tarif −10 % »." sqref="C91"/>
    <dataValidation allowBlank="1" showInputMessage="1" showErrorMessage="1" promptTitle="Période" prompt="Libellé de l'échéance, ex. « An 1 · S1 ». Le bouton « Préparer l'échéancier » les génère." sqref="A93:A152"/>
    <dataValidation type="decimal" allowBlank="1" showInputMessage="1" showErrorMessage="1" errorTitle="Valeur non admise" error="Saisissez un nombre." promptTitle="CFADS central" prompt="Flux disponible pour le service de la dette sur la période, en MMAD. Un CFADS négatif est noté Critique d'office." sqref="B93:B152">
      <formula1>-1000000000.0</formula1>
      <formula2>1000000000.0</formula2>
    </dataValidation>
    <dataValidation type="decimal" operator="greaterThanOrEqual" allowBlank="1" showInputMessage="1" showErrorMessage="1" errorTitle="Valeur non admise" error="Saisissez un nombre positif ou nul." promptTitle="Service de la dette" prompt="Intérêts et principal dus sur la période, en MMAD. 0 = période de différé, exclue du DSCR." sqref="C93:C152">
      <formula1>0</formula1>
    </dataValidation>
    <dataValidation type="decimal" allowBlank="1" showInputMessage="1" showErrorMessage="1" errorTitle="Valeur non admise" error="Saisissez un nombre." promptTitle="CFADS stressé (facultatif)" prompt="Laisser vide pour appliquer le choc du scénario défavorable. Sinon, CFADS du scénario défavorable issu du modèle de flux." sqref="F93:F152">
      <formula1>-1000000000.0</formula1>
      <formula2>1000000000.0</formula2>
    </dataValidation>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6">
      <formula1>OFFSET(R_Opt1,$M166-1,0,1,5)</formula1>
    </dataValidation>
    <dataValidation allowBlank="1" showInputMessage="1" showErrorMessage="1" promptTitle="Justification" prompt="Mesure et pièce justificative, ex. « DSRA 6 mois, cascade signée ». Obligatoire pour une situation Critique ou « Info. insuffisante »." sqref="H166"/>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7">
      <formula1>OFFSET(R_Opt1,$M167-1,0,1,5)</formula1>
    </dataValidation>
    <dataValidation allowBlank="1" showInputMessage="1" showErrorMessage="1" promptTitle="Justification" prompt="Mesure et pièce justificative, ex. « DSRA 6 mois, cascade signée ». Obligatoire pour une situation Critique ou « Info. insuffisante »." sqref="H167"/>
    <dataValidation type="list" allowBlank="1" showInputMessage="1" showErrorMessage="1" errorTitle="Situation non admise" error="Choisissez une situation dans la liste (flèche à droite de la cellule)." promptTitle="Situation de l'indicateur" prompt="Choisissez la situation qui décrit le dossier : la note s'affiche à gauche (100, 80, 50 ou 20). « Info. insuffisante » est comptée à 20 et rend la note provisoire." sqref="E168">
      <formula1>OFFSET(R_Opt1,$M168-1,0,1,5)</formula1>
    </dataValidation>
    <dataValidation allowBlank="1" showInputMessage="1" showErrorMessage="1" promptTitle="Justification" prompt="Mesure et pièce justificative, ex. « DSRA 6 mois, cascade signée ». Obligatoire pour une situation Critique ou « Info. insuffisante »." sqref="H168"/>
    <dataValidation type="list" allowBlank="1" showInputMessage="1" showErrorMessage="1" errorTitle="Valeur non admise" error="Choisissez une valeur dans la liste déroulante (flèche à droite de la cellule)." promptTitle="N3 hors phase P1" prompt="Note fondée sur le LLCR : 100, 80, 50 ou 20. En phase P1, N3 est calculé automatiquement à partir du test de financement à terminaison." sqref="B171">
      <formula1>L_Notes</formula1>
    </dataValidation>
    <dataValidation type="decimal" allowBlank="1" showInputMessage="1" showErrorMessage="1" errorTitle="Valeur non admise" error="Saisissez un ratio en nombre de fois, par exemple 1,35." promptTitle="LLCR" prompt="Loan Life Coverage Ratio, en nombre de fois, ex. 1,35. Plafond C4 en dessous de 1,10." sqref="B172">
      <formula1>0</formula1>
      <formula2>20</formula2>
    </dataValidation>
    <dataValidation type="decimal" allowBlank="1" showInputMessage="1" showErrorMessage="1" errorTitle="Valeur non admise" error="Saisissez un nombre de mois de service (0 à 60)." promptTitle="DSRA" prompt="Réserve de service de la dette, en mois de service. Plafond C7 en dessous de 3 mois." sqref="B173">
      <formula1>0</formula1>
      <formula2>60</formula2>
    </dataValidation>
    <dataValidation type="decimal" allowBlank="1" showInputMessage="1" showErrorMessage="1" errorTitle="Valeur non admise" error="Saisissez un pourcentage, par exemple 25% (500 % au plus)." promptTitle="Exposition en devises" prompt="Exposition nette non couverte, en % du service annuel de la dette. Saisir 0% si tout est en dirhams. Plafond C6 au-delà de 25 %." sqref="B174">
      <formula1>0</formula1>
      <formula2>5</formula2>
    </dataValidation>
    <dataValidation type="decimal" allowBlank="1" showInputMessage="1" showErrorMessage="1" errorTitle="Valeur non admise" error="Saisissez un pourcentage entre 0 % et 100 %, par exemple 15%." promptTitle="Dette à refinancer" prompt="Part du nominal à refinancer à maturité (ballon), en %. 0% si l'amortissement est complet. Plafond C8 au-delà de 30 % sans stratégie." sqref="B175">
      <formula1>0</formula1>
      <formula2>1</formula2>
    </dataValidation>
    <dataValidation type="list" allowBlank="1" showInputMessage="1" showErrorMessage="1" errorTitle="Valeur non admise" error="Choisissez une valeur dans la liste déroulante (flèche à droite de la cellule)." promptTitle="Stratégie de refinancement" prompt="Oui si une stratégie de refinancement est approuvée : neutralise le plafond C8." sqref="B176">
      <formula1>L_OuiNon</formula1>
    </dataValidation>
    <dataValidation type="decimal" allowBlank="1" showInputMessage="1" showErrorMessage="1" errorTitle="Valeur non admise" error="Saisissez un pourcentage entre 0 % et 100 %, par exemple 15%." promptTitle="Part de l'acheteur principal" prompt="Part des recettes portée par l'acheteur principal, en %. Ex. : 100%." sqref="B177">
      <formula1>0</formula1>
      <formula2>1</formula2>
    </dataValidation>
    <dataValidation type="list" allowBlank="1" showInputMessage="1" showErrorMessage="1" errorTitle="Valeur non admise" error="Choisissez une valeur dans la liste déroulante (flèche à droite de la cellule)." promptTitle="Qualité de l'acheteur" prompt="Notation interne de l'acheteur principal. Plafond C10 si sa part dépasse 85 % et qu'il est noté sous BBB− ou non noté." sqref="B178">
      <formula1>L_QualAch</formula1>
    </dataValidation>
    <dataValidation type="decimal" allowBlank="1" showInputMessage="1" showErrorMessage="1" errorTitle="Valeur non admise" error="Saisissez une durée en années (0 à 99)." promptTitle="Durée du contrat de revenus" prompt="Durée résiduelle du contrat de revenus, en années. Plafond C5 s'il expire avant la dette sans solution documentée." sqref="B179">
      <formula1>0</formula1>
      <formula2>99</formula2>
    </dataValidation>
    <dataValidation type="decimal" allowBlank="1" showInputMessage="1" showErrorMessage="1" errorTitle="Valeur non admise" error="Saisissez une durée en années (0 à 99)." promptTitle="Durée résiduelle de la dette" prompt="Durée résiduelle de la dette, en années." sqref="B180">
      <formula1>0</formula1>
      <formula2>99</formula2>
    </dataValidation>
    <dataValidation type="list" allowBlank="1" showInputMessage="1" showErrorMessage="1" errorTitle="Valeur non admise" error="Choisissez une valeur dans la liste déroulante (flèche à droite de la cellule)." promptTitle="Solution documentée ?" prompt="Oui si une solution documentée couvre l'expiration du contrat avant la dette : neutralise C5." sqref="B181">
      <formula1>L_OuiNon</formula1>
    </dataValidation>
    <dataValidation type="list" allowBlank="1" showInputMessage="1" showErrorMessage="1" errorTitle="Valeur non admise" error="Choisissez une valeur dans la liste déroulante (flèche à droite de la cellule)." promptTitle="Plan d'adaptation financé ?" prompt="Oui si un plan d'adaptation climatique est financé : neutralise C11." sqref="B182">
      <formula1>L_OuiNon</formula1>
    </dataValidation>
    <dataValidation type="list" allowBlank="1" showInputMessage="1" showErrorMessage="1" errorTitle="Valeur non admise" error="Choisissez une valeur dans la liste déroulante (flèche à droite de la cellule)." promptTitle="Capacité du sponsor ?" prompt="Oui si la capacité résiduelle du sponsor couvre l'appel d'equity restant. Non : plafond C12." sqref="B183">
      <formula1>L_OuiNon</formula1>
    </dataValidation>
    <dataValidation type="list" allowBlank="1" showInputMessage="1" showErrorMessage="1" errorTitle="Valeur non admise" error="Choisissez une valeur dans la liste déroulante (flèche à droite de la cellule)." promptTitle="Opérateur remplaçable ?" prompt="Oui si l'opérateur O&amp;M peut être remplacé. Non, avec un contrat O&amp;M expirant plus de 5 ans avant la dette : plafond C13." sqref="B184">
      <formula1>L_OuiNon</formula1>
    </dataValidation>
    <dataValidation type="decimal" allowBlank="1" showInputMessage="1" showErrorMessage="1" errorTitle="Valeur non admise" error="Saisissez un nombre d'années (−99 à 99)." promptTitle="Écart O&amp;M / dette (ans)" prompt="Années entre la fin du contrat O&amp;M et la fin de la dette. À renseigner si l'opérateur n'est pas remplaçable." sqref="B185">
      <formula1>-99</formula1>
      <formula2>99</formula2>
    </dataValidation>
    <dataValidation type="list" allowBlank="1" showInputMessage="1" showErrorMessage="1" errorTitle="Valeur non admise" error="Choisissez une valeur dans la liste déroulante (flèche à droite de la cellule)." promptTitle="Facteur commun ?" prompt="Oui si l'exposition du groupe bancaire sur un facteur commun dépasse la limite interne : plafond C14." sqref="B186">
      <formula1>L_OuiNon</formula1>
    </dataValidation>
    <dataValidation allowBlank="1" showInputMessage="1" showErrorMessage="1" promptTitle="Commentaire du domaine" prompt="Constats et pièces qui justifient les notes du domaine." sqref="E19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1">
      <formula1>OFFSET(R_Opt1,$M191-1,0,1,5)</formula1>
    </dataValidation>
    <dataValidation allowBlank="1" showInputMessage="1" showErrorMessage="1" promptTitle="Commentaire" prompt="Constat et pièce justificative. Obligatoire pour une situation Critique ou « Info. insuffisante »." sqref="H19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2">
      <formula1>OFFSET(R_Opt1,$M192-1,0,1,5)</formula1>
    </dataValidation>
    <dataValidation allowBlank="1" showInputMessage="1" showErrorMessage="1" promptTitle="Commentaire" prompt="Constat et pièce justificative. Obligatoire pour une situation Critique ou « Info. insuffisante »." sqref="H19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3">
      <formula1>OFFSET(R_Opt1,$M193-1,0,1,5)</formula1>
    </dataValidation>
    <dataValidation allowBlank="1" showInputMessage="1" showErrorMessage="1" promptTitle="Commentaire" prompt="Constat et pièce justificative. Obligatoire pour une situation Critique ou « Info. insuffisante »." sqref="H193"/>
    <dataValidation allowBlank="1" showInputMessage="1" showErrorMessage="1" promptTitle="Commentaire du domaine" prompt="Constats et pièces qui justifient les notes du domaine." sqref="E19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5">
      <formula1>OFFSET(R_Opt1,$M195-1,0,1,5)</formula1>
    </dataValidation>
    <dataValidation allowBlank="1" showInputMessage="1" showErrorMessage="1" promptTitle="Commentaire" prompt="Constat et pièce justificative. Obligatoire pour une situation Critique ou « Info. insuffisante »." sqref="H19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6">
      <formula1>OFFSET(R_Opt1,$M196-1,0,1,5)</formula1>
    </dataValidation>
    <dataValidation allowBlank="1" showInputMessage="1" showErrorMessage="1" promptTitle="Commentaire" prompt="Constat et pièce justificative. Obligatoire pour une situation Critique ou « Info. insuffisante »." sqref="H19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7">
      <formula1>OFFSET(R_Opt1,$M197-1,0,1,5)</formula1>
    </dataValidation>
    <dataValidation allowBlank="1" showInputMessage="1" showErrorMessage="1" promptTitle="Commentaire" prompt="Constat et pièce justificative. Obligatoire pour une situation Critique ou « Info. insuffisante »." sqref="H197"/>
    <dataValidation allowBlank="1" showInputMessage="1" showErrorMessage="1" promptTitle="Commentaire du domaine" prompt="Constats et pièces qui justifient les notes du domaine." sqref="E19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199">
      <formula1>OFFSET(R_Opt1,$M199-1,0,1,5)</formula1>
    </dataValidation>
    <dataValidation allowBlank="1" showInputMessage="1" showErrorMessage="1" promptTitle="Commentaire" prompt="Constat et pièce justificative. Obligatoire pour une situation Critique ou « Info. insuffisante »." sqref="H19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0">
      <formula1>OFFSET(R_Opt1,$M200-1,0,1,5)</formula1>
    </dataValidation>
    <dataValidation allowBlank="1" showInputMessage="1" showErrorMessage="1" promptTitle="Commentaire" prompt="Constat et pièce justificative. Obligatoire pour une situation Critique ou « Info. insuffisante »." sqref="H20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1">
      <formula1>OFFSET(R_Opt1,$M201-1,0,1,5)</formula1>
    </dataValidation>
    <dataValidation allowBlank="1" showInputMessage="1" showErrorMessage="1" promptTitle="Commentaire" prompt="Constat et pièce justificative. Obligatoire pour une situation Critique ou « Info. insuffisante »." sqref="H201"/>
    <dataValidation allowBlank="1" showInputMessage="1" showErrorMessage="1" promptTitle="Commentaire du domaine" prompt="Constats et pièces qui justifient les notes du domaine." sqref="E20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3">
      <formula1>OFFSET(R_Opt1,$M203-1,0,1,5)</formula1>
    </dataValidation>
    <dataValidation allowBlank="1" showInputMessage="1" showErrorMessage="1" promptTitle="Commentaire" prompt="Constat et pièce justificative. Obligatoire pour une situation Critique ou « Info. insuffisante »." sqref="H203"/>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4">
      <formula1>OFFSET(R_Opt1,$M204-1,0,1,5)</formula1>
    </dataValidation>
    <dataValidation allowBlank="1" showInputMessage="1" showErrorMessage="1" promptTitle="Commentaire" prompt="Constat et pièce justificative. Obligatoire pour une situation Critique ou « Info. insuffisante »." sqref="H20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5">
      <formula1>OFFSET(R_Opt1,$M205-1,0,1,5)</formula1>
    </dataValidation>
    <dataValidation allowBlank="1" showInputMessage="1" showErrorMessage="1" promptTitle="Commentaire" prompt="Constat et pièce justificative. Obligatoire pour une situation Critique ou « Info. insuffisante »." sqref="H205"/>
    <dataValidation allowBlank="1" showInputMessage="1" showErrorMessage="1" promptTitle="Commentaire du domaine" prompt="Constats et pièces qui justifient les notes du domaine." sqref="E20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7">
      <formula1>OFFSET(R_Opt1,$M207-1,0,1,5)</formula1>
    </dataValidation>
    <dataValidation allowBlank="1" showInputMessage="1" showErrorMessage="1" promptTitle="Commentaire" prompt="Constat et pièce justificative. Obligatoire pour une situation Critique ou « Info. insuffisante »." sqref="H207"/>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8">
      <formula1>OFFSET(R_Opt1,$M208-1,0,1,5)</formula1>
    </dataValidation>
    <dataValidation allowBlank="1" showInputMessage="1" showErrorMessage="1" promptTitle="Commentaire" prompt="Constat et pièce justificative. Obligatoire pour une situation Critique ou « Info. insuffisante »." sqref="H20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09">
      <formula1>OFFSET(R_Opt1,$M209-1,0,1,5)</formula1>
    </dataValidation>
    <dataValidation allowBlank="1" showInputMessage="1" showErrorMessage="1" promptTitle="Commentaire" prompt="Constat et pièce justificative. Obligatoire pour une situation Critique ou « Info. insuffisante »." sqref="H209"/>
    <dataValidation allowBlank="1" showInputMessage="1" showErrorMessage="1" promptTitle="Commentaire du domaine" prompt="Constats et pièces qui justifient les notes du domaine." sqref="E21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1">
      <formula1>OFFSET(R_Opt1,$M211-1,0,1,5)</formula1>
    </dataValidation>
    <dataValidation allowBlank="1" showInputMessage="1" showErrorMessage="1" promptTitle="Commentaire" prompt="Constat et pièce justificative. Obligatoire pour une situation Critique ou « Info. insuffisante »." sqref="H21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2">
      <formula1>OFFSET(R_Opt1,$M212-1,0,1,5)</formula1>
    </dataValidation>
    <dataValidation allowBlank="1" showInputMessage="1" showErrorMessage="1" promptTitle="Commentaire" prompt="Constat et pièce justificative. Obligatoire pour une situation Critique ou « Info. insuffisante »." sqref="H212"/>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3">
      <formula1>OFFSET(R_Opt1,$M213-1,0,1,5)</formula1>
    </dataValidation>
    <dataValidation allowBlank="1" showInputMessage="1" showErrorMessage="1" promptTitle="Commentaire" prompt="Constat et pièce justificative. Obligatoire pour une situation Critique ou « Info. insuffisante »." sqref="H213"/>
    <dataValidation allowBlank="1" showInputMessage="1" showErrorMessage="1" promptTitle="Commentaire du domaine" prompt="Constats et pièces qui justifient les notes du domaine." sqref="E214"/>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5">
      <formula1>OFFSET(R_Opt1,$M215-1,0,1,5)</formula1>
    </dataValidation>
    <dataValidation allowBlank="1" showInputMessage="1" showErrorMessage="1" promptTitle="Commentaire" prompt="Constat et pièce justificative. Obligatoire pour une situation Critique ou « Info. insuffisante »." sqref="H215"/>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6">
      <formula1>OFFSET(R_Opt1,$M216-1,0,1,5)</formula1>
    </dataValidation>
    <dataValidation allowBlank="1" showInputMessage="1" showErrorMessage="1" promptTitle="Commentaire" prompt="Constat et pièce justificative. Obligatoire pour une situation Critique ou « Info. insuffisante »." sqref="H216"/>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7">
      <formula1>OFFSET(R_Opt1,$M217-1,0,1,5)</formula1>
    </dataValidation>
    <dataValidation allowBlank="1" showInputMessage="1" showErrorMessage="1" promptTitle="Commentaire" prompt="Constat et pièce justificative. Obligatoire pour une situation Critique ou « Info. insuffisante »." sqref="H217"/>
    <dataValidation allowBlank="1" showInputMessage="1" showErrorMessage="1" promptTitle="Commentaire du domaine" prompt="Constats et pièces qui justifient les notes du domaine." sqref="E218"/>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19">
      <formula1>OFFSET(R_Opt1,$M219-1,0,1,5)</formula1>
    </dataValidation>
    <dataValidation allowBlank="1" showInputMessage="1" showErrorMessage="1" promptTitle="Commentaire" prompt="Constat et pièce justificative. Obligatoire pour une situation Critique ou « Info. insuffisante »." sqref="H219"/>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0">
      <formula1>OFFSET(R_Opt1,$M220-1,0,1,5)</formula1>
    </dataValidation>
    <dataValidation allowBlank="1" showInputMessage="1" showErrorMessage="1" promptTitle="Commentaire" prompt="Constat et pièce justificative. Obligatoire pour une situation Critique ou « Info. insuffisante »." sqref="H220"/>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1">
      <formula1>OFFSET(R_Opt1,$M221-1,0,1,5)</formula1>
    </dataValidation>
    <dataValidation allowBlank="1" showInputMessage="1" showErrorMessage="1" promptTitle="Commentaire" prompt="Constat et pièce justificative. Obligatoire pour une situation Critique ou « Info. insuffisante »." sqref="H221"/>
    <dataValidation type="list" allowBlank="1" showInputMessage="1" showErrorMessage="1" errorTitle="Situation non admise" error="Choisissez une situation dans la liste (flèche à droite de la cellule)." promptTitle="Situation du sous-critère" prompt="Choisissez la situation qui décrit le dossier (onglet « Référentiel des niveaux »). La note s'affiche en colonne B. « Info. insuffisante » : comptée à 20, note provisoire." sqref="E222">
      <formula1>OFFSET(R_Opt1,$M222-1,0,1,5)</formula1>
    </dataValidation>
    <dataValidation allowBlank="1" showInputMessage="1" showErrorMessage="1" promptTitle="Commentaire" prompt="Constat et pièce justificative. Obligatoire pour une situation Critique ou « Info. insuffisante »." sqref="H222"/>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4">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5">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6">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7">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8">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49">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0">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1">
      <formula1>L_OuiNon</formula1>
    </dataValidation>
    <dataValidation type="list" allowBlank="1" showInputMessage="1" showErrorMessage="1" errorTitle="Valeur non admise" error="Choisissez une valeur dans la liste déroulante (flèche à droite de la cellule)." promptTitle="Modèle de flux (B6)" prompt="Question inversée : Oui si le modèle de flux daté est complet et rapproché des états financiers. Non déclenche le blocage B6." sqref="E252">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3">
      <formula1>L_OuiNon</formula1>
    </dataValidation>
    <dataValidation type="list" allowBlank="1" showInputMessage="1" showErrorMessage="1" errorTitle="Valeur non admise" error="Choisissez une valeur dans la liste déroulante (flèche à droite de la cellule)." promptTitle="Verrou constaté ?" prompt="Oui si le fait générateur est constaté, Non sinon. Une exclusion X empêche toute note ; un blocage B rend la note provisoire." sqref="E254">
      <formula1>L_OuiNon</formula1>
    </dataValidation>
    <dataValidation allowBlank="1" showInputMessage="1" showErrorMessage="1" promptTitle="Synthèse (obligatoire)" prompt="Le projet, la note et ce qui la détermine, en quelques phrases. Reprise en tête de la fiche comité." sqref="B280"/>
    <dataValidation allowBlank="1" showInputMessage="1" showErrorMessage="1" promptTitle="Forces" prompt="Points forts du dossier, avec les pièces qui les établissent." sqref="B281"/>
    <dataValidation allowBlank="1" showInputMessage="1" showErrorMessage="1" promptTitle="Faiblesses et mitigants" prompt="Risques identifiés et, pour chacun, le mitigant en place ou proposé." sqref="B282"/>
    <dataValidation allowBlank="1" showInputMessage="1" showErrorMessage="1" promptTitle="Conditions proposées" prompt="Conditions préalables, conditions de tirage, engagements et clauses de suivi." sqref="B283"/>
    <dataValidation allowBlank="1" showInputMessage="1" showErrorMessage="1" promptTitle="Justification des écarts" prompt="Obligatoire si un plafond, un verrou ou une « Info. insuffisante » est actif : cause, effet sur la note et mesure qui le lèverait." sqref="B284"/>
    <dataValidation type="list" allowBlank="1" showInputMessage="1" showErrorMessage="1" errorTitle="Valeur non admise" error="Choisissez une valeur dans la liste déroulante (flèche à droite de la cellule)." promptTitle="Avis risques" prompt="Avis de la fonction risques : favorable, favorable sous conditions, réservé ou défavorable." sqref="B285">
      <formula1>L_Avis</formula1>
    </dataValidation>
    <dataValidation allowBlank="1" showInputMessage="1" showErrorMessage="1" promptTitle="Motif de l'avis" prompt="Motif et réserves de l'avis risques." sqref="D285"/>
    <dataValidation type="list" allowBlank="1" showInputMessage="1" showErrorMessage="1" errorTitle="Valeur non admise" error="Choisissez une valeur dans la liste déroulante (flèche à droite de la cellule)." promptTitle="Décision du comité" prompt="À renseigner après le comité : accord, accord sous conditions, ajournement ou refus." sqref="B286">
      <formula1>L_Decision</formula1>
    </dataValidation>
    <dataValidation allowBlank="1" showInputMessage="1" showErrorMessage="1" promptTitle="Date et références" prompt="Date du comité, numéro de procès-verbal, réserves particulières." sqref="D286"/>
  </dataValidations>
  <pageMargins left="0.7" right="0.7" top="0.75" bottom="0.75" header="0.3" footer="0.3"/>
  <pageSetup paperSize="9" fitToHeight="0" orientation="landscape"/>
  <legacyDrawing r:id="rId1"/>
</worksheet>
</file>

<file path=xl/worksheets/sheet24.xml><?xml version="1.0" encoding="utf-8"?>
<worksheet xmlns="http://schemas.openxmlformats.org/spreadsheetml/2006/main" xmlns:r="http://schemas.openxmlformats.org/officeDocument/2006/relationships">
  <sheetPr>
    <pageSetUpPr fitToPage="1"/>
  </sheetPr>
  <dimension ref="A1:X99"/>
  <sheetViews>
    <sheetView showGridLines="0" workbookViewId="0">
      <pane xSplit="3" ySplit="7" topLeftCell="D8" activePane="bottomRight" state="frozen"/>
      <selection pane="topRight" activeCell="D1" sqref="D1"/>
      <selection pane="bottomLeft" activeCell="A8" sqref="A8"/>
      <selection pane="bottomRight"/>
    </sheetView>
  </sheetViews>
  <sheetFormatPr defaultRowHeight="15"/>
  <cols>
    <col min="1" max="1" width="7.7109375" customWidth="1"/>
    <col min="2" max="2" width="26.7109375" customWidth="1"/>
    <col min="3" max="3" width="10.7109375" customWidth="1"/>
    <col min="4" max="7" width="36.7109375" customWidth="1"/>
    <col min="8" max="8" width="14.7109375" customWidth="1"/>
    <col min="10" max="10" width="14.7109375" hidden="1" customWidth="1"/>
    <col min="12" max="24" width="12.7109375" hidden="1" customWidth="1"/>
  </cols>
  <sheetData>
    <row r="1" spans="1:10">
      <c r="A1" s="1" t="s">
        <v>298</v>
      </c>
    </row>
    <row r="2" spans="1:10">
      <c r="A2" s="2" t="s">
        <v>299</v>
      </c>
    </row>
    <row r="3" spans="1:10">
      <c r="A3" s="2" t="s">
        <v>300</v>
      </c>
    </row>
    <row r="4" spans="1:10">
      <c r="A4" s="2" t="s">
        <v>301</v>
      </c>
    </row>
    <row r="7" spans="1:10">
      <c r="A7" s="11" t="s">
        <v>203</v>
      </c>
      <c r="B7" s="11" t="s">
        <v>302</v>
      </c>
      <c r="C7" s="11" t="s">
        <v>19</v>
      </c>
      <c r="D7" s="11" t="s">
        <v>303</v>
      </c>
      <c r="E7" s="11" t="s">
        <v>304</v>
      </c>
      <c r="F7" s="11" t="s">
        <v>305</v>
      </c>
      <c r="G7" s="11" t="s">
        <v>306</v>
      </c>
      <c r="H7" s="11" t="s">
        <v>260</v>
      </c>
      <c r="J7" s="11" t="s">
        <v>307</v>
      </c>
    </row>
    <row r="8" spans="1:10">
      <c r="A8" s="52" t="s">
        <v>205</v>
      </c>
      <c r="B8" s="52" t="s">
        <v>206</v>
      </c>
      <c r="C8" s="52" t="s">
        <v>308</v>
      </c>
      <c r="D8" s="53" t="s">
        <v>309</v>
      </c>
      <c r="E8" s="53" t="s">
        <v>310</v>
      </c>
      <c r="F8" s="53" t="s">
        <v>311</v>
      </c>
      <c r="G8" s="53" t="s">
        <v>312</v>
      </c>
      <c r="H8" s="53" t="s">
        <v>260</v>
      </c>
      <c r="J8" t="s">
        <v>205</v>
      </c>
    </row>
    <row r="9" spans="1:10">
      <c r="A9" s="52" t="s">
        <v>207</v>
      </c>
      <c r="B9" s="52" t="s">
        <v>208</v>
      </c>
      <c r="C9" s="52" t="s">
        <v>308</v>
      </c>
      <c r="D9" s="53" t="s">
        <v>313</v>
      </c>
      <c r="E9" s="53" t="s">
        <v>314</v>
      </c>
      <c r="F9" s="53" t="s">
        <v>315</v>
      </c>
      <c r="G9" s="53" t="s">
        <v>316</v>
      </c>
      <c r="H9" s="53" t="s">
        <v>260</v>
      </c>
      <c r="J9" t="s">
        <v>207</v>
      </c>
    </row>
    <row r="10" spans="1:10">
      <c r="A10" s="52" t="s">
        <v>209</v>
      </c>
      <c r="B10" s="52" t="s">
        <v>210</v>
      </c>
      <c r="C10" s="52" t="s">
        <v>308</v>
      </c>
      <c r="D10" s="53" t="s">
        <v>317</v>
      </c>
      <c r="E10" s="53" t="s">
        <v>318</v>
      </c>
      <c r="F10" s="53" t="s">
        <v>319</v>
      </c>
      <c r="G10" s="53" t="s">
        <v>320</v>
      </c>
      <c r="H10" s="53" t="s">
        <v>260</v>
      </c>
      <c r="J10" t="s">
        <v>209</v>
      </c>
    </row>
    <row r="11" spans="1:10">
      <c r="A11" s="52" t="s">
        <v>211</v>
      </c>
      <c r="B11" s="52" t="s">
        <v>212</v>
      </c>
      <c r="C11" s="52" t="s">
        <v>308</v>
      </c>
      <c r="D11" s="53" t="s">
        <v>321</v>
      </c>
      <c r="E11" s="53" t="s">
        <v>322</v>
      </c>
      <c r="F11" s="53" t="s">
        <v>323</v>
      </c>
      <c r="G11" s="53" t="s">
        <v>324</v>
      </c>
      <c r="H11" s="53" t="s">
        <v>260</v>
      </c>
      <c r="J11" t="s">
        <v>211</v>
      </c>
    </row>
    <row r="12" spans="1:10">
      <c r="A12" s="53" t="s">
        <v>211</v>
      </c>
      <c r="B12" s="53" t="s">
        <v>212</v>
      </c>
      <c r="C12" s="53" t="s">
        <v>21</v>
      </c>
      <c r="D12" s="53" t="s">
        <v>325</v>
      </c>
      <c r="E12" s="53" t="s">
        <v>326</v>
      </c>
      <c r="F12" s="53" t="s">
        <v>327</v>
      </c>
      <c r="G12" s="53" t="s">
        <v>328</v>
      </c>
      <c r="H12" s="53" t="s">
        <v>260</v>
      </c>
      <c r="J12" t="s">
        <v>329</v>
      </c>
    </row>
    <row r="13" spans="1:10">
      <c r="A13" s="53" t="s">
        <v>211</v>
      </c>
      <c r="B13" s="53" t="s">
        <v>212</v>
      </c>
      <c r="C13" s="53" t="s">
        <v>23</v>
      </c>
      <c r="D13" s="53" t="s">
        <v>330</v>
      </c>
      <c r="E13" s="53" t="s">
        <v>331</v>
      </c>
      <c r="F13" s="53" t="s">
        <v>332</v>
      </c>
      <c r="G13" s="53" t="s">
        <v>333</v>
      </c>
      <c r="H13" s="53" t="s">
        <v>260</v>
      </c>
      <c r="J13" t="s">
        <v>334</v>
      </c>
    </row>
    <row r="14" spans="1:10">
      <c r="A14" s="53" t="s">
        <v>211</v>
      </c>
      <c r="B14" s="53" t="s">
        <v>212</v>
      </c>
      <c r="C14" s="53" t="s">
        <v>25</v>
      </c>
      <c r="D14" s="53" t="s">
        <v>335</v>
      </c>
      <c r="E14" s="53" t="s">
        <v>336</v>
      </c>
      <c r="F14" s="53" t="s">
        <v>337</v>
      </c>
      <c r="G14" s="53" t="s">
        <v>338</v>
      </c>
      <c r="H14" s="53" t="s">
        <v>260</v>
      </c>
      <c r="J14" t="s">
        <v>339</v>
      </c>
    </row>
    <row r="15" spans="1:10">
      <c r="A15" s="53" t="s">
        <v>211</v>
      </c>
      <c r="B15" s="53" t="s">
        <v>212</v>
      </c>
      <c r="C15" s="53" t="s">
        <v>27</v>
      </c>
      <c r="D15" s="53" t="s">
        <v>340</v>
      </c>
      <c r="E15" s="53" t="s">
        <v>341</v>
      </c>
      <c r="F15" s="53" t="s">
        <v>342</v>
      </c>
      <c r="G15" s="53" t="s">
        <v>343</v>
      </c>
      <c r="H15" s="53" t="s">
        <v>260</v>
      </c>
      <c r="J15" t="s">
        <v>344</v>
      </c>
    </row>
    <row r="16" spans="1:10">
      <c r="A16" s="53" t="s">
        <v>211</v>
      </c>
      <c r="B16" s="53" t="s">
        <v>212</v>
      </c>
      <c r="C16" s="53" t="s">
        <v>29</v>
      </c>
      <c r="D16" s="53" t="s">
        <v>345</v>
      </c>
      <c r="E16" s="53" t="s">
        <v>346</v>
      </c>
      <c r="F16" s="53" t="s">
        <v>347</v>
      </c>
      <c r="G16" s="53" t="s">
        <v>348</v>
      </c>
      <c r="H16" s="53" t="s">
        <v>260</v>
      </c>
      <c r="J16" t="s">
        <v>349</v>
      </c>
    </row>
    <row r="17" spans="1:10">
      <c r="A17" s="53" t="s">
        <v>211</v>
      </c>
      <c r="B17" s="53" t="s">
        <v>212</v>
      </c>
      <c r="C17" s="53" t="s">
        <v>31</v>
      </c>
      <c r="D17" s="53" t="s">
        <v>350</v>
      </c>
      <c r="E17" s="53" t="s">
        <v>351</v>
      </c>
      <c r="F17" s="53" t="s">
        <v>352</v>
      </c>
      <c r="G17" s="53" t="s">
        <v>353</v>
      </c>
      <c r="H17" s="53" t="s">
        <v>260</v>
      </c>
      <c r="J17" t="s">
        <v>354</v>
      </c>
    </row>
    <row r="18" spans="1:10">
      <c r="A18" s="53" t="s">
        <v>211</v>
      </c>
      <c r="B18" s="53" t="s">
        <v>212</v>
      </c>
      <c r="C18" s="53" t="s">
        <v>33</v>
      </c>
      <c r="D18" s="53" t="s">
        <v>355</v>
      </c>
      <c r="E18" s="53" t="s">
        <v>356</v>
      </c>
      <c r="F18" s="53" t="s">
        <v>357</v>
      </c>
      <c r="G18" s="53" t="s">
        <v>358</v>
      </c>
      <c r="H18" s="53" t="s">
        <v>260</v>
      </c>
      <c r="J18" t="s">
        <v>359</v>
      </c>
    </row>
    <row r="19" spans="1:10">
      <c r="A19" s="53" t="s">
        <v>211</v>
      </c>
      <c r="B19" s="53" t="s">
        <v>212</v>
      </c>
      <c r="C19" s="53" t="s">
        <v>35</v>
      </c>
      <c r="D19" s="53" t="s">
        <v>360</v>
      </c>
      <c r="E19" s="53" t="s">
        <v>361</v>
      </c>
      <c r="F19" s="53" t="s">
        <v>362</v>
      </c>
      <c r="G19" s="53" t="s">
        <v>363</v>
      </c>
      <c r="H19" s="53" t="s">
        <v>260</v>
      </c>
      <c r="J19" t="s">
        <v>364</v>
      </c>
    </row>
    <row r="20" spans="1:10">
      <c r="A20" s="53" t="s">
        <v>211</v>
      </c>
      <c r="B20" s="53" t="s">
        <v>212</v>
      </c>
      <c r="C20" s="53" t="s">
        <v>37</v>
      </c>
      <c r="D20" s="53" t="s">
        <v>365</v>
      </c>
      <c r="E20" s="53" t="s">
        <v>366</v>
      </c>
      <c r="F20" s="53" t="s">
        <v>367</v>
      </c>
      <c r="G20" s="53" t="s">
        <v>368</v>
      </c>
      <c r="H20" s="53" t="s">
        <v>260</v>
      </c>
      <c r="J20" t="s">
        <v>369</v>
      </c>
    </row>
    <row r="21" spans="1:10">
      <c r="A21" s="53" t="s">
        <v>211</v>
      </c>
      <c r="B21" s="53" t="s">
        <v>212</v>
      </c>
      <c r="C21" s="53" t="s">
        <v>39</v>
      </c>
      <c r="D21" s="53" t="s">
        <v>370</v>
      </c>
      <c r="E21" s="53" t="s">
        <v>371</v>
      </c>
      <c r="F21" s="53" t="s">
        <v>372</v>
      </c>
      <c r="G21" s="53" t="s">
        <v>373</v>
      </c>
      <c r="H21" s="53" t="s">
        <v>260</v>
      </c>
      <c r="J21" t="s">
        <v>374</v>
      </c>
    </row>
    <row r="22" spans="1:10">
      <c r="A22" s="53" t="s">
        <v>211</v>
      </c>
      <c r="B22" s="53" t="s">
        <v>212</v>
      </c>
      <c r="C22" s="53" t="s">
        <v>41</v>
      </c>
      <c r="D22" s="53" t="s">
        <v>375</v>
      </c>
      <c r="E22" s="53" t="s">
        <v>376</v>
      </c>
      <c r="F22" s="53" t="s">
        <v>377</v>
      </c>
      <c r="G22" s="53" t="s">
        <v>378</v>
      </c>
      <c r="H22" s="53" t="s">
        <v>260</v>
      </c>
      <c r="J22" t="s">
        <v>379</v>
      </c>
    </row>
    <row r="23" spans="1:10">
      <c r="A23" s="53" t="s">
        <v>211</v>
      </c>
      <c r="B23" s="53" t="s">
        <v>212</v>
      </c>
      <c r="C23" s="53" t="s">
        <v>43</v>
      </c>
      <c r="D23" s="53" t="s">
        <v>380</v>
      </c>
      <c r="E23" s="53" t="s">
        <v>381</v>
      </c>
      <c r="F23" s="53" t="s">
        <v>382</v>
      </c>
      <c r="G23" s="53" t="s">
        <v>383</v>
      </c>
      <c r="H23" s="53" t="s">
        <v>260</v>
      </c>
      <c r="J23" t="s">
        <v>384</v>
      </c>
    </row>
    <row r="24" spans="1:10">
      <c r="A24" s="52" t="s">
        <v>213</v>
      </c>
      <c r="B24" s="52" t="s">
        <v>214</v>
      </c>
      <c r="C24" s="52" t="s">
        <v>308</v>
      </c>
      <c r="D24" s="53" t="s">
        <v>385</v>
      </c>
      <c r="E24" s="53" t="s">
        <v>386</v>
      </c>
      <c r="F24" s="53" t="s">
        <v>387</v>
      </c>
      <c r="G24" s="53" t="s">
        <v>388</v>
      </c>
      <c r="H24" s="53" t="s">
        <v>260</v>
      </c>
      <c r="J24" t="s">
        <v>213</v>
      </c>
    </row>
    <row r="25" spans="1:10">
      <c r="A25" s="52" t="s">
        <v>215</v>
      </c>
      <c r="B25" s="52" t="s">
        <v>216</v>
      </c>
      <c r="C25" s="52" t="s">
        <v>308</v>
      </c>
      <c r="D25" s="53" t="s">
        <v>389</v>
      </c>
      <c r="E25" s="53" t="s">
        <v>390</v>
      </c>
      <c r="F25" s="53" t="s">
        <v>391</v>
      </c>
      <c r="G25" s="53" t="s">
        <v>392</v>
      </c>
      <c r="H25" s="53" t="s">
        <v>260</v>
      </c>
      <c r="J25" t="s">
        <v>215</v>
      </c>
    </row>
    <row r="26" spans="1:10">
      <c r="A26" s="52" t="s">
        <v>217</v>
      </c>
      <c r="B26" s="52" t="s">
        <v>218</v>
      </c>
      <c r="C26" s="52" t="s">
        <v>308</v>
      </c>
      <c r="D26" s="53" t="s">
        <v>393</v>
      </c>
      <c r="E26" s="53" t="s">
        <v>394</v>
      </c>
      <c r="F26" s="53" t="s">
        <v>395</v>
      </c>
      <c r="G26" s="53" t="s">
        <v>396</v>
      </c>
      <c r="H26" s="53" t="s">
        <v>260</v>
      </c>
      <c r="J26" t="s">
        <v>217</v>
      </c>
    </row>
    <row r="27" spans="1:10">
      <c r="A27" s="52" t="s">
        <v>219</v>
      </c>
      <c r="B27" s="52" t="s">
        <v>220</v>
      </c>
      <c r="C27" s="52" t="s">
        <v>308</v>
      </c>
      <c r="D27" s="53" t="s">
        <v>397</v>
      </c>
      <c r="E27" s="53" t="s">
        <v>398</v>
      </c>
      <c r="F27" s="53" t="s">
        <v>399</v>
      </c>
      <c r="G27" s="53" t="s">
        <v>400</v>
      </c>
      <c r="H27" s="53" t="s">
        <v>260</v>
      </c>
      <c r="J27" t="s">
        <v>219</v>
      </c>
    </row>
    <row r="28" spans="1:10">
      <c r="A28" s="52" t="s">
        <v>221</v>
      </c>
      <c r="B28" s="52" t="s">
        <v>222</v>
      </c>
      <c r="C28" s="52" t="s">
        <v>308</v>
      </c>
      <c r="D28" s="53" t="s">
        <v>401</v>
      </c>
      <c r="E28" s="53" t="s">
        <v>402</v>
      </c>
      <c r="F28" s="53" t="s">
        <v>403</v>
      </c>
      <c r="G28" s="53" t="s">
        <v>404</v>
      </c>
      <c r="H28" s="53" t="s">
        <v>260</v>
      </c>
      <c r="J28" t="s">
        <v>221</v>
      </c>
    </row>
    <row r="29" spans="1:10">
      <c r="A29" s="52" t="s">
        <v>223</v>
      </c>
      <c r="B29" s="52" t="s">
        <v>224</v>
      </c>
      <c r="C29" s="52" t="s">
        <v>308</v>
      </c>
      <c r="D29" s="53" t="s">
        <v>405</v>
      </c>
      <c r="E29" s="53" t="s">
        <v>406</v>
      </c>
      <c r="F29" s="53" t="s">
        <v>407</v>
      </c>
      <c r="G29" s="53" t="s">
        <v>408</v>
      </c>
      <c r="H29" s="53" t="s">
        <v>260</v>
      </c>
      <c r="J29" t="s">
        <v>223</v>
      </c>
    </row>
    <row r="30" spans="1:10">
      <c r="A30" s="53" t="s">
        <v>223</v>
      </c>
      <c r="B30" s="53" t="s">
        <v>224</v>
      </c>
      <c r="C30" s="53" t="s">
        <v>21</v>
      </c>
      <c r="D30" s="53" t="s">
        <v>409</v>
      </c>
      <c r="E30" s="53" t="s">
        <v>410</v>
      </c>
      <c r="F30" s="53" t="s">
        <v>411</v>
      </c>
      <c r="G30" s="53" t="s">
        <v>412</v>
      </c>
      <c r="H30" s="53" t="s">
        <v>260</v>
      </c>
      <c r="J30" t="s">
        <v>413</v>
      </c>
    </row>
    <row r="31" spans="1:10">
      <c r="A31" s="53" t="s">
        <v>223</v>
      </c>
      <c r="B31" s="53" t="s">
        <v>224</v>
      </c>
      <c r="C31" s="53" t="s">
        <v>23</v>
      </c>
      <c r="D31" s="53" t="s">
        <v>414</v>
      </c>
      <c r="E31" s="53" t="s">
        <v>415</v>
      </c>
      <c r="F31" s="53" t="s">
        <v>416</v>
      </c>
      <c r="G31" s="53" t="s">
        <v>417</v>
      </c>
      <c r="H31" s="53" t="s">
        <v>260</v>
      </c>
      <c r="J31" t="s">
        <v>418</v>
      </c>
    </row>
    <row r="32" spans="1:10">
      <c r="A32" s="53" t="s">
        <v>223</v>
      </c>
      <c r="B32" s="53" t="s">
        <v>224</v>
      </c>
      <c r="C32" s="53" t="s">
        <v>25</v>
      </c>
      <c r="D32" s="53" t="s">
        <v>419</v>
      </c>
      <c r="E32" s="53" t="s">
        <v>420</v>
      </c>
      <c r="F32" s="53" t="s">
        <v>421</v>
      </c>
      <c r="G32" s="53" t="s">
        <v>422</v>
      </c>
      <c r="H32" s="53" t="s">
        <v>260</v>
      </c>
      <c r="J32" t="s">
        <v>423</v>
      </c>
    </row>
    <row r="33" spans="1:10">
      <c r="A33" s="53" t="s">
        <v>223</v>
      </c>
      <c r="B33" s="53" t="s">
        <v>224</v>
      </c>
      <c r="C33" s="53" t="s">
        <v>27</v>
      </c>
      <c r="D33" s="53" t="s">
        <v>424</v>
      </c>
      <c r="E33" s="53" t="s">
        <v>425</v>
      </c>
      <c r="F33" s="53" t="s">
        <v>426</v>
      </c>
      <c r="G33" s="53" t="s">
        <v>427</v>
      </c>
      <c r="H33" s="53" t="s">
        <v>260</v>
      </c>
      <c r="J33" t="s">
        <v>428</v>
      </c>
    </row>
    <row r="34" spans="1:10">
      <c r="A34" s="53" t="s">
        <v>223</v>
      </c>
      <c r="B34" s="53" t="s">
        <v>224</v>
      </c>
      <c r="C34" s="53" t="s">
        <v>29</v>
      </c>
      <c r="D34" s="53" t="s">
        <v>429</v>
      </c>
      <c r="E34" s="53" t="s">
        <v>430</v>
      </c>
      <c r="F34" s="53" t="s">
        <v>431</v>
      </c>
      <c r="G34" s="53" t="s">
        <v>432</v>
      </c>
      <c r="H34" s="53" t="s">
        <v>260</v>
      </c>
      <c r="J34" t="s">
        <v>433</v>
      </c>
    </row>
    <row r="35" spans="1:10">
      <c r="A35" s="53" t="s">
        <v>223</v>
      </c>
      <c r="B35" s="53" t="s">
        <v>224</v>
      </c>
      <c r="C35" s="53" t="s">
        <v>31</v>
      </c>
      <c r="D35" s="53" t="s">
        <v>434</v>
      </c>
      <c r="E35" s="53" t="s">
        <v>435</v>
      </c>
      <c r="F35" s="53" t="s">
        <v>436</v>
      </c>
      <c r="G35" s="53" t="s">
        <v>437</v>
      </c>
      <c r="H35" s="53" t="s">
        <v>260</v>
      </c>
      <c r="J35" t="s">
        <v>438</v>
      </c>
    </row>
    <row r="36" spans="1:10">
      <c r="A36" s="53" t="s">
        <v>223</v>
      </c>
      <c r="B36" s="53" t="s">
        <v>224</v>
      </c>
      <c r="C36" s="53" t="s">
        <v>33</v>
      </c>
      <c r="D36" s="53" t="s">
        <v>439</v>
      </c>
      <c r="E36" s="53" t="s">
        <v>440</v>
      </c>
      <c r="F36" s="53" t="s">
        <v>441</v>
      </c>
      <c r="G36" s="53" t="s">
        <v>442</v>
      </c>
      <c r="H36" s="53" t="s">
        <v>260</v>
      </c>
      <c r="J36" t="s">
        <v>443</v>
      </c>
    </row>
    <row r="37" spans="1:10">
      <c r="A37" s="53" t="s">
        <v>223</v>
      </c>
      <c r="B37" s="53" t="s">
        <v>224</v>
      </c>
      <c r="C37" s="53" t="s">
        <v>35</v>
      </c>
      <c r="D37" s="53" t="s">
        <v>444</v>
      </c>
      <c r="E37" s="53" t="s">
        <v>445</v>
      </c>
      <c r="F37" s="53" t="s">
        <v>446</v>
      </c>
      <c r="G37" s="53" t="s">
        <v>447</v>
      </c>
      <c r="H37" s="53" t="s">
        <v>260</v>
      </c>
      <c r="J37" t="s">
        <v>448</v>
      </c>
    </row>
    <row r="38" spans="1:10">
      <c r="A38" s="53" t="s">
        <v>223</v>
      </c>
      <c r="B38" s="53" t="s">
        <v>224</v>
      </c>
      <c r="C38" s="53" t="s">
        <v>37</v>
      </c>
      <c r="D38" s="53" t="s">
        <v>449</v>
      </c>
      <c r="E38" s="53" t="s">
        <v>450</v>
      </c>
      <c r="F38" s="53" t="s">
        <v>451</v>
      </c>
      <c r="G38" s="53" t="s">
        <v>452</v>
      </c>
      <c r="H38" s="53" t="s">
        <v>260</v>
      </c>
      <c r="J38" t="s">
        <v>453</v>
      </c>
    </row>
    <row r="39" spans="1:10">
      <c r="A39" s="53" t="s">
        <v>223</v>
      </c>
      <c r="B39" s="53" t="s">
        <v>224</v>
      </c>
      <c r="C39" s="53" t="s">
        <v>39</v>
      </c>
      <c r="D39" s="53" t="s">
        <v>454</v>
      </c>
      <c r="E39" s="53" t="s">
        <v>455</v>
      </c>
      <c r="F39" s="53" t="s">
        <v>456</v>
      </c>
      <c r="G39" s="53" t="s">
        <v>457</v>
      </c>
      <c r="H39" s="53" t="s">
        <v>260</v>
      </c>
      <c r="J39" t="s">
        <v>458</v>
      </c>
    </row>
    <row r="40" spans="1:10">
      <c r="A40" s="53" t="s">
        <v>223</v>
      </c>
      <c r="B40" s="53" t="s">
        <v>224</v>
      </c>
      <c r="C40" s="53" t="s">
        <v>41</v>
      </c>
      <c r="D40" s="53" t="s">
        <v>459</v>
      </c>
      <c r="E40" s="53" t="s">
        <v>460</v>
      </c>
      <c r="F40" s="53" t="s">
        <v>461</v>
      </c>
      <c r="G40" s="53" t="s">
        <v>462</v>
      </c>
      <c r="H40" s="53" t="s">
        <v>260</v>
      </c>
      <c r="J40" t="s">
        <v>463</v>
      </c>
    </row>
    <row r="41" spans="1:10">
      <c r="A41" s="53" t="s">
        <v>223</v>
      </c>
      <c r="B41" s="53" t="s">
        <v>224</v>
      </c>
      <c r="C41" s="53" t="s">
        <v>43</v>
      </c>
      <c r="D41" s="53" t="s">
        <v>464</v>
      </c>
      <c r="E41" s="53" t="s">
        <v>465</v>
      </c>
      <c r="F41" s="53" t="s">
        <v>466</v>
      </c>
      <c r="G41" s="53" t="s">
        <v>467</v>
      </c>
      <c r="H41" s="53" t="s">
        <v>260</v>
      </c>
      <c r="J41" t="s">
        <v>468</v>
      </c>
    </row>
    <row r="42" spans="1:10">
      <c r="A42" s="52" t="s">
        <v>225</v>
      </c>
      <c r="B42" s="52" t="s">
        <v>226</v>
      </c>
      <c r="C42" s="52" t="s">
        <v>308</v>
      </c>
      <c r="D42" s="53" t="s">
        <v>469</v>
      </c>
      <c r="E42" s="53" t="s">
        <v>470</v>
      </c>
      <c r="F42" s="53" t="s">
        <v>471</v>
      </c>
      <c r="G42" s="53" t="s">
        <v>472</v>
      </c>
      <c r="H42" s="53" t="s">
        <v>260</v>
      </c>
      <c r="J42" t="s">
        <v>225</v>
      </c>
    </row>
    <row r="43" spans="1:10">
      <c r="A43" s="52" t="s">
        <v>227</v>
      </c>
      <c r="B43" s="52" t="s">
        <v>228</v>
      </c>
      <c r="C43" s="52" t="s">
        <v>308</v>
      </c>
      <c r="D43" s="53" t="s">
        <v>473</v>
      </c>
      <c r="E43" s="53" t="s">
        <v>474</v>
      </c>
      <c r="F43" s="53" t="s">
        <v>475</v>
      </c>
      <c r="G43" s="53" t="s">
        <v>476</v>
      </c>
      <c r="H43" s="53" t="s">
        <v>260</v>
      </c>
      <c r="J43" t="s">
        <v>227</v>
      </c>
    </row>
    <row r="44" spans="1:10">
      <c r="A44" s="53" t="s">
        <v>227</v>
      </c>
      <c r="B44" s="53" t="s">
        <v>228</v>
      </c>
      <c r="C44" s="53" t="s">
        <v>21</v>
      </c>
      <c r="D44" s="53" t="s">
        <v>477</v>
      </c>
      <c r="E44" s="53" t="s">
        <v>478</v>
      </c>
      <c r="F44" s="53" t="s">
        <v>479</v>
      </c>
      <c r="G44" s="53" t="s">
        <v>480</v>
      </c>
      <c r="H44" s="53" t="s">
        <v>260</v>
      </c>
      <c r="J44" t="s">
        <v>481</v>
      </c>
    </row>
    <row r="45" spans="1:10">
      <c r="A45" s="53" t="s">
        <v>227</v>
      </c>
      <c r="B45" s="53" t="s">
        <v>228</v>
      </c>
      <c r="C45" s="53" t="s">
        <v>23</v>
      </c>
      <c r="D45" s="53" t="s">
        <v>482</v>
      </c>
      <c r="E45" s="53" t="s">
        <v>483</v>
      </c>
      <c r="F45" s="53" t="s">
        <v>484</v>
      </c>
      <c r="G45" s="53" t="s">
        <v>485</v>
      </c>
      <c r="H45" s="53" t="s">
        <v>260</v>
      </c>
      <c r="J45" t="s">
        <v>486</v>
      </c>
    </row>
    <row r="46" spans="1:10">
      <c r="A46" s="53" t="s">
        <v>227</v>
      </c>
      <c r="B46" s="53" t="s">
        <v>228</v>
      </c>
      <c r="C46" s="53" t="s">
        <v>25</v>
      </c>
      <c r="D46" s="53" t="s">
        <v>487</v>
      </c>
      <c r="E46" s="53" t="s">
        <v>488</v>
      </c>
      <c r="F46" s="53" t="s">
        <v>489</v>
      </c>
      <c r="G46" s="53" t="s">
        <v>490</v>
      </c>
      <c r="H46" s="53" t="s">
        <v>260</v>
      </c>
      <c r="J46" t="s">
        <v>491</v>
      </c>
    </row>
    <row r="47" spans="1:10">
      <c r="A47" s="53" t="s">
        <v>227</v>
      </c>
      <c r="B47" s="53" t="s">
        <v>228</v>
      </c>
      <c r="C47" s="53" t="s">
        <v>27</v>
      </c>
      <c r="D47" s="53" t="s">
        <v>492</v>
      </c>
      <c r="E47" s="53" t="s">
        <v>493</v>
      </c>
      <c r="F47" s="53" t="s">
        <v>494</v>
      </c>
      <c r="G47" s="53" t="s">
        <v>495</v>
      </c>
      <c r="H47" s="53" t="s">
        <v>260</v>
      </c>
      <c r="J47" t="s">
        <v>496</v>
      </c>
    </row>
    <row r="48" spans="1:10">
      <c r="A48" s="53" t="s">
        <v>227</v>
      </c>
      <c r="B48" s="53" t="s">
        <v>228</v>
      </c>
      <c r="C48" s="53" t="s">
        <v>29</v>
      </c>
      <c r="D48" s="53" t="s">
        <v>497</v>
      </c>
      <c r="E48" s="53" t="s">
        <v>498</v>
      </c>
      <c r="F48" s="53" t="s">
        <v>499</v>
      </c>
      <c r="G48" s="53" t="s">
        <v>500</v>
      </c>
      <c r="H48" s="53" t="s">
        <v>260</v>
      </c>
      <c r="J48" t="s">
        <v>501</v>
      </c>
    </row>
    <row r="49" spans="1:10">
      <c r="A49" s="53" t="s">
        <v>227</v>
      </c>
      <c r="B49" s="53" t="s">
        <v>228</v>
      </c>
      <c r="C49" s="53" t="s">
        <v>31</v>
      </c>
      <c r="D49" s="53" t="s">
        <v>502</v>
      </c>
      <c r="E49" s="53" t="s">
        <v>503</v>
      </c>
      <c r="F49" s="53" t="s">
        <v>504</v>
      </c>
      <c r="G49" s="53" t="s">
        <v>505</v>
      </c>
      <c r="H49" s="53" t="s">
        <v>260</v>
      </c>
      <c r="J49" t="s">
        <v>506</v>
      </c>
    </row>
    <row r="50" spans="1:10">
      <c r="A50" s="53" t="s">
        <v>227</v>
      </c>
      <c r="B50" s="53" t="s">
        <v>228</v>
      </c>
      <c r="C50" s="53" t="s">
        <v>33</v>
      </c>
      <c r="D50" s="53" t="s">
        <v>507</v>
      </c>
      <c r="E50" s="53" t="s">
        <v>508</v>
      </c>
      <c r="F50" s="53" t="s">
        <v>509</v>
      </c>
      <c r="G50" s="53" t="s">
        <v>510</v>
      </c>
      <c r="H50" s="53" t="s">
        <v>260</v>
      </c>
      <c r="J50" t="s">
        <v>511</v>
      </c>
    </row>
    <row r="51" spans="1:10">
      <c r="A51" s="53" t="s">
        <v>227</v>
      </c>
      <c r="B51" s="53" t="s">
        <v>228</v>
      </c>
      <c r="C51" s="53" t="s">
        <v>35</v>
      </c>
      <c r="D51" s="53" t="s">
        <v>512</v>
      </c>
      <c r="E51" s="53" t="s">
        <v>513</v>
      </c>
      <c r="F51" s="53" t="s">
        <v>514</v>
      </c>
      <c r="G51" s="53" t="s">
        <v>515</v>
      </c>
      <c r="H51" s="53" t="s">
        <v>260</v>
      </c>
      <c r="J51" t="s">
        <v>516</v>
      </c>
    </row>
    <row r="52" spans="1:10">
      <c r="A52" s="53" t="s">
        <v>227</v>
      </c>
      <c r="B52" s="53" t="s">
        <v>228</v>
      </c>
      <c r="C52" s="53" t="s">
        <v>37</v>
      </c>
      <c r="D52" s="53" t="s">
        <v>517</v>
      </c>
      <c r="E52" s="53" t="s">
        <v>518</v>
      </c>
      <c r="F52" s="53" t="s">
        <v>519</v>
      </c>
      <c r="G52" s="53" t="s">
        <v>520</v>
      </c>
      <c r="H52" s="53" t="s">
        <v>260</v>
      </c>
      <c r="J52" t="s">
        <v>521</v>
      </c>
    </row>
    <row r="53" spans="1:10">
      <c r="A53" s="53" t="s">
        <v>227</v>
      </c>
      <c r="B53" s="53" t="s">
        <v>228</v>
      </c>
      <c r="C53" s="53" t="s">
        <v>39</v>
      </c>
      <c r="D53" s="53" t="s">
        <v>522</v>
      </c>
      <c r="E53" s="53" t="s">
        <v>523</v>
      </c>
      <c r="F53" s="53" t="s">
        <v>524</v>
      </c>
      <c r="G53" s="53" t="s">
        <v>525</v>
      </c>
      <c r="H53" s="53" t="s">
        <v>260</v>
      </c>
      <c r="J53" t="s">
        <v>526</v>
      </c>
    </row>
    <row r="54" spans="1:10">
      <c r="A54" s="53" t="s">
        <v>227</v>
      </c>
      <c r="B54" s="53" t="s">
        <v>228</v>
      </c>
      <c r="C54" s="53" t="s">
        <v>41</v>
      </c>
      <c r="D54" s="53" t="s">
        <v>527</v>
      </c>
      <c r="E54" s="53" t="s">
        <v>528</v>
      </c>
      <c r="F54" s="53" t="s">
        <v>529</v>
      </c>
      <c r="G54" s="53" t="s">
        <v>530</v>
      </c>
      <c r="H54" s="53" t="s">
        <v>260</v>
      </c>
      <c r="J54" t="s">
        <v>531</v>
      </c>
    </row>
    <row r="55" spans="1:10">
      <c r="A55" s="53" t="s">
        <v>227</v>
      </c>
      <c r="B55" s="53" t="s">
        <v>228</v>
      </c>
      <c r="C55" s="53" t="s">
        <v>43</v>
      </c>
      <c r="D55" s="53" t="s">
        <v>532</v>
      </c>
      <c r="E55" s="53" t="s">
        <v>533</v>
      </c>
      <c r="F55" s="53" t="s">
        <v>534</v>
      </c>
      <c r="G55" s="53" t="s">
        <v>535</v>
      </c>
      <c r="H55" s="53" t="s">
        <v>260</v>
      </c>
      <c r="J55" t="s">
        <v>536</v>
      </c>
    </row>
    <row r="56" spans="1:10">
      <c r="A56" s="52" t="s">
        <v>229</v>
      </c>
      <c r="B56" s="52" t="s">
        <v>230</v>
      </c>
      <c r="C56" s="52" t="s">
        <v>308</v>
      </c>
      <c r="D56" s="53" t="s">
        <v>537</v>
      </c>
      <c r="E56" s="53" t="s">
        <v>538</v>
      </c>
      <c r="F56" s="53" t="s">
        <v>539</v>
      </c>
      <c r="G56" s="53" t="s">
        <v>540</v>
      </c>
      <c r="H56" s="53" t="s">
        <v>260</v>
      </c>
      <c r="J56" t="s">
        <v>229</v>
      </c>
    </row>
    <row r="57" spans="1:10">
      <c r="A57" s="52" t="s">
        <v>231</v>
      </c>
      <c r="B57" s="52" t="s">
        <v>232</v>
      </c>
      <c r="C57" s="52" t="s">
        <v>308</v>
      </c>
      <c r="D57" s="53" t="s">
        <v>541</v>
      </c>
      <c r="E57" s="53" t="s">
        <v>542</v>
      </c>
      <c r="F57" s="53" t="s">
        <v>543</v>
      </c>
      <c r="G57" s="53" t="s">
        <v>544</v>
      </c>
      <c r="H57" s="53" t="s">
        <v>260</v>
      </c>
      <c r="J57" t="s">
        <v>231</v>
      </c>
    </row>
    <row r="58" spans="1:10">
      <c r="A58" s="53" t="s">
        <v>231</v>
      </c>
      <c r="B58" s="53" t="s">
        <v>232</v>
      </c>
      <c r="C58" s="53" t="s">
        <v>21</v>
      </c>
      <c r="D58" s="53" t="s">
        <v>545</v>
      </c>
      <c r="E58" s="53" t="s">
        <v>546</v>
      </c>
      <c r="F58" s="53" t="s">
        <v>547</v>
      </c>
      <c r="G58" s="53" t="s">
        <v>548</v>
      </c>
      <c r="H58" s="53" t="s">
        <v>260</v>
      </c>
      <c r="J58" t="s">
        <v>549</v>
      </c>
    </row>
    <row r="59" spans="1:10">
      <c r="A59" s="53" t="s">
        <v>231</v>
      </c>
      <c r="B59" s="53" t="s">
        <v>232</v>
      </c>
      <c r="C59" s="53" t="s">
        <v>23</v>
      </c>
      <c r="D59" s="53" t="s">
        <v>550</v>
      </c>
      <c r="E59" s="53" t="s">
        <v>551</v>
      </c>
      <c r="F59" s="53" t="s">
        <v>552</v>
      </c>
      <c r="G59" s="53" t="s">
        <v>553</v>
      </c>
      <c r="H59" s="53" t="s">
        <v>260</v>
      </c>
      <c r="J59" t="s">
        <v>554</v>
      </c>
    </row>
    <row r="60" spans="1:10">
      <c r="A60" s="53" t="s">
        <v>231</v>
      </c>
      <c r="B60" s="53" t="s">
        <v>232</v>
      </c>
      <c r="C60" s="53" t="s">
        <v>25</v>
      </c>
      <c r="D60" s="53" t="s">
        <v>555</v>
      </c>
      <c r="E60" s="53" t="s">
        <v>556</v>
      </c>
      <c r="F60" s="53" t="s">
        <v>557</v>
      </c>
      <c r="G60" s="53" t="s">
        <v>558</v>
      </c>
      <c r="H60" s="53" t="s">
        <v>260</v>
      </c>
      <c r="J60" t="s">
        <v>559</v>
      </c>
    </row>
    <row r="61" spans="1:10">
      <c r="A61" s="53" t="s">
        <v>231</v>
      </c>
      <c r="B61" s="53" t="s">
        <v>232</v>
      </c>
      <c r="C61" s="53" t="s">
        <v>27</v>
      </c>
      <c r="D61" s="53" t="s">
        <v>560</v>
      </c>
      <c r="E61" s="53" t="s">
        <v>561</v>
      </c>
      <c r="F61" s="53" t="s">
        <v>562</v>
      </c>
      <c r="G61" s="53" t="s">
        <v>563</v>
      </c>
      <c r="H61" s="53" t="s">
        <v>260</v>
      </c>
      <c r="J61" t="s">
        <v>564</v>
      </c>
    </row>
    <row r="62" spans="1:10">
      <c r="A62" s="53" t="s">
        <v>231</v>
      </c>
      <c r="B62" s="53" t="s">
        <v>232</v>
      </c>
      <c r="C62" s="53" t="s">
        <v>29</v>
      </c>
      <c r="D62" s="53" t="s">
        <v>565</v>
      </c>
      <c r="E62" s="53" t="s">
        <v>566</v>
      </c>
      <c r="F62" s="53" t="s">
        <v>567</v>
      </c>
      <c r="G62" s="53" t="s">
        <v>568</v>
      </c>
      <c r="H62" s="53" t="s">
        <v>260</v>
      </c>
      <c r="J62" t="s">
        <v>569</v>
      </c>
    </row>
    <row r="63" spans="1:10">
      <c r="A63" s="53" t="s">
        <v>231</v>
      </c>
      <c r="B63" s="53" t="s">
        <v>232</v>
      </c>
      <c r="C63" s="53" t="s">
        <v>31</v>
      </c>
      <c r="D63" s="53" t="s">
        <v>570</v>
      </c>
      <c r="E63" s="53" t="s">
        <v>571</v>
      </c>
      <c r="F63" s="53" t="s">
        <v>572</v>
      </c>
      <c r="G63" s="53" t="s">
        <v>573</v>
      </c>
      <c r="H63" s="53" t="s">
        <v>260</v>
      </c>
      <c r="J63" t="s">
        <v>574</v>
      </c>
    </row>
    <row r="64" spans="1:10">
      <c r="A64" s="53" t="s">
        <v>231</v>
      </c>
      <c r="B64" s="53" t="s">
        <v>232</v>
      </c>
      <c r="C64" s="53" t="s">
        <v>33</v>
      </c>
      <c r="D64" s="53" t="s">
        <v>575</v>
      </c>
      <c r="E64" s="53" t="s">
        <v>576</v>
      </c>
      <c r="F64" s="53" t="s">
        <v>577</v>
      </c>
      <c r="G64" s="53" t="s">
        <v>578</v>
      </c>
      <c r="H64" s="53" t="s">
        <v>260</v>
      </c>
      <c r="J64" t="s">
        <v>579</v>
      </c>
    </row>
    <row r="65" spans="1:10">
      <c r="A65" s="53" t="s">
        <v>231</v>
      </c>
      <c r="B65" s="53" t="s">
        <v>232</v>
      </c>
      <c r="C65" s="53" t="s">
        <v>35</v>
      </c>
      <c r="D65" s="53" t="s">
        <v>580</v>
      </c>
      <c r="E65" s="53" t="s">
        <v>581</v>
      </c>
      <c r="F65" s="53" t="s">
        <v>582</v>
      </c>
      <c r="G65" s="53" t="s">
        <v>583</v>
      </c>
      <c r="H65" s="53" t="s">
        <v>260</v>
      </c>
      <c r="J65" t="s">
        <v>584</v>
      </c>
    </row>
    <row r="66" spans="1:10">
      <c r="A66" s="53" t="s">
        <v>231</v>
      </c>
      <c r="B66" s="53" t="s">
        <v>232</v>
      </c>
      <c r="C66" s="53" t="s">
        <v>37</v>
      </c>
      <c r="D66" s="53" t="s">
        <v>585</v>
      </c>
      <c r="E66" s="53" t="s">
        <v>586</v>
      </c>
      <c r="F66" s="53" t="s">
        <v>587</v>
      </c>
      <c r="G66" s="53" t="s">
        <v>588</v>
      </c>
      <c r="H66" s="53" t="s">
        <v>260</v>
      </c>
      <c r="J66" t="s">
        <v>589</v>
      </c>
    </row>
    <row r="67" spans="1:10">
      <c r="A67" s="53" t="s">
        <v>231</v>
      </c>
      <c r="B67" s="53" t="s">
        <v>232</v>
      </c>
      <c r="C67" s="53" t="s">
        <v>39</v>
      </c>
      <c r="D67" s="53" t="s">
        <v>590</v>
      </c>
      <c r="E67" s="53" t="s">
        <v>591</v>
      </c>
      <c r="F67" s="53" t="s">
        <v>592</v>
      </c>
      <c r="G67" s="53" t="s">
        <v>593</v>
      </c>
      <c r="H67" s="53" t="s">
        <v>260</v>
      </c>
      <c r="J67" t="s">
        <v>594</v>
      </c>
    </row>
    <row r="68" spans="1:10">
      <c r="A68" s="53" t="s">
        <v>231</v>
      </c>
      <c r="B68" s="53" t="s">
        <v>232</v>
      </c>
      <c r="C68" s="53" t="s">
        <v>41</v>
      </c>
      <c r="D68" s="53" t="s">
        <v>595</v>
      </c>
      <c r="E68" s="53" t="s">
        <v>596</v>
      </c>
      <c r="F68" s="53" t="s">
        <v>597</v>
      </c>
      <c r="G68" s="53" t="s">
        <v>598</v>
      </c>
      <c r="H68" s="53" t="s">
        <v>260</v>
      </c>
      <c r="J68" t="s">
        <v>599</v>
      </c>
    </row>
    <row r="69" spans="1:10">
      <c r="A69" s="53" t="s">
        <v>231</v>
      </c>
      <c r="B69" s="53" t="s">
        <v>232</v>
      </c>
      <c r="C69" s="53" t="s">
        <v>43</v>
      </c>
      <c r="D69" s="53" t="s">
        <v>600</v>
      </c>
      <c r="E69" s="53" t="s">
        <v>601</v>
      </c>
      <c r="F69" s="53" t="s">
        <v>602</v>
      </c>
      <c r="G69" s="53" t="s">
        <v>603</v>
      </c>
      <c r="H69" s="53" t="s">
        <v>260</v>
      </c>
      <c r="J69" t="s">
        <v>604</v>
      </c>
    </row>
    <row r="70" spans="1:10">
      <c r="A70" s="52" t="s">
        <v>233</v>
      </c>
      <c r="B70" s="52" t="s">
        <v>234</v>
      </c>
      <c r="C70" s="52" t="s">
        <v>308</v>
      </c>
      <c r="D70" s="53" t="s">
        <v>605</v>
      </c>
      <c r="E70" s="53" t="s">
        <v>606</v>
      </c>
      <c r="F70" s="53" t="s">
        <v>607</v>
      </c>
      <c r="G70" s="53" t="s">
        <v>608</v>
      </c>
      <c r="H70" s="53" t="s">
        <v>260</v>
      </c>
      <c r="J70" t="s">
        <v>233</v>
      </c>
    </row>
    <row r="71" spans="1:10">
      <c r="A71" s="52" t="s">
        <v>235</v>
      </c>
      <c r="B71" s="52" t="s">
        <v>236</v>
      </c>
      <c r="C71" s="52" t="s">
        <v>308</v>
      </c>
      <c r="D71" s="53" t="s">
        <v>609</v>
      </c>
      <c r="E71" s="53" t="s">
        <v>610</v>
      </c>
      <c r="F71" s="53" t="s">
        <v>611</v>
      </c>
      <c r="G71" s="53" t="s">
        <v>612</v>
      </c>
      <c r="H71" s="53" t="s">
        <v>260</v>
      </c>
      <c r="J71" t="s">
        <v>235</v>
      </c>
    </row>
    <row r="72" spans="1:10">
      <c r="A72" s="52" t="s">
        <v>237</v>
      </c>
      <c r="B72" s="52" t="s">
        <v>238</v>
      </c>
      <c r="C72" s="52" t="s">
        <v>308</v>
      </c>
      <c r="D72" s="53" t="s">
        <v>613</v>
      </c>
      <c r="E72" s="53" t="s">
        <v>614</v>
      </c>
      <c r="F72" s="53" t="s">
        <v>615</v>
      </c>
      <c r="G72" s="53" t="s">
        <v>616</v>
      </c>
      <c r="H72" s="53" t="s">
        <v>260</v>
      </c>
      <c r="J72" t="s">
        <v>237</v>
      </c>
    </row>
    <row r="73" spans="1:10">
      <c r="A73" s="52" t="s">
        <v>239</v>
      </c>
      <c r="B73" s="52" t="s">
        <v>240</v>
      </c>
      <c r="C73" s="52" t="s">
        <v>308</v>
      </c>
      <c r="D73" s="53" t="s">
        <v>617</v>
      </c>
      <c r="E73" s="53" t="s">
        <v>618</v>
      </c>
      <c r="F73" s="53" t="s">
        <v>619</v>
      </c>
      <c r="G73" s="53" t="s">
        <v>620</v>
      </c>
      <c r="H73" s="53" t="s">
        <v>260</v>
      </c>
      <c r="J73" t="s">
        <v>239</v>
      </c>
    </row>
    <row r="74" spans="1:10">
      <c r="A74" s="52" t="s">
        <v>241</v>
      </c>
      <c r="B74" s="52" t="s">
        <v>242</v>
      </c>
      <c r="C74" s="52" t="s">
        <v>308</v>
      </c>
      <c r="D74" s="53" t="s">
        <v>621</v>
      </c>
      <c r="E74" s="53" t="s">
        <v>622</v>
      </c>
      <c r="F74" s="53" t="s">
        <v>623</v>
      </c>
      <c r="G74" s="53" t="s">
        <v>624</v>
      </c>
      <c r="H74" s="53" t="s">
        <v>260</v>
      </c>
      <c r="J74" t="s">
        <v>241</v>
      </c>
    </row>
    <row r="75" spans="1:10">
      <c r="A75" s="52" t="s">
        <v>243</v>
      </c>
      <c r="B75" s="52" t="s">
        <v>244</v>
      </c>
      <c r="C75" s="52" t="s">
        <v>308</v>
      </c>
      <c r="D75" s="53" t="s">
        <v>625</v>
      </c>
      <c r="E75" s="53" t="s">
        <v>626</v>
      </c>
      <c r="F75" s="53" t="s">
        <v>627</v>
      </c>
      <c r="G75" s="53" t="s">
        <v>628</v>
      </c>
      <c r="H75" s="53" t="s">
        <v>260</v>
      </c>
      <c r="J75" t="s">
        <v>243</v>
      </c>
    </row>
    <row r="76" spans="1:10">
      <c r="A76" s="52" t="s">
        <v>245</v>
      </c>
      <c r="B76" s="52" t="s">
        <v>246</v>
      </c>
      <c r="C76" s="52" t="s">
        <v>308</v>
      </c>
      <c r="D76" s="53" t="s">
        <v>629</v>
      </c>
      <c r="E76" s="53" t="s">
        <v>630</v>
      </c>
      <c r="F76" s="53" t="s">
        <v>631</v>
      </c>
      <c r="G76" s="53" t="s">
        <v>632</v>
      </c>
      <c r="H76" s="53" t="s">
        <v>260</v>
      </c>
      <c r="J76" t="s">
        <v>245</v>
      </c>
    </row>
    <row r="77" spans="1:10">
      <c r="A77" s="52" t="s">
        <v>247</v>
      </c>
      <c r="B77" s="52" t="s">
        <v>248</v>
      </c>
      <c r="C77" s="52" t="s">
        <v>308</v>
      </c>
      <c r="D77" s="53" t="s">
        <v>633</v>
      </c>
      <c r="E77" s="53" t="s">
        <v>634</v>
      </c>
      <c r="F77" s="53" t="s">
        <v>635</v>
      </c>
      <c r="G77" s="53" t="s">
        <v>636</v>
      </c>
      <c r="H77" s="53" t="s">
        <v>260</v>
      </c>
      <c r="J77" t="s">
        <v>247</v>
      </c>
    </row>
    <row r="78" spans="1:10">
      <c r="A78" s="52" t="s">
        <v>249</v>
      </c>
      <c r="B78" s="52" t="s">
        <v>250</v>
      </c>
      <c r="C78" s="52" t="s">
        <v>308</v>
      </c>
      <c r="D78" s="53" t="s">
        <v>637</v>
      </c>
      <c r="E78" s="53" t="s">
        <v>638</v>
      </c>
      <c r="F78" s="53" t="s">
        <v>639</v>
      </c>
      <c r="G78" s="53" t="s">
        <v>640</v>
      </c>
      <c r="H78" s="53" t="s">
        <v>260</v>
      </c>
      <c r="J78" t="s">
        <v>249</v>
      </c>
    </row>
    <row r="79" spans="1:10">
      <c r="A79" s="52" t="s">
        <v>251</v>
      </c>
      <c r="B79" s="52" t="s">
        <v>252</v>
      </c>
      <c r="C79" s="52" t="s">
        <v>308</v>
      </c>
      <c r="D79" s="53" t="s">
        <v>641</v>
      </c>
      <c r="E79" s="53" t="s">
        <v>642</v>
      </c>
      <c r="F79" s="53" t="s">
        <v>643</v>
      </c>
      <c r="G79" s="53" t="s">
        <v>644</v>
      </c>
      <c r="H79" s="53" t="s">
        <v>260</v>
      </c>
      <c r="J79" t="s">
        <v>251</v>
      </c>
    </row>
    <row r="80" spans="1:10">
      <c r="A80" s="52" t="s">
        <v>253</v>
      </c>
      <c r="B80" s="52" t="s">
        <v>254</v>
      </c>
      <c r="C80" s="52" t="s">
        <v>308</v>
      </c>
      <c r="D80" s="53" t="s">
        <v>645</v>
      </c>
      <c r="E80" s="53" t="s">
        <v>646</v>
      </c>
      <c r="F80" s="53" t="s">
        <v>647</v>
      </c>
      <c r="G80" s="53" t="s">
        <v>648</v>
      </c>
      <c r="H80" s="53" t="s">
        <v>260</v>
      </c>
      <c r="J80" t="s">
        <v>253</v>
      </c>
    </row>
    <row r="81" spans="1:24">
      <c r="A81" s="52" t="s">
        <v>84</v>
      </c>
      <c r="B81" s="52" t="s">
        <v>85</v>
      </c>
      <c r="C81" s="52" t="s">
        <v>308</v>
      </c>
      <c r="D81" s="53" t="s">
        <v>649</v>
      </c>
      <c r="E81" s="53" t="s">
        <v>650</v>
      </c>
      <c r="F81" s="53" t="s">
        <v>651</v>
      </c>
      <c r="G81" s="53" t="s">
        <v>652</v>
      </c>
      <c r="H81" s="53" t="s">
        <v>260</v>
      </c>
      <c r="J81" t="s">
        <v>84</v>
      </c>
    </row>
    <row r="82" spans="1:24">
      <c r="A82" s="52" t="s">
        <v>86</v>
      </c>
      <c r="B82" s="52" t="s">
        <v>87</v>
      </c>
      <c r="C82" s="52" t="s">
        <v>308</v>
      </c>
      <c r="D82" s="53" t="s">
        <v>653</v>
      </c>
      <c r="E82" s="53" t="s">
        <v>654</v>
      </c>
      <c r="F82" s="53" t="s">
        <v>655</v>
      </c>
      <c r="G82" s="53" t="s">
        <v>656</v>
      </c>
      <c r="H82" s="53" t="s">
        <v>260</v>
      </c>
      <c r="J82" t="s">
        <v>86</v>
      </c>
    </row>
    <row r="83" spans="1:24">
      <c r="A83" s="52" t="s">
        <v>88</v>
      </c>
      <c r="B83" s="52" t="s">
        <v>89</v>
      </c>
      <c r="C83" s="52" t="s">
        <v>308</v>
      </c>
      <c r="D83" s="53" t="s">
        <v>657</v>
      </c>
      <c r="E83" s="53" t="s">
        <v>658</v>
      </c>
      <c r="F83" s="53" t="s">
        <v>659</v>
      </c>
      <c r="G83" s="53" t="s">
        <v>660</v>
      </c>
      <c r="H83" s="53" t="s">
        <v>260</v>
      </c>
      <c r="J83" t="s">
        <v>88</v>
      </c>
    </row>
    <row r="86" spans="1:24">
      <c r="A86" s="3" t="s">
        <v>661</v>
      </c>
      <c r="B86" s="3"/>
      <c r="C86" s="3"/>
      <c r="D86" s="3"/>
      <c r="E86" s="3"/>
      <c r="F86" s="3"/>
      <c r="G86" s="3"/>
      <c r="H86" s="3"/>
    </row>
    <row r="87" spans="1:24">
      <c r="A87" s="11" t="s">
        <v>18</v>
      </c>
      <c r="B87" s="11" t="s">
        <v>19</v>
      </c>
      <c r="C87" s="11"/>
      <c r="D87" s="11" t="s">
        <v>662</v>
      </c>
      <c r="E87" s="11" t="s">
        <v>663</v>
      </c>
      <c r="F87" s="11" t="s">
        <v>664</v>
      </c>
      <c r="G87" s="11" t="s">
        <v>665</v>
      </c>
      <c r="H87" s="11" t="s">
        <v>666</v>
      </c>
      <c r="I87" s="11" t="s">
        <v>667</v>
      </c>
    </row>
    <row r="88" spans="1:24">
      <c r="A88" s="52" t="s">
        <v>21</v>
      </c>
      <c r="B88" s="53" t="s">
        <v>22</v>
      </c>
      <c r="C88" s="53"/>
      <c r="D88" s="53" t="s">
        <v>668</v>
      </c>
      <c r="E88" s="53" t="s">
        <v>669</v>
      </c>
      <c r="F88" s="53" t="s">
        <v>670</v>
      </c>
      <c r="G88" s="53" t="s">
        <v>671</v>
      </c>
      <c r="H88" s="53" t="s">
        <v>672</v>
      </c>
      <c r="I88" s="53" t="s">
        <v>673</v>
      </c>
      <c r="L88" t="s">
        <v>21</v>
      </c>
      <c r="M88" t="s">
        <v>724</v>
      </c>
      <c r="N88" t="s">
        <v>726</v>
      </c>
      <c r="O88" t="s">
        <v>728</v>
      </c>
      <c r="P88" t="s">
        <v>729</v>
      </c>
      <c r="Q88" t="s">
        <v>731</v>
      </c>
      <c r="R88" t="s">
        <v>733</v>
      </c>
      <c r="S88" t="s">
        <v>725</v>
      </c>
      <c r="T88" t="s">
        <v>727</v>
      </c>
      <c r="U88" t="s">
        <v>727</v>
      </c>
      <c r="V88" t="s">
        <v>730</v>
      </c>
      <c r="W88" t="s">
        <v>732</v>
      </c>
      <c r="X88" t="s">
        <v>734</v>
      </c>
    </row>
    <row r="89" spans="1:24">
      <c r="A89" s="52" t="s">
        <v>23</v>
      </c>
      <c r="B89" s="53" t="s">
        <v>24</v>
      </c>
      <c r="C89" s="53"/>
      <c r="D89" s="53" t="s">
        <v>674</v>
      </c>
      <c r="E89" s="53" t="s">
        <v>675</v>
      </c>
      <c r="F89" s="53" t="s">
        <v>676</v>
      </c>
      <c r="G89" s="53" t="s">
        <v>677</v>
      </c>
      <c r="H89" s="53" t="s">
        <v>678</v>
      </c>
      <c r="I89" s="53"/>
      <c r="L89" t="s">
        <v>23</v>
      </c>
      <c r="M89" t="s">
        <v>735</v>
      </c>
      <c r="N89" t="s">
        <v>737</v>
      </c>
      <c r="O89" t="s">
        <v>739</v>
      </c>
      <c r="P89" t="s">
        <v>741</v>
      </c>
      <c r="Q89" t="s">
        <v>743</v>
      </c>
      <c r="R89" t="s">
        <v>744</v>
      </c>
      <c r="S89" t="s">
        <v>736</v>
      </c>
      <c r="T89" t="s">
        <v>738</v>
      </c>
      <c r="U89" t="s">
        <v>740</v>
      </c>
      <c r="V89" t="s">
        <v>742</v>
      </c>
      <c r="W89" t="s">
        <v>730</v>
      </c>
      <c r="X89" t="s">
        <v>744</v>
      </c>
    </row>
    <row r="90" spans="1:24">
      <c r="A90" s="52" t="s">
        <v>25</v>
      </c>
      <c r="B90" s="53" t="s">
        <v>26</v>
      </c>
      <c r="C90" s="53"/>
      <c r="D90" s="53" t="s">
        <v>679</v>
      </c>
      <c r="E90" s="53" t="s">
        <v>680</v>
      </c>
      <c r="F90" s="53" t="s">
        <v>681</v>
      </c>
      <c r="G90" s="53" t="s">
        <v>682</v>
      </c>
      <c r="H90" s="53" t="s">
        <v>683</v>
      </c>
      <c r="I90" s="53"/>
      <c r="L90" t="s">
        <v>25</v>
      </c>
      <c r="M90" t="s">
        <v>735</v>
      </c>
      <c r="N90" t="s">
        <v>746</v>
      </c>
      <c r="O90" t="s">
        <v>747</v>
      </c>
      <c r="P90" t="s">
        <v>748</v>
      </c>
      <c r="Q90" t="s">
        <v>750</v>
      </c>
      <c r="R90" t="s">
        <v>744</v>
      </c>
      <c r="S90" t="s">
        <v>745</v>
      </c>
      <c r="T90" t="s">
        <v>742</v>
      </c>
      <c r="U90" t="s">
        <v>730</v>
      </c>
      <c r="V90" t="s">
        <v>749</v>
      </c>
      <c r="W90" t="s">
        <v>740</v>
      </c>
      <c r="X90" t="s">
        <v>744</v>
      </c>
    </row>
    <row r="91" spans="1:24">
      <c r="A91" s="52" t="s">
        <v>27</v>
      </c>
      <c r="B91" s="53" t="s">
        <v>28</v>
      </c>
      <c r="C91" s="53"/>
      <c r="D91" s="53" t="s">
        <v>684</v>
      </c>
      <c r="E91" s="53" t="s">
        <v>685</v>
      </c>
      <c r="F91" s="53" t="s">
        <v>686</v>
      </c>
      <c r="G91" s="53" t="s">
        <v>687</v>
      </c>
      <c r="H91" s="53" t="s">
        <v>688</v>
      </c>
      <c r="I91" s="53"/>
      <c r="L91" t="s">
        <v>27</v>
      </c>
      <c r="M91" t="s">
        <v>751</v>
      </c>
      <c r="N91" t="s">
        <v>753</v>
      </c>
      <c r="O91" t="s">
        <v>754</v>
      </c>
      <c r="P91" t="s">
        <v>756</v>
      </c>
      <c r="Q91" t="s">
        <v>758</v>
      </c>
      <c r="R91" t="s">
        <v>744</v>
      </c>
      <c r="S91" t="s">
        <v>752</v>
      </c>
      <c r="T91" t="s">
        <v>730</v>
      </c>
      <c r="U91" t="s">
        <v>755</v>
      </c>
      <c r="V91" t="s">
        <v>757</v>
      </c>
      <c r="W91" t="s">
        <v>730</v>
      </c>
      <c r="X91" t="s">
        <v>744</v>
      </c>
    </row>
    <row r="92" spans="1:24">
      <c r="A92" s="52" t="s">
        <v>29</v>
      </c>
      <c r="B92" s="53" t="s">
        <v>30</v>
      </c>
      <c r="C92" s="53"/>
      <c r="D92" s="53" t="s">
        <v>689</v>
      </c>
      <c r="E92" s="53" t="s">
        <v>690</v>
      </c>
      <c r="F92" s="53" t="s">
        <v>691</v>
      </c>
      <c r="G92" s="53" t="s">
        <v>692</v>
      </c>
      <c r="H92" s="53" t="s">
        <v>693</v>
      </c>
      <c r="I92" s="53"/>
      <c r="L92" t="s">
        <v>29</v>
      </c>
      <c r="M92" t="s">
        <v>735</v>
      </c>
      <c r="N92" t="s">
        <v>760</v>
      </c>
      <c r="O92" t="s">
        <v>750</v>
      </c>
      <c r="P92" t="s">
        <v>762</v>
      </c>
      <c r="Q92" t="s">
        <v>764</v>
      </c>
      <c r="R92" t="s">
        <v>744</v>
      </c>
      <c r="S92" t="s">
        <v>759</v>
      </c>
      <c r="T92" t="s">
        <v>742</v>
      </c>
      <c r="U92" t="s">
        <v>761</v>
      </c>
      <c r="V92" t="s">
        <v>763</v>
      </c>
      <c r="W92" t="s">
        <v>730</v>
      </c>
      <c r="X92" t="s">
        <v>744</v>
      </c>
    </row>
    <row r="93" spans="1:24">
      <c r="A93" s="52" t="s">
        <v>31</v>
      </c>
      <c r="B93" s="53" t="s">
        <v>32</v>
      </c>
      <c r="C93" s="53"/>
      <c r="D93" s="53" t="s">
        <v>694</v>
      </c>
      <c r="E93" s="53" t="s">
        <v>695</v>
      </c>
      <c r="F93" s="53" t="s">
        <v>678</v>
      </c>
      <c r="G93" s="53" t="s">
        <v>696</v>
      </c>
      <c r="H93" s="53"/>
      <c r="I93" s="53"/>
      <c r="L93" t="s">
        <v>31</v>
      </c>
      <c r="M93" t="s">
        <v>765</v>
      </c>
      <c r="N93" t="s">
        <v>767</v>
      </c>
      <c r="O93" t="s">
        <v>743</v>
      </c>
      <c r="P93" t="s">
        <v>769</v>
      </c>
      <c r="Q93" t="s">
        <v>744</v>
      </c>
      <c r="R93" t="s">
        <v>744</v>
      </c>
      <c r="S93" t="s">
        <v>766</v>
      </c>
      <c r="T93" t="s">
        <v>768</v>
      </c>
      <c r="U93" t="s">
        <v>730</v>
      </c>
      <c r="V93" t="s">
        <v>770</v>
      </c>
      <c r="W93" t="s">
        <v>744</v>
      </c>
      <c r="X93" t="s">
        <v>744</v>
      </c>
    </row>
    <row r="94" spans="1:24">
      <c r="A94" s="52" t="s">
        <v>33</v>
      </c>
      <c r="B94" s="53" t="s">
        <v>34</v>
      </c>
      <c r="C94" s="53"/>
      <c r="D94" s="53" t="s">
        <v>697</v>
      </c>
      <c r="E94" s="53" t="s">
        <v>698</v>
      </c>
      <c r="F94" s="53" t="s">
        <v>699</v>
      </c>
      <c r="G94" s="53" t="s">
        <v>700</v>
      </c>
      <c r="H94" s="53" t="s">
        <v>701</v>
      </c>
      <c r="I94" s="53"/>
      <c r="L94" t="s">
        <v>33</v>
      </c>
      <c r="M94" t="s">
        <v>771</v>
      </c>
      <c r="N94" t="s">
        <v>772</v>
      </c>
      <c r="O94" t="s">
        <v>773</v>
      </c>
      <c r="P94" t="s">
        <v>774</v>
      </c>
      <c r="Q94" t="s">
        <v>776</v>
      </c>
      <c r="R94" t="s">
        <v>744</v>
      </c>
      <c r="S94" t="s">
        <v>725</v>
      </c>
      <c r="T94" t="s">
        <v>742</v>
      </c>
      <c r="U94" t="s">
        <v>730</v>
      </c>
      <c r="V94" t="s">
        <v>775</v>
      </c>
      <c r="W94" t="s">
        <v>742</v>
      </c>
      <c r="X94" t="s">
        <v>744</v>
      </c>
    </row>
    <row r="95" spans="1:24">
      <c r="A95" s="52" t="s">
        <v>35</v>
      </c>
      <c r="B95" s="53" t="s">
        <v>36</v>
      </c>
      <c r="C95" s="53"/>
      <c r="D95" s="53" t="s">
        <v>702</v>
      </c>
      <c r="E95" s="53" t="s">
        <v>703</v>
      </c>
      <c r="F95" s="53" t="s">
        <v>704</v>
      </c>
      <c r="G95" s="53" t="s">
        <v>705</v>
      </c>
      <c r="H95" s="53" t="s">
        <v>706</v>
      </c>
      <c r="I95" s="53"/>
      <c r="L95" t="s">
        <v>35</v>
      </c>
      <c r="M95" t="s">
        <v>777</v>
      </c>
      <c r="N95" t="s">
        <v>779</v>
      </c>
      <c r="O95" t="s">
        <v>780</v>
      </c>
      <c r="P95" t="s">
        <v>781</v>
      </c>
      <c r="Q95" t="s">
        <v>782</v>
      </c>
      <c r="R95" t="s">
        <v>744</v>
      </c>
      <c r="S95" t="s">
        <v>778</v>
      </c>
      <c r="T95" t="s">
        <v>742</v>
      </c>
      <c r="U95" t="s">
        <v>730</v>
      </c>
      <c r="V95" t="s">
        <v>742</v>
      </c>
      <c r="W95" t="s">
        <v>783</v>
      </c>
      <c r="X95" t="s">
        <v>744</v>
      </c>
    </row>
    <row r="96" spans="1:24">
      <c r="A96" s="52" t="s">
        <v>37</v>
      </c>
      <c r="B96" s="53" t="s">
        <v>38</v>
      </c>
      <c r="C96" s="53"/>
      <c r="D96" s="53" t="s">
        <v>707</v>
      </c>
      <c r="E96" s="53" t="s">
        <v>690</v>
      </c>
      <c r="F96" s="53" t="s">
        <v>708</v>
      </c>
      <c r="G96" s="53" t="s">
        <v>709</v>
      </c>
      <c r="H96" s="53"/>
      <c r="I96" s="53"/>
      <c r="L96" t="s">
        <v>37</v>
      </c>
      <c r="M96" t="s">
        <v>784</v>
      </c>
      <c r="N96" t="s">
        <v>760</v>
      </c>
      <c r="O96" t="s">
        <v>786</v>
      </c>
      <c r="P96" t="s">
        <v>787</v>
      </c>
      <c r="Q96" t="s">
        <v>744</v>
      </c>
      <c r="R96" t="s">
        <v>744</v>
      </c>
      <c r="S96" t="s">
        <v>785</v>
      </c>
      <c r="T96" t="s">
        <v>742</v>
      </c>
      <c r="U96" t="s">
        <v>742</v>
      </c>
      <c r="V96" t="s">
        <v>788</v>
      </c>
      <c r="W96" t="s">
        <v>744</v>
      </c>
      <c r="X96" t="s">
        <v>744</v>
      </c>
    </row>
    <row r="97" spans="1:24">
      <c r="A97" s="52" t="s">
        <v>39</v>
      </c>
      <c r="B97" s="53" t="s">
        <v>40</v>
      </c>
      <c r="C97" s="53"/>
      <c r="D97" s="53" t="s">
        <v>710</v>
      </c>
      <c r="E97" s="53" t="s">
        <v>711</v>
      </c>
      <c r="F97" s="53" t="s">
        <v>712</v>
      </c>
      <c r="G97" s="53" t="s">
        <v>713</v>
      </c>
      <c r="H97" s="53"/>
      <c r="I97" s="53"/>
      <c r="L97" t="s">
        <v>39</v>
      </c>
      <c r="M97" t="s">
        <v>789</v>
      </c>
      <c r="N97" t="s">
        <v>790</v>
      </c>
      <c r="O97" t="s">
        <v>792</v>
      </c>
      <c r="P97" t="s">
        <v>793</v>
      </c>
      <c r="Q97" t="s">
        <v>744</v>
      </c>
      <c r="R97" t="s">
        <v>744</v>
      </c>
      <c r="S97" t="s">
        <v>775</v>
      </c>
      <c r="T97" t="s">
        <v>791</v>
      </c>
      <c r="U97" t="s">
        <v>775</v>
      </c>
      <c r="V97" t="s">
        <v>761</v>
      </c>
      <c r="W97" t="s">
        <v>744</v>
      </c>
      <c r="X97" t="s">
        <v>744</v>
      </c>
    </row>
    <row r="98" spans="1:24">
      <c r="A98" s="52" t="s">
        <v>41</v>
      </c>
      <c r="B98" s="53" t="s">
        <v>42</v>
      </c>
      <c r="C98" s="53"/>
      <c r="D98" s="53" t="s">
        <v>714</v>
      </c>
      <c r="E98" s="53" t="s">
        <v>703</v>
      </c>
      <c r="F98" s="53" t="s">
        <v>715</v>
      </c>
      <c r="G98" s="53" t="s">
        <v>716</v>
      </c>
      <c r="H98" s="53" t="s">
        <v>717</v>
      </c>
      <c r="I98" s="53" t="s">
        <v>718</v>
      </c>
      <c r="L98" t="s">
        <v>41</v>
      </c>
      <c r="M98" t="s">
        <v>794</v>
      </c>
      <c r="N98" t="s">
        <v>779</v>
      </c>
      <c r="O98" t="s">
        <v>796</v>
      </c>
      <c r="P98" t="s">
        <v>798</v>
      </c>
      <c r="Q98" t="s">
        <v>799</v>
      </c>
      <c r="R98" t="s">
        <v>800</v>
      </c>
      <c r="S98" t="s">
        <v>795</v>
      </c>
      <c r="T98" t="s">
        <v>742</v>
      </c>
      <c r="U98" t="s">
        <v>797</v>
      </c>
      <c r="V98" t="s">
        <v>286</v>
      </c>
      <c r="W98" t="s">
        <v>742</v>
      </c>
      <c r="X98" t="s">
        <v>801</v>
      </c>
    </row>
    <row r="99" spans="1:24">
      <c r="A99" s="52" t="s">
        <v>43</v>
      </c>
      <c r="B99" s="53" t="s">
        <v>44</v>
      </c>
      <c r="C99" s="53"/>
      <c r="D99" s="53" t="s">
        <v>719</v>
      </c>
      <c r="E99" s="53" t="s">
        <v>720</v>
      </c>
      <c r="F99" s="53" t="s">
        <v>721</v>
      </c>
      <c r="G99" s="53" t="s">
        <v>722</v>
      </c>
      <c r="H99" s="53" t="s">
        <v>723</v>
      </c>
      <c r="I99" s="53"/>
      <c r="L99" t="s">
        <v>43</v>
      </c>
      <c r="M99" t="s">
        <v>802</v>
      </c>
      <c r="N99" t="s">
        <v>804</v>
      </c>
      <c r="O99" t="s">
        <v>806</v>
      </c>
      <c r="P99" t="s">
        <v>807</v>
      </c>
      <c r="Q99" t="s">
        <v>808</v>
      </c>
      <c r="R99" t="s">
        <v>744</v>
      </c>
      <c r="S99" t="s">
        <v>803</v>
      </c>
      <c r="T99" t="s">
        <v>805</v>
      </c>
      <c r="U99" t="s">
        <v>730</v>
      </c>
      <c r="V99" t="s">
        <v>742</v>
      </c>
      <c r="W99" t="s">
        <v>742</v>
      </c>
      <c r="X99" t="s">
        <v>744</v>
      </c>
    </row>
  </sheetData>
  <sheetProtection sheet="1" objects="1" scenarios="1" formatColumns="0" formatRows="0"/>
  <mergeCells count="1">
    <mergeCell ref="A86:H86"/>
  </mergeCells>
  <pageMargins left="0.7" right="0.7" top="0.75" bottom="0.75" header="0.3" footer="0.3"/>
  <pageSetup paperSize="9" fitToHeight="0" orientation="landscape"/>
</worksheet>
</file>

<file path=xl/worksheets/sheet25.xml><?xml version="1.0" encoding="utf-8"?>
<worksheet xmlns="http://schemas.openxmlformats.org/spreadsheetml/2006/main" xmlns:r="http://schemas.openxmlformats.org/officeDocument/2006/relationships">
  <dimension ref="A1:K87"/>
  <sheetViews>
    <sheetView workbookViewId="0">
      <pane ySplit="3" topLeftCell="A4" activePane="bottomLeft" state="frozen"/>
      <selection pane="bottomLeft"/>
    </sheetView>
  </sheetViews>
  <sheetFormatPr defaultRowHeight="15"/>
  <cols>
    <col min="1" max="1" width="14.7109375" customWidth="1"/>
    <col min="2" max="2" width="52.7109375" customWidth="1"/>
    <col min="3" max="6" width="13.7109375" customWidth="1"/>
    <col min="8" max="8" width="16.7109375" customWidth="1"/>
    <col min="9" max="9" width="60.7109375" customWidth="1"/>
    <col min="10" max="10" width="16.7109375" customWidth="1"/>
    <col min="11" max="11" width="34.7109375" customWidth="1"/>
    <col min="12" max="12" width="12.7109375" customWidth="1"/>
  </cols>
  <sheetData>
    <row r="1" spans="1:11">
      <c r="A1" s="1" t="s">
        <v>0</v>
      </c>
    </row>
    <row r="2" spans="1:11">
      <c r="A2" s="2" t="s">
        <v>1</v>
      </c>
    </row>
    <row r="4" spans="1:11">
      <c r="A4" s="21" t="s">
        <v>2</v>
      </c>
      <c r="H4" s="21" t="s">
        <v>106</v>
      </c>
    </row>
    <row r="5" spans="1:11">
      <c r="A5" s="11" t="s">
        <v>3</v>
      </c>
      <c r="B5" s="11" t="s">
        <v>4</v>
      </c>
      <c r="C5" s="11" t="s">
        <v>5</v>
      </c>
      <c r="D5" s="11" t="s">
        <v>6</v>
      </c>
      <c r="E5" s="11" t="s">
        <v>7</v>
      </c>
      <c r="H5" s="11" t="s">
        <v>107</v>
      </c>
      <c r="I5" s="11" t="s">
        <v>108</v>
      </c>
      <c r="J5" s="11" t="s">
        <v>4</v>
      </c>
      <c r="K5" s="11" t="s">
        <v>109</v>
      </c>
    </row>
    <row r="6" spans="1:11">
      <c r="A6" s="17" t="s">
        <v>8</v>
      </c>
      <c r="B6" s="17" t="s">
        <v>9</v>
      </c>
      <c r="C6" s="50">
        <v>1.1</v>
      </c>
      <c r="D6" s="50">
        <v>1.2</v>
      </c>
      <c r="E6" s="50">
        <v>1.3</v>
      </c>
      <c r="H6" s="45">
        <v>0</v>
      </c>
      <c r="I6" s="17">
        <v>1</v>
      </c>
      <c r="J6" s="17" t="s">
        <v>110</v>
      </c>
      <c r="K6" s="17" t="s">
        <v>111</v>
      </c>
    </row>
    <row r="7" spans="1:11">
      <c r="A7" s="17" t="s">
        <v>10</v>
      </c>
      <c r="B7" s="17" t="s">
        <v>11</v>
      </c>
      <c r="C7" s="50">
        <v>1.12</v>
      </c>
      <c r="D7" s="50">
        <v>1.22</v>
      </c>
      <c r="E7" s="50">
        <v>1.32</v>
      </c>
      <c r="H7" s="45">
        <v>32</v>
      </c>
      <c r="I7" s="17">
        <v>2</v>
      </c>
      <c r="J7" s="17" t="s">
        <v>102</v>
      </c>
      <c r="K7" s="17" t="s">
        <v>112</v>
      </c>
    </row>
    <row r="8" spans="1:11">
      <c r="A8" s="17" t="s">
        <v>12</v>
      </c>
      <c r="B8" s="17" t="s">
        <v>13</v>
      </c>
      <c r="C8" s="50">
        <v>1.2</v>
      </c>
      <c r="D8" s="50">
        <v>1.35</v>
      </c>
      <c r="E8" s="50">
        <v>1.5</v>
      </c>
      <c r="H8" s="45">
        <v>42</v>
      </c>
      <c r="I8" s="17">
        <v>3</v>
      </c>
      <c r="J8" s="17" t="s">
        <v>113</v>
      </c>
      <c r="K8" s="17" t="s">
        <v>114</v>
      </c>
    </row>
    <row r="9" spans="1:11">
      <c r="A9" s="17" t="s">
        <v>14</v>
      </c>
      <c r="B9" s="17" t="s">
        <v>15</v>
      </c>
      <c r="C9" s="50">
        <v>1.35</v>
      </c>
      <c r="D9" s="50">
        <v>1.55</v>
      </c>
      <c r="E9" s="50">
        <v>1.8</v>
      </c>
      <c r="H9" s="45">
        <v>50</v>
      </c>
      <c r="I9" s="17">
        <v>4</v>
      </c>
      <c r="J9" s="17" t="s">
        <v>115</v>
      </c>
      <c r="K9" s="17" t="s">
        <v>116</v>
      </c>
    </row>
    <row r="10" spans="1:11">
      <c r="B10" s="54" t="s">
        <v>16</v>
      </c>
      <c r="H10" s="45">
        <v>58</v>
      </c>
      <c r="I10" s="17">
        <v>5</v>
      </c>
      <c r="J10" s="17" t="s">
        <v>117</v>
      </c>
      <c r="K10" s="17" t="s">
        <v>118</v>
      </c>
    </row>
    <row r="11" spans="1:11">
      <c r="H11" s="45">
        <v>66</v>
      </c>
      <c r="I11" s="17">
        <v>6</v>
      </c>
      <c r="J11" s="17" t="s">
        <v>119</v>
      </c>
      <c r="K11" s="17" t="s">
        <v>120</v>
      </c>
    </row>
    <row r="12" spans="1:11">
      <c r="A12" s="21" t="s">
        <v>17</v>
      </c>
      <c r="H12" s="45">
        <v>73</v>
      </c>
      <c r="I12" s="17">
        <v>7</v>
      </c>
      <c r="J12" s="17" t="s">
        <v>121</v>
      </c>
      <c r="K12" s="17" t="s">
        <v>122</v>
      </c>
    </row>
    <row r="13" spans="1:11">
      <c r="A13" s="11" t="s">
        <v>18</v>
      </c>
      <c r="B13" s="11" t="s">
        <v>19</v>
      </c>
      <c r="C13" s="11" t="s">
        <v>20</v>
      </c>
      <c r="H13" s="45">
        <v>80</v>
      </c>
      <c r="I13" s="17">
        <v>8</v>
      </c>
      <c r="J13" s="17" t="s">
        <v>123</v>
      </c>
      <c r="K13" s="17" t="s">
        <v>124</v>
      </c>
    </row>
    <row r="14" spans="1:11">
      <c r="A14" s="17" t="s">
        <v>21</v>
      </c>
      <c r="B14" s="17" t="s">
        <v>22</v>
      </c>
      <c r="C14" s="50">
        <v>-0.05</v>
      </c>
      <c r="H14" s="45">
        <v>86</v>
      </c>
      <c r="I14" s="17">
        <v>9</v>
      </c>
      <c r="J14" s="17" t="s">
        <v>125</v>
      </c>
      <c r="K14" s="17" t="s">
        <v>126</v>
      </c>
    </row>
    <row r="15" spans="1:11">
      <c r="A15" s="17" t="s">
        <v>23</v>
      </c>
      <c r="B15" s="17" t="s">
        <v>24</v>
      </c>
      <c r="C15" s="50">
        <v>0</v>
      </c>
      <c r="H15" s="45">
        <v>92</v>
      </c>
      <c r="I15" s="17">
        <v>10</v>
      </c>
      <c r="J15" s="17" t="s">
        <v>127</v>
      </c>
      <c r="K15" s="17" t="s">
        <v>128</v>
      </c>
    </row>
    <row r="16" spans="1:11">
      <c r="A16" s="17" t="s">
        <v>25</v>
      </c>
      <c r="B16" s="17" t="s">
        <v>26</v>
      </c>
      <c r="C16" s="50">
        <v>0</v>
      </c>
    </row>
    <row r="17" spans="1:10">
      <c r="A17" s="17" t="s">
        <v>27</v>
      </c>
      <c r="B17" s="17" t="s">
        <v>28</v>
      </c>
      <c r="C17" s="50">
        <v>0.05</v>
      </c>
    </row>
    <row r="18" spans="1:10">
      <c r="A18" s="17" t="s">
        <v>29</v>
      </c>
      <c r="B18" s="17" t="s">
        <v>30</v>
      </c>
      <c r="C18" s="50">
        <v>0.05</v>
      </c>
      <c r="H18" s="21" t="s">
        <v>129</v>
      </c>
    </row>
    <row r="19" spans="1:10">
      <c r="A19" s="17" t="s">
        <v>31</v>
      </c>
      <c r="B19" s="17" t="s">
        <v>32</v>
      </c>
      <c r="C19" s="50">
        <v>0.05</v>
      </c>
      <c r="H19" s="11" t="s">
        <v>18</v>
      </c>
      <c r="I19" s="11" t="s">
        <v>130</v>
      </c>
      <c r="J19" s="11" t="s">
        <v>131</v>
      </c>
    </row>
    <row r="20" spans="1:10">
      <c r="A20" s="17" t="s">
        <v>33</v>
      </c>
      <c r="B20" s="17" t="s">
        <v>34</v>
      </c>
      <c r="C20" s="50">
        <v>0.05</v>
      </c>
      <c r="H20" s="17" t="s">
        <v>132</v>
      </c>
      <c r="I20" s="13" t="s">
        <v>133</v>
      </c>
      <c r="J20" s="45">
        <v>3</v>
      </c>
    </row>
    <row r="21" spans="1:10">
      <c r="A21" s="17" t="s">
        <v>35</v>
      </c>
      <c r="B21" s="17" t="s">
        <v>36</v>
      </c>
      <c r="C21" s="50">
        <v>0.05</v>
      </c>
      <c r="H21" s="17" t="s">
        <v>134</v>
      </c>
      <c r="I21" s="13" t="s">
        <v>135</v>
      </c>
      <c r="J21" s="45">
        <v>5</v>
      </c>
    </row>
    <row r="22" spans="1:10">
      <c r="A22" s="17" t="s">
        <v>37</v>
      </c>
      <c r="B22" s="17" t="s">
        <v>38</v>
      </c>
      <c r="C22" s="50">
        <v>0.1</v>
      </c>
      <c r="H22" s="17" t="s">
        <v>136</v>
      </c>
      <c r="I22" s="13" t="s">
        <v>137</v>
      </c>
      <c r="J22" s="45">
        <v>4</v>
      </c>
    </row>
    <row r="23" spans="1:10">
      <c r="A23" s="17" t="s">
        <v>39</v>
      </c>
      <c r="B23" s="17" t="s">
        <v>40</v>
      </c>
      <c r="C23" s="50">
        <v>0.15</v>
      </c>
      <c r="H23" s="17" t="s">
        <v>138</v>
      </c>
      <c r="I23" s="13" t="s">
        <v>139</v>
      </c>
      <c r="J23" s="45">
        <v>4</v>
      </c>
    </row>
    <row r="24" spans="1:10">
      <c r="A24" s="17" t="s">
        <v>41</v>
      </c>
      <c r="B24" s="17" t="s">
        <v>42</v>
      </c>
      <c r="C24" s="50">
        <v>0.2</v>
      </c>
      <c r="H24" s="17" t="s">
        <v>140</v>
      </c>
      <c r="I24" s="13" t="s">
        <v>141</v>
      </c>
      <c r="J24" s="45">
        <v>5</v>
      </c>
    </row>
    <row r="25" spans="1:10">
      <c r="A25" s="17" t="s">
        <v>43</v>
      </c>
      <c r="B25" s="17" t="s">
        <v>44</v>
      </c>
      <c r="C25" s="50">
        <v>0.25</v>
      </c>
      <c r="H25" s="17" t="s">
        <v>142</v>
      </c>
      <c r="I25" s="13" t="s">
        <v>143</v>
      </c>
      <c r="J25" s="45">
        <v>5</v>
      </c>
    </row>
    <row r="26" spans="1:10">
      <c r="H26" s="17" t="s">
        <v>144</v>
      </c>
      <c r="I26" s="13" t="s">
        <v>145</v>
      </c>
      <c r="J26" s="45">
        <v>6</v>
      </c>
    </row>
    <row r="27" spans="1:10">
      <c r="H27" s="17" t="s">
        <v>146</v>
      </c>
      <c r="I27" s="13" t="s">
        <v>147</v>
      </c>
      <c r="J27" s="45">
        <v>5</v>
      </c>
    </row>
    <row r="28" spans="1:10">
      <c r="A28" s="21" t="s">
        <v>45</v>
      </c>
      <c r="H28" s="17" t="s">
        <v>148</v>
      </c>
      <c r="I28" s="13" t="s">
        <v>149</v>
      </c>
      <c r="J28" s="45">
        <v>5</v>
      </c>
    </row>
    <row r="29" spans="1:10">
      <c r="A29" s="11" t="s">
        <v>46</v>
      </c>
      <c r="B29" s="11" t="s">
        <v>4</v>
      </c>
      <c r="C29" s="11" t="s">
        <v>47</v>
      </c>
      <c r="H29" s="17" t="s">
        <v>150</v>
      </c>
      <c r="I29" s="13" t="s">
        <v>151</v>
      </c>
      <c r="J29" s="45">
        <v>6</v>
      </c>
    </row>
    <row r="30" spans="1:10">
      <c r="A30" s="17" t="s">
        <v>48</v>
      </c>
      <c r="B30" s="17" t="s">
        <v>49</v>
      </c>
      <c r="C30" s="50">
        <v>0</v>
      </c>
      <c r="H30" s="17" t="s">
        <v>152</v>
      </c>
      <c r="I30" s="13" t="s">
        <v>153</v>
      </c>
      <c r="J30" s="45">
        <v>6</v>
      </c>
    </row>
    <row r="31" spans="1:10">
      <c r="A31" s="17" t="s">
        <v>50</v>
      </c>
      <c r="B31" s="17" t="s">
        <v>51</v>
      </c>
      <c r="C31" s="50">
        <v>0.05</v>
      </c>
      <c r="H31" s="17" t="s">
        <v>154</v>
      </c>
      <c r="I31" s="13" t="s">
        <v>155</v>
      </c>
      <c r="J31" s="45">
        <v>6</v>
      </c>
    </row>
    <row r="32" spans="1:10">
      <c r="A32" s="17" t="s">
        <v>52</v>
      </c>
      <c r="B32" s="17" t="s">
        <v>53</v>
      </c>
      <c r="C32" s="50">
        <v>0</v>
      </c>
      <c r="H32" s="17" t="s">
        <v>156</v>
      </c>
      <c r="I32" s="13" t="s">
        <v>157</v>
      </c>
      <c r="J32" s="45">
        <v>7</v>
      </c>
    </row>
    <row r="33" spans="1:10">
      <c r="H33" s="17" t="s">
        <v>158</v>
      </c>
      <c r="I33" s="13" t="s">
        <v>159</v>
      </c>
      <c r="J33" s="45">
        <v>6</v>
      </c>
    </row>
    <row r="34" spans="1:10">
      <c r="H34" s="17" t="s">
        <v>160</v>
      </c>
      <c r="I34" s="13" t="s">
        <v>161</v>
      </c>
      <c r="J34" s="45">
        <v>6</v>
      </c>
    </row>
    <row r="35" spans="1:10">
      <c r="A35" s="21" t="s">
        <v>54</v>
      </c>
    </row>
    <row r="36" spans="1:10">
      <c r="A36" s="11" t="s">
        <v>55</v>
      </c>
      <c r="B36" s="11" t="s">
        <v>4</v>
      </c>
      <c r="C36" s="11" t="s">
        <v>48</v>
      </c>
      <c r="D36" s="11" t="s">
        <v>50</v>
      </c>
      <c r="E36" s="11" t="s">
        <v>52</v>
      </c>
    </row>
    <row r="37" spans="1:10">
      <c r="A37" s="17" t="s">
        <v>56</v>
      </c>
      <c r="B37" s="17" t="s">
        <v>57</v>
      </c>
      <c r="C37" s="55">
        <v>0.1</v>
      </c>
      <c r="D37" s="55">
        <v>0.08</v>
      </c>
      <c r="E37" s="55">
        <v>0.05</v>
      </c>
      <c r="H37" s="21" t="s">
        <v>162</v>
      </c>
    </row>
    <row r="38" spans="1:10">
      <c r="A38" s="17" t="s">
        <v>58</v>
      </c>
      <c r="B38" s="17" t="s">
        <v>59</v>
      </c>
      <c r="C38" s="55">
        <v>0.1</v>
      </c>
      <c r="D38" s="55">
        <v>0.07000000000000001</v>
      </c>
      <c r="E38" s="55">
        <v>0.05</v>
      </c>
      <c r="H38" s="11" t="s">
        <v>92</v>
      </c>
      <c r="I38" s="11" t="s">
        <v>163</v>
      </c>
      <c r="J38" s="11" t="s">
        <v>94</v>
      </c>
    </row>
    <row r="39" spans="1:10">
      <c r="A39" s="17" t="s">
        <v>60</v>
      </c>
      <c r="B39" s="17" t="s">
        <v>61</v>
      </c>
      <c r="C39" s="55">
        <v>0.2</v>
      </c>
      <c r="D39" s="55">
        <v>0.08</v>
      </c>
      <c r="E39" s="55">
        <v>0</v>
      </c>
      <c r="H39" s="17" t="s">
        <v>164</v>
      </c>
      <c r="I39" s="13" t="s">
        <v>165</v>
      </c>
      <c r="J39" s="45">
        <v>200</v>
      </c>
    </row>
    <row r="40" spans="1:10">
      <c r="A40" s="17" t="s">
        <v>62</v>
      </c>
      <c r="B40" s="17" t="s">
        <v>63</v>
      </c>
      <c r="C40" s="55">
        <v>0.05</v>
      </c>
      <c r="D40" s="55">
        <v>0.12</v>
      </c>
      <c r="E40" s="55">
        <v>0.15</v>
      </c>
      <c r="H40" s="17" t="s">
        <v>166</v>
      </c>
      <c r="I40" s="13" t="s">
        <v>167</v>
      </c>
      <c r="J40" s="45">
        <v>100</v>
      </c>
    </row>
    <row r="41" spans="1:10">
      <c r="A41" s="17" t="s">
        <v>64</v>
      </c>
      <c r="B41" s="17" t="s">
        <v>65</v>
      </c>
      <c r="C41" s="55">
        <v>0.05</v>
      </c>
      <c r="D41" s="55">
        <v>0.12</v>
      </c>
      <c r="E41" s="55">
        <v>0.15</v>
      </c>
      <c r="H41" s="17" t="s">
        <v>168</v>
      </c>
      <c r="I41" s="13" t="s">
        <v>169</v>
      </c>
      <c r="J41" s="45">
        <v>12</v>
      </c>
    </row>
    <row r="42" spans="1:10">
      <c r="A42" s="17" t="s">
        <v>66</v>
      </c>
      <c r="B42" s="17" t="s">
        <v>67</v>
      </c>
      <c r="C42" s="55">
        <v>0.1</v>
      </c>
      <c r="D42" s="55">
        <v>0.12</v>
      </c>
      <c r="E42" s="55">
        <v>0.15</v>
      </c>
      <c r="H42" s="17" t="s">
        <v>170</v>
      </c>
      <c r="I42" s="13" t="s">
        <v>171</v>
      </c>
      <c r="J42" s="45">
        <v>1500</v>
      </c>
    </row>
    <row r="43" spans="1:10">
      <c r="A43" s="17" t="s">
        <v>68</v>
      </c>
      <c r="B43" s="17" t="s">
        <v>69</v>
      </c>
      <c r="C43" s="55">
        <v>0.25</v>
      </c>
      <c r="D43" s="55">
        <v>0.28</v>
      </c>
      <c r="E43" s="55">
        <v>0.3</v>
      </c>
      <c r="H43" s="17" t="s">
        <v>172</v>
      </c>
      <c r="I43" s="13" t="s">
        <v>173</v>
      </c>
      <c r="J43" s="45">
        <v>500</v>
      </c>
    </row>
    <row r="44" spans="1:10">
      <c r="A44" s="17" t="s">
        <v>70</v>
      </c>
      <c r="B44" s="17" t="s">
        <v>71</v>
      </c>
      <c r="C44" s="55">
        <v>0.1</v>
      </c>
      <c r="D44" s="55">
        <v>0.08</v>
      </c>
      <c r="E44" s="55">
        <v>0.1</v>
      </c>
      <c r="H44" s="17" t="s">
        <v>174</v>
      </c>
      <c r="I44" s="13" t="s">
        <v>175</v>
      </c>
      <c r="J44" s="45">
        <v>3</v>
      </c>
    </row>
    <row r="45" spans="1:10">
      <c r="A45" s="17" t="s">
        <v>72</v>
      </c>
      <c r="B45" s="17" t="s">
        <v>73</v>
      </c>
      <c r="C45" s="55">
        <v>0.05</v>
      </c>
      <c r="D45" s="55">
        <v>0.05</v>
      </c>
      <c r="E45" s="55">
        <v>0.05</v>
      </c>
      <c r="H45" s="17" t="s">
        <v>176</v>
      </c>
      <c r="I45" s="13" t="s">
        <v>177</v>
      </c>
      <c r="J45" s="55">
        <v>1.1</v>
      </c>
    </row>
    <row r="46" spans="1:10">
      <c r="B46" s="21" t="s">
        <v>74</v>
      </c>
      <c r="C46" s="28">
        <f>SUM(C37:C45)</f>
        <v>0</v>
      </c>
      <c r="D46" s="28">
        <f>SUM(D37:D45)</f>
        <v>0</v>
      </c>
      <c r="E46" s="28">
        <f>SUM(E37:E45)</f>
        <v>0</v>
      </c>
      <c r="H46" s="17" t="s">
        <v>178</v>
      </c>
      <c r="I46" s="13" t="s">
        <v>179</v>
      </c>
      <c r="J46" s="55">
        <v>1</v>
      </c>
    </row>
    <row r="47" spans="1:10">
      <c r="H47" s="17" t="s">
        <v>180</v>
      </c>
      <c r="I47" s="13" t="s">
        <v>181</v>
      </c>
      <c r="J47" s="55">
        <v>0.95</v>
      </c>
    </row>
    <row r="48" spans="1:10">
      <c r="A48" s="21" t="s">
        <v>75</v>
      </c>
      <c r="H48" s="17" t="s">
        <v>182</v>
      </c>
      <c r="I48" s="13" t="s">
        <v>183</v>
      </c>
      <c r="J48" s="50">
        <v>1.05</v>
      </c>
    </row>
    <row r="49" spans="1:10">
      <c r="A49" s="11" t="s">
        <v>18</v>
      </c>
      <c r="B49" s="11" t="s">
        <v>76</v>
      </c>
      <c r="C49" s="11" t="s">
        <v>77</v>
      </c>
      <c r="H49" s="17" t="s">
        <v>184</v>
      </c>
      <c r="I49" s="13" t="s">
        <v>185</v>
      </c>
      <c r="J49" s="50">
        <v>1</v>
      </c>
    </row>
    <row r="50" spans="1:10">
      <c r="A50" s="17" t="s">
        <v>78</v>
      </c>
      <c r="B50" s="17" t="s">
        <v>79</v>
      </c>
      <c r="C50" s="55">
        <v>0.25</v>
      </c>
      <c r="H50" s="17" t="s">
        <v>186</v>
      </c>
      <c r="I50" s="13" t="s">
        <v>187</v>
      </c>
      <c r="J50" s="50">
        <v>1.1</v>
      </c>
    </row>
    <row r="51" spans="1:10">
      <c r="A51" s="17" t="s">
        <v>80</v>
      </c>
      <c r="B51" s="17" t="s">
        <v>81</v>
      </c>
      <c r="C51" s="55">
        <v>0.2</v>
      </c>
      <c r="H51" s="17" t="s">
        <v>188</v>
      </c>
      <c r="I51" s="13" t="s">
        <v>189</v>
      </c>
      <c r="J51" s="55">
        <v>0.25</v>
      </c>
    </row>
    <row r="52" spans="1:10">
      <c r="A52" s="17" t="s">
        <v>82</v>
      </c>
      <c r="B52" s="17" t="s">
        <v>83</v>
      </c>
      <c r="C52" s="55">
        <v>0.15</v>
      </c>
      <c r="H52" s="17" t="s">
        <v>190</v>
      </c>
      <c r="I52" s="13" t="s">
        <v>191</v>
      </c>
      <c r="J52" s="45">
        <v>3</v>
      </c>
    </row>
    <row r="53" spans="1:10">
      <c r="A53" s="17" t="s">
        <v>84</v>
      </c>
      <c r="B53" s="17" t="s">
        <v>85</v>
      </c>
      <c r="C53" s="55">
        <v>0.15</v>
      </c>
      <c r="H53" s="17" t="s">
        <v>192</v>
      </c>
      <c r="I53" s="13" t="s">
        <v>193</v>
      </c>
      <c r="J53" s="55">
        <v>0.3</v>
      </c>
    </row>
    <row r="54" spans="1:10">
      <c r="A54" s="17" t="s">
        <v>86</v>
      </c>
      <c r="B54" s="17" t="s">
        <v>87</v>
      </c>
      <c r="C54" s="55">
        <v>0.15</v>
      </c>
      <c r="H54" s="17" t="s">
        <v>194</v>
      </c>
      <c r="I54" s="13" t="s">
        <v>195</v>
      </c>
      <c r="J54" s="55">
        <v>0.85</v>
      </c>
    </row>
    <row r="55" spans="1:10">
      <c r="A55" s="17" t="s">
        <v>88</v>
      </c>
      <c r="B55" s="17" t="s">
        <v>89</v>
      </c>
      <c r="C55" s="55">
        <v>0.1</v>
      </c>
      <c r="H55" s="17" t="s">
        <v>196</v>
      </c>
      <c r="I55" s="13" t="s">
        <v>197</v>
      </c>
      <c r="J55" s="55">
        <v>0.85</v>
      </c>
    </row>
    <row r="56" spans="1:10">
      <c r="B56" s="21" t="s">
        <v>90</v>
      </c>
      <c r="C56" s="28">
        <f>SUM(C50:C55)</f>
        <v>0</v>
      </c>
      <c r="H56" s="17" t="s">
        <v>198</v>
      </c>
      <c r="I56" s="13" t="s">
        <v>199</v>
      </c>
      <c r="J56" s="45">
        <v>5</v>
      </c>
    </row>
    <row r="57" spans="1:10">
      <c r="H57" s="17" t="s">
        <v>200</v>
      </c>
      <c r="I57" s="13" t="s">
        <v>201</v>
      </c>
      <c r="J57" s="55">
        <v>0.95</v>
      </c>
    </row>
    <row r="58" spans="1:10">
      <c r="A58" s="21" t="s">
        <v>91</v>
      </c>
    </row>
    <row r="59" spans="1:10">
      <c r="A59" s="11" t="s">
        <v>92</v>
      </c>
      <c r="B59" s="11" t="s">
        <v>93</v>
      </c>
      <c r="C59" s="11" t="s">
        <v>94</v>
      </c>
    </row>
    <row r="60" spans="1:10">
      <c r="A60" s="17" t="s">
        <v>95</v>
      </c>
      <c r="B60" s="17" t="s">
        <v>96</v>
      </c>
      <c r="C60" s="45">
        <v>100</v>
      </c>
      <c r="H60" s="21" t="s">
        <v>202</v>
      </c>
    </row>
    <row r="61" spans="1:10">
      <c r="A61" s="17" t="s">
        <v>97</v>
      </c>
      <c r="B61" s="17" t="s">
        <v>98</v>
      </c>
      <c r="C61" s="45">
        <v>80</v>
      </c>
      <c r="H61" s="11" t="s">
        <v>203</v>
      </c>
      <c r="I61" s="11" t="s">
        <v>204</v>
      </c>
      <c r="J61" s="11" t="s">
        <v>77</v>
      </c>
    </row>
    <row r="62" spans="1:10">
      <c r="A62" s="17" t="s">
        <v>99</v>
      </c>
      <c r="B62" s="17" t="s">
        <v>100</v>
      </c>
      <c r="C62" s="45">
        <v>50</v>
      </c>
      <c r="H62" s="17" t="s">
        <v>205</v>
      </c>
      <c r="I62" s="13" t="s">
        <v>206</v>
      </c>
      <c r="J62" s="55">
        <v>0.4</v>
      </c>
    </row>
    <row r="63" spans="1:10">
      <c r="A63" s="17" t="s">
        <v>101</v>
      </c>
      <c r="B63" s="17" t="s">
        <v>102</v>
      </c>
      <c r="C63" s="45">
        <v>20</v>
      </c>
      <c r="H63" s="17" t="s">
        <v>207</v>
      </c>
      <c r="I63" s="13" t="s">
        <v>208</v>
      </c>
      <c r="J63" s="55">
        <v>0.35</v>
      </c>
    </row>
    <row r="64" spans="1:10">
      <c r="A64" s="17" t="s">
        <v>103</v>
      </c>
      <c r="B64" s="17" t="s">
        <v>104</v>
      </c>
      <c r="C64" s="45">
        <v>20</v>
      </c>
      <c r="H64" s="17" t="s">
        <v>209</v>
      </c>
      <c r="I64" s="13" t="s">
        <v>210</v>
      </c>
      <c r="J64" s="55">
        <v>0.25</v>
      </c>
    </row>
    <row r="65" spans="1:10">
      <c r="B65" s="54" t="s">
        <v>105</v>
      </c>
      <c r="H65" s="17" t="s">
        <v>211</v>
      </c>
      <c r="I65" s="13" t="s">
        <v>212</v>
      </c>
      <c r="J65" s="55">
        <v>0.35</v>
      </c>
    </row>
    <row r="66" spans="1:10">
      <c r="H66" s="17" t="s">
        <v>213</v>
      </c>
      <c r="I66" s="13" t="s">
        <v>214</v>
      </c>
      <c r="J66" s="55">
        <v>0.4</v>
      </c>
    </row>
    <row r="67" spans="1:10">
      <c r="H67" s="17" t="s">
        <v>215</v>
      </c>
      <c r="I67" s="13" t="s">
        <v>216</v>
      </c>
      <c r="J67" s="55">
        <v>0.25</v>
      </c>
    </row>
    <row r="68" spans="1:10">
      <c r="A68" s="21" t="s">
        <v>255</v>
      </c>
      <c r="H68" s="17" t="s">
        <v>217</v>
      </c>
      <c r="I68" s="13" t="s">
        <v>218</v>
      </c>
      <c r="J68" s="55">
        <v>0.4</v>
      </c>
    </row>
    <row r="69" spans="1:10">
      <c r="A69" s="11" t="s">
        <v>256</v>
      </c>
      <c r="B69" s="11" t="s">
        <v>259</v>
      </c>
      <c r="C69" s="11" t="s">
        <v>261</v>
      </c>
      <c r="D69" s="11" t="s">
        <v>265</v>
      </c>
      <c r="E69" s="11" t="s">
        <v>274</v>
      </c>
      <c r="H69" s="17" t="s">
        <v>219</v>
      </c>
      <c r="I69" s="13" t="s">
        <v>220</v>
      </c>
      <c r="J69" s="55">
        <v>0.25</v>
      </c>
    </row>
    <row r="70" spans="1:10">
      <c r="A70" s="17" t="s">
        <v>257</v>
      </c>
      <c r="B70" s="17">
        <v>100</v>
      </c>
      <c r="C70" s="17" t="s">
        <v>262</v>
      </c>
      <c r="D70" s="17" t="s">
        <v>266</v>
      </c>
      <c r="E70" s="17" t="s">
        <v>275</v>
      </c>
      <c r="H70" s="17" t="s">
        <v>221</v>
      </c>
      <c r="I70" s="13" t="s">
        <v>222</v>
      </c>
      <c r="J70" s="55">
        <v>0.35</v>
      </c>
    </row>
    <row r="71" spans="1:10">
      <c r="A71" s="17" t="s">
        <v>258</v>
      </c>
      <c r="B71" s="17">
        <v>80</v>
      </c>
      <c r="C71" s="17" t="s">
        <v>263</v>
      </c>
      <c r="D71" s="17" t="s">
        <v>267</v>
      </c>
      <c r="E71" s="17" t="s">
        <v>276</v>
      </c>
      <c r="H71" s="17" t="s">
        <v>223</v>
      </c>
      <c r="I71" s="13" t="s">
        <v>224</v>
      </c>
      <c r="J71" s="55">
        <v>0.45</v>
      </c>
    </row>
    <row r="72" spans="1:10">
      <c r="B72" s="17">
        <v>50</v>
      </c>
      <c r="C72" s="17" t="s">
        <v>264</v>
      </c>
      <c r="D72" s="17" t="s">
        <v>268</v>
      </c>
      <c r="E72" s="17" t="s">
        <v>277</v>
      </c>
      <c r="H72" s="17" t="s">
        <v>225</v>
      </c>
      <c r="I72" s="13" t="s">
        <v>226</v>
      </c>
      <c r="J72" s="55">
        <v>0.3</v>
      </c>
    </row>
    <row r="73" spans="1:10">
      <c r="B73" s="17">
        <v>20</v>
      </c>
      <c r="D73" s="17" t="s">
        <v>269</v>
      </c>
      <c r="H73" s="17" t="s">
        <v>227</v>
      </c>
      <c r="I73" s="13" t="s">
        <v>228</v>
      </c>
      <c r="J73" s="55">
        <v>0.25</v>
      </c>
    </row>
    <row r="74" spans="1:10">
      <c r="B74" s="17" t="s">
        <v>260</v>
      </c>
      <c r="D74" s="17" t="s">
        <v>270</v>
      </c>
      <c r="H74" s="17" t="s">
        <v>229</v>
      </c>
      <c r="I74" s="13" t="s">
        <v>230</v>
      </c>
      <c r="J74" s="55">
        <v>0.35</v>
      </c>
    </row>
    <row r="75" spans="1:10">
      <c r="D75" s="17" t="s">
        <v>271</v>
      </c>
      <c r="H75" s="17" t="s">
        <v>231</v>
      </c>
      <c r="I75" s="13" t="s">
        <v>232</v>
      </c>
      <c r="J75" s="55">
        <v>0.4</v>
      </c>
    </row>
    <row r="76" spans="1:10">
      <c r="D76" s="17" t="s">
        <v>272</v>
      </c>
      <c r="H76" s="17" t="s">
        <v>233</v>
      </c>
      <c r="I76" s="13" t="s">
        <v>234</v>
      </c>
      <c r="J76" s="55">
        <v>0.25</v>
      </c>
    </row>
    <row r="77" spans="1:10">
      <c r="D77" s="17" t="s">
        <v>273</v>
      </c>
      <c r="H77" s="17" t="s">
        <v>235</v>
      </c>
      <c r="I77" s="13" t="s">
        <v>236</v>
      </c>
      <c r="J77" s="55">
        <v>0.5</v>
      </c>
    </row>
    <row r="78" spans="1:10">
      <c r="H78" s="17" t="s">
        <v>237</v>
      </c>
      <c r="I78" s="13" t="s">
        <v>238</v>
      </c>
      <c r="J78" s="55">
        <v>0.2</v>
      </c>
    </row>
    <row r="79" spans="1:10">
      <c r="H79" s="17" t="s">
        <v>239</v>
      </c>
      <c r="I79" s="13" t="s">
        <v>240</v>
      </c>
      <c r="J79" s="55">
        <v>0.3</v>
      </c>
    </row>
    <row r="80" spans="1:10">
      <c r="H80" s="17" t="s">
        <v>241</v>
      </c>
      <c r="I80" s="13" t="s">
        <v>242</v>
      </c>
      <c r="J80" s="55">
        <v>0.35</v>
      </c>
    </row>
    <row r="81" spans="1:10">
      <c r="A81" s="11" t="s">
        <v>278</v>
      </c>
      <c r="B81" s="11" t="s">
        <v>285</v>
      </c>
      <c r="C81" s="11" t="s">
        <v>289</v>
      </c>
      <c r="D81" s="11" t="s">
        <v>293</v>
      </c>
      <c r="H81" s="17" t="s">
        <v>243</v>
      </c>
      <c r="I81" s="13" t="s">
        <v>244</v>
      </c>
      <c r="J81" s="55">
        <v>0.4</v>
      </c>
    </row>
    <row r="82" spans="1:10">
      <c r="A82" s="17" t="s">
        <v>279</v>
      </c>
      <c r="B82" s="17" t="s">
        <v>286</v>
      </c>
      <c r="C82" s="17" t="s">
        <v>98</v>
      </c>
      <c r="D82" s="17" t="s">
        <v>294</v>
      </c>
      <c r="H82" s="17" t="s">
        <v>245</v>
      </c>
      <c r="I82" s="13" t="s">
        <v>246</v>
      </c>
      <c r="J82" s="55">
        <v>0.25</v>
      </c>
    </row>
    <row r="83" spans="1:10">
      <c r="A83" s="17" t="s">
        <v>280</v>
      </c>
      <c r="B83" s="17" t="s">
        <v>287</v>
      </c>
      <c r="C83" s="17" t="s">
        <v>290</v>
      </c>
      <c r="D83" s="17" t="s">
        <v>295</v>
      </c>
      <c r="H83" s="17" t="s">
        <v>247</v>
      </c>
      <c r="I83" s="13" t="s">
        <v>248</v>
      </c>
      <c r="J83" s="55">
        <v>0.3</v>
      </c>
    </row>
    <row r="84" spans="1:10">
      <c r="A84" s="17" t="s">
        <v>281</v>
      </c>
      <c r="B84" s="17" t="s">
        <v>288</v>
      </c>
      <c r="C84" s="17" t="s">
        <v>291</v>
      </c>
      <c r="D84" s="17" t="s">
        <v>296</v>
      </c>
      <c r="H84" s="17" t="s">
        <v>249</v>
      </c>
      <c r="I84" s="13" t="s">
        <v>250</v>
      </c>
      <c r="J84" s="55">
        <v>0.3</v>
      </c>
    </row>
    <row r="85" spans="1:10">
      <c r="A85" s="17" t="s">
        <v>282</v>
      </c>
      <c r="B85" s="17" t="s">
        <v>284</v>
      </c>
      <c r="C85" s="17" t="s">
        <v>292</v>
      </c>
      <c r="D85" s="17" t="s">
        <v>297</v>
      </c>
      <c r="H85" s="17" t="s">
        <v>251</v>
      </c>
      <c r="I85" s="13" t="s">
        <v>252</v>
      </c>
      <c r="J85" s="55">
        <v>0.15</v>
      </c>
    </row>
    <row r="86" spans="1:10">
      <c r="A86" s="17" t="s">
        <v>283</v>
      </c>
      <c r="H86" s="17" t="s">
        <v>253</v>
      </c>
      <c r="I86" s="13" t="s">
        <v>254</v>
      </c>
      <c r="J86" s="55">
        <v>0.25</v>
      </c>
    </row>
    <row r="87" spans="1:10">
      <c r="A87" s="17" t="s">
        <v>284</v>
      </c>
    </row>
  </sheetData>
  <sheetProtection sheet="1" objects="1" scenarios="1" formatColumns="0" formatRows="0"/>
  <conditionalFormatting sqref="C46:E46">
    <cfRule type="expression" dxfId="0" priority="1">
      <formula>ROUND(C46,4)&lt;&gt;1</formula>
    </cfRule>
  </conditionalFormatting>
  <conditionalFormatting sqref="C56">
    <cfRule type="expression" dxfId="0" priority="2">
      <formula>ROUND(C56,4)&lt;&gt;1</formula>
    </cfRule>
  </conditionalFormatting>
  <pageMargins left="0.7" right="0.7" top="0.75" bottom="0.75" header="0.3" footer="0.3"/>
</worksheet>
</file>

<file path=xl/worksheets/sheet26.xml><?xml version="1.0" encoding="utf-8"?>
<worksheet xmlns="http://schemas.openxmlformats.org/spreadsheetml/2006/main" xmlns:r="http://schemas.openxmlformats.org/officeDocument/2006/relationships">
  <sheetPr>
    <pageSetUpPr fitToPage="1"/>
  </sheetPr>
  <dimension ref="A1:N26"/>
  <sheetViews>
    <sheetView showGridLines="0" workbookViewId="0">
      <pane xSplit="1" ySplit="6" topLeftCell="B7" activePane="bottomRight" state="frozen"/>
      <selection pane="topRight" activeCell="B1" sqref="B1"/>
      <selection pane="bottomLeft" activeCell="A7" sqref="A7"/>
      <selection pane="bottomRight"/>
    </sheetView>
  </sheetViews>
  <sheetFormatPr defaultRowHeight="15"/>
  <cols>
    <col min="1" max="1" width="10.7109375" customWidth="1"/>
    <col min="2" max="13" width="11.7109375" customWidth="1"/>
    <col min="14" max="14" width="14.7109375" customWidth="1"/>
    <col min="15" max="15" width="3.7109375" customWidth="1"/>
    <col min="16" max="16" width="22.7109375" customWidth="1"/>
  </cols>
  <sheetData>
    <row r="1" spans="1:14">
      <c r="A1" s="1" t="s">
        <v>1789</v>
      </c>
    </row>
    <row r="2" spans="1:14">
      <c r="A2" s="2" t="s">
        <v>1790</v>
      </c>
    </row>
    <row r="4" spans="1:14">
      <c r="A4" s="22" t="s">
        <v>1813</v>
      </c>
      <c r="B4" s="14">
        <f>COUNTIF(N7:N24,"Conforme")&amp;" / 18"</f>
        <v>0</v>
      </c>
    </row>
    <row r="6" spans="1:14" ht="42" customHeight="1">
      <c r="A6" s="11" t="s">
        <v>1691</v>
      </c>
      <c r="B6" s="11" t="s">
        <v>1791</v>
      </c>
      <c r="C6" s="11" t="s">
        <v>1792</v>
      </c>
      <c r="D6" s="11" t="s">
        <v>1793</v>
      </c>
      <c r="E6" s="11" t="s">
        <v>1794</v>
      </c>
      <c r="F6" s="11" t="s">
        <v>1795</v>
      </c>
      <c r="G6" s="11" t="s">
        <v>1796</v>
      </c>
      <c r="H6" s="11" t="s">
        <v>1797</v>
      </c>
      <c r="I6" s="11" t="s">
        <v>1798</v>
      </c>
      <c r="J6" s="11" t="s">
        <v>1799</v>
      </c>
      <c r="K6" s="11" t="s">
        <v>1800</v>
      </c>
      <c r="L6" s="11" t="s">
        <v>1801</v>
      </c>
      <c r="M6" s="11" t="s">
        <v>1802</v>
      </c>
      <c r="N6" s="11" t="s">
        <v>1803</v>
      </c>
    </row>
    <row r="7" spans="1:14">
      <c r="A7" s="12" t="s">
        <v>132</v>
      </c>
      <c r="B7" s="15">
        <v>9</v>
      </c>
      <c r="C7" s="15">
        <f>IFERROR(INDIRECT("'C1'!B276"),"onglet absent")</f>
        <v>0</v>
      </c>
      <c r="D7" s="15">
        <v>9</v>
      </c>
      <c r="E7" s="15">
        <f>IFERROR(INDIRECT("'C1'!B239"),"onglet absent")</f>
        <v>0</v>
      </c>
      <c r="F7" s="18">
        <v>86.25</v>
      </c>
      <c r="G7" s="18">
        <f>IFERROR(INDIRECT("'C1'!B238"),"onglet absent")</f>
        <v>0</v>
      </c>
      <c r="H7" s="7" t="s">
        <v>1804</v>
      </c>
      <c r="I7" s="7">
        <f>IFERROR(INDIRECT("'C1'!B38"),"onglet absent")</f>
        <v>0</v>
      </c>
      <c r="J7" s="15">
        <v>10</v>
      </c>
      <c r="K7" s="15">
        <f>IFERROR(INDIRECT("'C1'!B273"),"onglet absent")</f>
        <v>0</v>
      </c>
      <c r="L7" s="13" t="s">
        <v>1805</v>
      </c>
      <c r="M7" s="13">
        <f>IFERROR(INDIRECT("'C1'!B9"),"onglet absent")</f>
        <v>0</v>
      </c>
      <c r="N7" s="7">
        <f>IF(AND(B7&amp;""=C7&amp;"",D7&amp;""=E7&amp;"",ISNUMBER(G7),ABS(F7-N(G7))&lt;0.005,H7=I7,J7&amp;""=K7&amp;"",L7=M7),"Conforme","Écart")</f>
        <v>0</v>
      </c>
    </row>
    <row r="8" spans="1:14">
      <c r="A8" s="12" t="s">
        <v>134</v>
      </c>
      <c r="B8" s="15">
        <v>6</v>
      </c>
      <c r="C8" s="15">
        <f>IFERROR(INDIRECT("'C2'!B276"),"onglet absent")</f>
        <v>0</v>
      </c>
      <c r="D8" s="15">
        <v>6</v>
      </c>
      <c r="E8" s="15">
        <f>IFERROR(INDIRECT("'C2'!B239"),"onglet absent")</f>
        <v>0</v>
      </c>
      <c r="F8" s="18">
        <v>67.68000000000001</v>
      </c>
      <c r="G8" s="18">
        <f>IFERROR(INDIRECT("'C2'!B238"),"onglet absent")</f>
        <v>0</v>
      </c>
      <c r="H8" s="7" t="s">
        <v>1804</v>
      </c>
      <c r="I8" s="7">
        <f>IFERROR(INDIRECT("'C2'!B38"),"onglet absent")</f>
        <v>0</v>
      </c>
      <c r="J8" s="15">
        <v>10</v>
      </c>
      <c r="K8" s="15">
        <f>IFERROR(INDIRECT("'C2'!B273"),"onglet absent")</f>
        <v>0</v>
      </c>
      <c r="L8" s="13" t="s">
        <v>1805</v>
      </c>
      <c r="M8" s="13">
        <f>IFERROR(INDIRECT("'C2'!B9"),"onglet absent")</f>
        <v>0</v>
      </c>
      <c r="N8" s="7">
        <f>IF(AND(B8&amp;""=C8&amp;"",D8&amp;""=E8&amp;"",ISNUMBER(G8),ABS(F8-N(G8))&lt;0.005,H8=I8,J8&amp;""=K8&amp;"",L8=M8),"Conforme","Écart")</f>
        <v>0</v>
      </c>
    </row>
    <row r="9" spans="1:14">
      <c r="A9" s="12" t="s">
        <v>136</v>
      </c>
      <c r="B9" s="15">
        <v>4</v>
      </c>
      <c r="C9" s="15">
        <f>IFERROR(INDIRECT("'C3'!B276"),"onglet absent")</f>
        <v>0</v>
      </c>
      <c r="D9" s="15">
        <v>7</v>
      </c>
      <c r="E9" s="15">
        <f>IFERROR(INDIRECT("'C3'!B239"),"onglet absent")</f>
        <v>0</v>
      </c>
      <c r="F9" s="18">
        <v>73.705</v>
      </c>
      <c r="G9" s="18">
        <f>IFERROR(INDIRECT("'C3'!B238"),"onglet absent")</f>
        <v>0</v>
      </c>
      <c r="H9" s="7" t="s">
        <v>1804</v>
      </c>
      <c r="I9" s="7">
        <f>IFERROR(INDIRECT("'C3'!B38"),"onglet absent")</f>
        <v>0</v>
      </c>
      <c r="J9" s="15">
        <v>4</v>
      </c>
      <c r="K9" s="15">
        <f>IFERROR(INDIRECT("'C3'!B273"),"onglet absent")</f>
        <v>0</v>
      </c>
      <c r="L9" s="13" t="s">
        <v>1805</v>
      </c>
      <c r="M9" s="13">
        <f>IFERROR(INDIRECT("'C3'!B9"),"onglet absent")</f>
        <v>0</v>
      </c>
      <c r="N9" s="7">
        <f>IF(AND(B9&amp;""=C9&amp;"",D9&amp;""=E9&amp;"",ISNUMBER(G9),ABS(F9-N(G9))&lt;0.005,H9=I9,J9&amp;""=K9&amp;"",L9=M9),"Conforme","Écart")</f>
        <v>0</v>
      </c>
    </row>
    <row r="10" spans="1:14">
      <c r="A10" s="12" t="s">
        <v>1692</v>
      </c>
      <c r="B10" s="15">
        <v>3</v>
      </c>
      <c r="C10" s="15">
        <f>IFERROR(INDIRECT("'C4A'!B276"),"onglet absent")</f>
        <v>0</v>
      </c>
      <c r="D10" s="15">
        <v>5</v>
      </c>
      <c r="E10" s="15">
        <f>IFERROR(INDIRECT("'C4A'!B239"),"onglet absent")</f>
        <v>0</v>
      </c>
      <c r="F10" s="18">
        <v>58.325</v>
      </c>
      <c r="G10" s="18">
        <f>IFERROR(INDIRECT("'C4A'!B238"),"onglet absent")</f>
        <v>0</v>
      </c>
      <c r="H10" s="7" t="s">
        <v>1804</v>
      </c>
      <c r="I10" s="7">
        <f>IFERROR(INDIRECT("'C4A'!B38"),"onglet absent")</f>
        <v>0</v>
      </c>
      <c r="J10" s="15">
        <v>3</v>
      </c>
      <c r="K10" s="15">
        <f>IFERROR(INDIRECT("'C4A'!B273"),"onglet absent")</f>
        <v>0</v>
      </c>
      <c r="L10" s="13" t="s">
        <v>1805</v>
      </c>
      <c r="M10" s="13">
        <f>IFERROR(INDIRECT("'C4A'!B9"),"onglet absent")</f>
        <v>0</v>
      </c>
      <c r="N10" s="7">
        <f>IF(AND(B10&amp;""=C10&amp;"",D10&amp;""=E10&amp;"",ISNUMBER(G10),ABS(F10-N(G10))&lt;0.005,H10=I10,J10&amp;""=K10&amp;"",L10=M10),"Conforme","Écart")</f>
        <v>0</v>
      </c>
    </row>
    <row r="11" spans="1:14">
      <c r="A11" s="12" t="s">
        <v>1693</v>
      </c>
      <c r="B11" s="15">
        <v>6</v>
      </c>
      <c r="C11" s="15">
        <f>IFERROR(INDIRECT("'C4B'!B276"),"onglet absent")</f>
        <v>0</v>
      </c>
      <c r="D11" s="15">
        <v>6</v>
      </c>
      <c r="E11" s="15">
        <f>IFERROR(INDIRECT("'C4B'!B239"),"onglet absent")</f>
        <v>0</v>
      </c>
      <c r="F11" s="18">
        <v>69.27500000000001</v>
      </c>
      <c r="G11" s="18">
        <f>IFERROR(INDIRECT("'C4B'!B238"),"onglet absent")</f>
        <v>0</v>
      </c>
      <c r="H11" s="7" t="s">
        <v>1804</v>
      </c>
      <c r="I11" s="7">
        <f>IFERROR(INDIRECT("'C4B'!B38"),"onglet absent")</f>
        <v>0</v>
      </c>
      <c r="J11" s="15">
        <v>10</v>
      </c>
      <c r="K11" s="15">
        <f>IFERROR(INDIRECT("'C4B'!B273"),"onglet absent")</f>
        <v>0</v>
      </c>
      <c r="L11" s="13" t="s">
        <v>1805</v>
      </c>
      <c r="M11" s="13">
        <f>IFERROR(INDIRECT("'C4B'!B9"),"onglet absent")</f>
        <v>0</v>
      </c>
      <c r="N11" s="7">
        <f>IF(AND(B11&amp;""=C11&amp;"",D11&amp;""=E11&amp;"",ISNUMBER(G11),ABS(F11-N(G11))&lt;0.005,H11=I11,J11&amp;""=K11&amp;"",L11=M11),"Conforme","Écart")</f>
        <v>0</v>
      </c>
    </row>
    <row r="12" spans="1:14">
      <c r="A12" s="12" t="s">
        <v>140</v>
      </c>
      <c r="B12" s="15">
        <v>6</v>
      </c>
      <c r="C12" s="15">
        <f>IFERROR(INDIRECT("'C5'!B276"),"onglet absent")</f>
        <v>0</v>
      </c>
      <c r="D12" s="15">
        <v>8</v>
      </c>
      <c r="E12" s="15">
        <f>IFERROR(INDIRECT("'C5'!B239"),"onglet absent")</f>
        <v>0</v>
      </c>
      <c r="F12" s="18">
        <v>83.825</v>
      </c>
      <c r="G12" s="18">
        <f>IFERROR(INDIRECT("'C5'!B238"),"onglet absent")</f>
        <v>0</v>
      </c>
      <c r="H12" s="7" t="s">
        <v>1806</v>
      </c>
      <c r="I12" s="7">
        <f>IFERROR(INDIRECT("'C5'!B38"),"onglet absent")</f>
        <v>0</v>
      </c>
      <c r="J12" s="15">
        <v>6</v>
      </c>
      <c r="K12" s="15">
        <f>IFERROR(INDIRECT("'C5'!B273"),"onglet absent")</f>
        <v>0</v>
      </c>
      <c r="L12" s="13" t="s">
        <v>1805</v>
      </c>
      <c r="M12" s="13">
        <f>IFERROR(INDIRECT("'C5'!B9"),"onglet absent")</f>
        <v>0</v>
      </c>
      <c r="N12" s="7">
        <f>IF(AND(B12&amp;""=C12&amp;"",D12&amp;""=E12&amp;"",ISNUMBER(G12),ABS(F12-N(G12))&lt;0.005,H12=I12,J12&amp;""=K12&amp;"",L12=M12),"Conforme","Écart")</f>
        <v>0</v>
      </c>
    </row>
    <row r="13" spans="1:14">
      <c r="A13" s="12" t="s">
        <v>21</v>
      </c>
      <c r="B13" s="15">
        <v>10</v>
      </c>
      <c r="C13" s="15">
        <f>IFERROR(INDIRECT("'ENR'!B276"),"onglet absent")</f>
        <v>0</v>
      </c>
      <c r="D13" s="15">
        <v>10</v>
      </c>
      <c r="E13" s="15">
        <f>IFERROR(INDIRECT("'ENR'!B239"),"onglet absent")</f>
        <v>0</v>
      </c>
      <c r="F13" s="18">
        <v>95.15000000000001</v>
      </c>
      <c r="G13" s="18">
        <f>IFERROR(INDIRECT("'ENR'!B238"),"onglet absent")</f>
        <v>0</v>
      </c>
      <c r="H13" s="7" t="s">
        <v>1807</v>
      </c>
      <c r="I13" s="7">
        <f>IFERROR(INDIRECT("'ENR'!B38"),"onglet absent")</f>
        <v>0</v>
      </c>
      <c r="J13" s="15">
        <v>10</v>
      </c>
      <c r="K13" s="15">
        <f>IFERROR(INDIRECT("'ENR'!B273"),"onglet absent")</f>
        <v>0</v>
      </c>
      <c r="L13" s="13" t="s">
        <v>1805</v>
      </c>
      <c r="M13" s="13">
        <f>IFERROR(INDIRECT("'ENR'!B9"),"onglet absent")</f>
        <v>0</v>
      </c>
      <c r="N13" s="7">
        <f>IF(AND(B13&amp;""=C13&amp;"",D13&amp;""=E13&amp;"",ISNUMBER(G13),ABS(F13-N(G13))&lt;0.005,H13=I13,J13&amp;""=K13&amp;"",L13=M13),"Conforme","Écart")</f>
        <v>0</v>
      </c>
    </row>
    <row r="14" spans="1:14">
      <c r="A14" s="12" t="s">
        <v>23</v>
      </c>
      <c r="B14" s="15">
        <v>7</v>
      </c>
      <c r="C14" s="15">
        <f>IFERROR(INDIRECT("'EAU'!B276"),"onglet absent")</f>
        <v>0</v>
      </c>
      <c r="D14" s="15">
        <v>7</v>
      </c>
      <c r="E14" s="15">
        <f>IFERROR(INDIRECT("'EAU'!B239"),"onglet absent")</f>
        <v>0</v>
      </c>
      <c r="F14" s="18">
        <v>76.02500000000001</v>
      </c>
      <c r="G14" s="18">
        <f>IFERROR(INDIRECT("'EAU'!B238"),"onglet absent")</f>
        <v>0</v>
      </c>
      <c r="H14" s="7" t="s">
        <v>1804</v>
      </c>
      <c r="I14" s="7">
        <f>IFERROR(INDIRECT("'EAU'!B38"),"onglet absent")</f>
        <v>0</v>
      </c>
      <c r="J14" s="15">
        <v>10</v>
      </c>
      <c r="K14" s="15">
        <f>IFERROR(INDIRECT("'EAU'!B273"),"onglet absent")</f>
        <v>0</v>
      </c>
      <c r="L14" s="13" t="s">
        <v>1805</v>
      </c>
      <c r="M14" s="13">
        <f>IFERROR(INDIRECT("'EAU'!B9"),"onglet absent")</f>
        <v>0</v>
      </c>
      <c r="N14" s="7">
        <f>IF(AND(B14&amp;""=C14&amp;"",D14&amp;""=E14&amp;"",ISNUMBER(G14),ABS(F14-N(G14))&lt;0.005,H14=I14,J14&amp;""=K14&amp;"",L14=M14),"Conforme","Écart")</f>
        <v>0</v>
      </c>
    </row>
    <row r="15" spans="1:14">
      <c r="A15" s="12" t="s">
        <v>25</v>
      </c>
      <c r="B15" s="15">
        <v>4</v>
      </c>
      <c r="C15" s="15">
        <f>IFERROR(INDIRECT("'TEL'!B276"),"onglet absent")</f>
        <v>0</v>
      </c>
      <c r="D15" s="15">
        <v>7</v>
      </c>
      <c r="E15" s="15">
        <f>IFERROR(INDIRECT("'TEL'!B239"),"onglet absent")</f>
        <v>0</v>
      </c>
      <c r="F15" s="18">
        <v>74.61</v>
      </c>
      <c r="G15" s="18">
        <f>IFERROR(INDIRECT("'TEL'!B238"),"onglet absent")</f>
        <v>0</v>
      </c>
      <c r="H15" s="7" t="s">
        <v>1804</v>
      </c>
      <c r="I15" s="7">
        <f>IFERROR(INDIRECT("'TEL'!B38"),"onglet absent")</f>
        <v>0</v>
      </c>
      <c r="J15" s="15">
        <v>4</v>
      </c>
      <c r="K15" s="15">
        <f>IFERROR(INDIRECT("'TEL'!B273"),"onglet absent")</f>
        <v>0</v>
      </c>
      <c r="L15" s="13" t="s">
        <v>1805</v>
      </c>
      <c r="M15" s="13">
        <f>IFERROR(INDIRECT("'TEL'!B9"),"onglet absent")</f>
        <v>0</v>
      </c>
      <c r="N15" s="7">
        <f>IF(AND(B15&amp;""=C15&amp;"",D15&amp;""=E15&amp;"",ISNUMBER(G15),ABS(F15-N(G15))&lt;0.005,H15=I15,J15&amp;""=K15&amp;"",L15=M15),"Conforme","Écart")</f>
        <v>0</v>
      </c>
    </row>
    <row r="16" spans="1:14">
      <c r="A16" s="12" t="s">
        <v>27</v>
      </c>
      <c r="B16" s="15">
        <v>5</v>
      </c>
      <c r="C16" s="15">
        <f>IFERROR(INDIRECT("'TRA'!B276"),"onglet absent")</f>
        <v>0</v>
      </c>
      <c r="D16" s="15">
        <v>6</v>
      </c>
      <c r="E16" s="15">
        <f>IFERROR(INDIRECT("'TRA'!B239"),"onglet absent")</f>
        <v>0</v>
      </c>
      <c r="F16" s="18">
        <v>70.875</v>
      </c>
      <c r="G16" s="18">
        <f>IFERROR(INDIRECT("'TRA'!B238"),"onglet absent")</f>
        <v>0</v>
      </c>
      <c r="H16" s="7" t="s">
        <v>1804</v>
      </c>
      <c r="I16" s="7">
        <f>IFERROR(INDIRECT("'TRA'!B38"),"onglet absent")</f>
        <v>0</v>
      </c>
      <c r="J16" s="15">
        <v>5</v>
      </c>
      <c r="K16" s="15">
        <f>IFERROR(INDIRECT("'TRA'!B273"),"onglet absent")</f>
        <v>0</v>
      </c>
      <c r="L16" s="13" t="s">
        <v>1805</v>
      </c>
      <c r="M16" s="13">
        <f>IFERROR(INDIRECT("'TRA'!B9"),"onglet absent")</f>
        <v>0</v>
      </c>
      <c r="N16" s="7">
        <f>IF(AND(B16&amp;""=C16&amp;"",D16&amp;""=E16&amp;"",ISNUMBER(G16),ABS(F16-N(G16))&lt;0.005,H16=I16,J16&amp;""=K16&amp;"",L16=M16),"Conforme","Écart")</f>
        <v>0</v>
      </c>
    </row>
    <row r="17" spans="1:14">
      <c r="A17" s="12" t="s">
        <v>29</v>
      </c>
      <c r="B17" s="15">
        <v>6</v>
      </c>
      <c r="C17" s="15">
        <f>IFERROR(INDIRECT("'POR'!B276"),"onglet absent")</f>
        <v>0</v>
      </c>
      <c r="D17" s="15">
        <v>6</v>
      </c>
      <c r="E17" s="15">
        <f>IFERROR(INDIRECT("'POR'!B239"),"onglet absent")</f>
        <v>0</v>
      </c>
      <c r="F17" s="18">
        <v>71.22499999999999</v>
      </c>
      <c r="G17" s="18">
        <f>IFERROR(INDIRECT("'POR'!B238"),"onglet absent")</f>
        <v>0</v>
      </c>
      <c r="H17" s="7" t="s">
        <v>1804</v>
      </c>
      <c r="I17" s="7">
        <f>IFERROR(INDIRECT("'POR'!B38"),"onglet absent")</f>
        <v>0</v>
      </c>
      <c r="J17" s="15">
        <v>6</v>
      </c>
      <c r="K17" s="15">
        <f>IFERROR(INDIRECT("'POR'!B273"),"onglet absent")</f>
        <v>0</v>
      </c>
      <c r="L17" s="13" t="s">
        <v>1808</v>
      </c>
      <c r="M17" s="13">
        <f>IFERROR(INDIRECT("'POR'!B9"),"onglet absent")</f>
        <v>0</v>
      </c>
      <c r="N17" s="7">
        <f>IF(AND(B17&amp;""=C17&amp;"",D17&amp;""=E17&amp;"",ISNUMBER(G17),ABS(F17-N(G17))&lt;0.005,H17=I17,J17&amp;""=K17&amp;"",L17=M17),"Conforme","Écart")</f>
        <v>0</v>
      </c>
    </row>
    <row r="18" spans="1:14">
      <c r="A18" s="12" t="s">
        <v>31</v>
      </c>
      <c r="B18" s="15">
        <v>6</v>
      </c>
      <c r="C18" s="15">
        <f>IFERROR(INDIRECT("'SAN'!B276"),"onglet absent")</f>
        <v>0</v>
      </c>
      <c r="D18" s="15">
        <v>7</v>
      </c>
      <c r="E18" s="15">
        <f>IFERROR(INDIRECT("'SAN'!B239"),"onglet absent")</f>
        <v>0</v>
      </c>
      <c r="F18" s="18">
        <v>77.34999999999999</v>
      </c>
      <c r="G18" s="18">
        <f>IFERROR(INDIRECT("'SAN'!B238"),"onglet absent")</f>
        <v>0</v>
      </c>
      <c r="H18" s="7" t="s">
        <v>1804</v>
      </c>
      <c r="I18" s="7">
        <f>IFERROR(INDIRECT("'SAN'!B38"),"onglet absent")</f>
        <v>0</v>
      </c>
      <c r="J18" s="15">
        <v>6</v>
      </c>
      <c r="K18" s="15">
        <f>IFERROR(INDIRECT("'SAN'!B273"),"onglet absent")</f>
        <v>0</v>
      </c>
      <c r="L18" s="13" t="s">
        <v>1809</v>
      </c>
      <c r="M18" s="13">
        <f>IFERROR(INDIRECT("'SAN'!B9"),"onglet absent")</f>
        <v>0</v>
      </c>
      <c r="N18" s="7">
        <f>IF(AND(B18&amp;""=C18&amp;"",D18&amp;""=E18&amp;"",ISNUMBER(G18),ABS(F18-N(G18))&lt;0.005,H18=I18,J18&amp;""=K18&amp;"",L18=M18),"Conforme","Écart")</f>
        <v>0</v>
      </c>
    </row>
    <row r="19" spans="1:14">
      <c r="A19" s="12" t="s">
        <v>33</v>
      </c>
      <c r="B19" s="15">
        <v>4</v>
      </c>
      <c r="C19" s="15">
        <f>IFERROR(INDIRECT("'ETH'!B276"),"onglet absent")</f>
        <v>0</v>
      </c>
      <c r="D19" s="15">
        <v>6</v>
      </c>
      <c r="E19" s="15">
        <f>IFERROR(INDIRECT("'ETH'!B239"),"onglet absent")</f>
        <v>0</v>
      </c>
      <c r="F19" s="18">
        <v>72.2</v>
      </c>
      <c r="G19" s="18">
        <f>IFERROR(INDIRECT("'ETH'!B238"),"onglet absent")</f>
        <v>0</v>
      </c>
      <c r="H19" s="7" t="s">
        <v>1804</v>
      </c>
      <c r="I19" s="7">
        <f>IFERROR(INDIRECT("'ETH'!B38"),"onglet absent")</f>
        <v>0</v>
      </c>
      <c r="J19" s="15">
        <v>4</v>
      </c>
      <c r="K19" s="15">
        <f>IFERROR(INDIRECT("'ETH'!B273"),"onglet absent")</f>
        <v>0</v>
      </c>
      <c r="L19" s="13" t="s">
        <v>1805</v>
      </c>
      <c r="M19" s="13">
        <f>IFERROR(INDIRECT("'ETH'!B9"),"onglet absent")</f>
        <v>0</v>
      </c>
      <c r="N19" s="7">
        <f>IF(AND(B19&amp;""=C19&amp;"",D19&amp;""=E19&amp;"",ISNUMBER(G19),ABS(F19-N(G19))&lt;0.005,H19=I19,J19&amp;""=K19&amp;"",L19=M19),"Conforme","Écart")</f>
        <v>0</v>
      </c>
    </row>
    <row r="20" spans="1:14">
      <c r="A20" s="12" t="s">
        <v>1694</v>
      </c>
      <c r="B20" s="15">
        <v>5</v>
      </c>
      <c r="C20" s="15">
        <f>IFERROR(INDIRECT("'IMMO'!B276"),"onglet absent")</f>
        <v>0</v>
      </c>
      <c r="D20" s="15">
        <v>6</v>
      </c>
      <c r="E20" s="15">
        <f>IFERROR(INDIRECT("'IMMO'!B239"),"onglet absent")</f>
        <v>0</v>
      </c>
      <c r="F20" s="18">
        <v>70.625</v>
      </c>
      <c r="G20" s="18">
        <f>IFERROR(INDIRECT("'IMMO'!B238"),"onglet absent")</f>
        <v>0</v>
      </c>
      <c r="H20" s="7" t="s">
        <v>1804</v>
      </c>
      <c r="I20" s="7">
        <f>IFERROR(INDIRECT("'IMMO'!B38"),"onglet absent")</f>
        <v>0</v>
      </c>
      <c r="J20" s="15">
        <v>5</v>
      </c>
      <c r="K20" s="15">
        <f>IFERROR(INDIRECT("'IMMO'!B273"),"onglet absent")</f>
        <v>0</v>
      </c>
      <c r="L20" s="13" t="s">
        <v>1805</v>
      </c>
      <c r="M20" s="13">
        <f>IFERROR(INDIRECT("'IMMO'!B9"),"onglet absent")</f>
        <v>0</v>
      </c>
      <c r="N20" s="7">
        <f>IF(AND(B20&amp;""=C20&amp;"",D20&amp;""=E20&amp;"",ISNUMBER(G20),ABS(F20-N(G20))&lt;0.005,H20=I20,J20&amp;""=K20&amp;"",L20=M20),"Conforme","Écart")</f>
        <v>0</v>
      </c>
    </row>
    <row r="21" spans="1:14">
      <c r="A21" s="12" t="s">
        <v>37</v>
      </c>
      <c r="B21" s="15">
        <v>5</v>
      </c>
      <c r="C21" s="15">
        <f>IFERROR(INDIRECT("'IND'!B276"),"onglet absent")</f>
        <v>0</v>
      </c>
      <c r="D21" s="15">
        <v>6</v>
      </c>
      <c r="E21" s="15">
        <f>IFERROR(INDIRECT("'IND'!B239"),"onglet absent")</f>
        <v>0</v>
      </c>
      <c r="F21" s="18">
        <v>68.3</v>
      </c>
      <c r="G21" s="18">
        <f>IFERROR(INDIRECT("'IND'!B238"),"onglet absent")</f>
        <v>0</v>
      </c>
      <c r="H21" s="7" t="s">
        <v>1804</v>
      </c>
      <c r="I21" s="7">
        <f>IFERROR(INDIRECT("'IND'!B38"),"onglet absent")</f>
        <v>0</v>
      </c>
      <c r="J21" s="15">
        <v>5</v>
      </c>
      <c r="K21" s="15">
        <f>IFERROR(INDIRECT("'IND'!B273"),"onglet absent")</f>
        <v>0</v>
      </c>
      <c r="L21" s="13" t="s">
        <v>1810</v>
      </c>
      <c r="M21" s="13">
        <f>IFERROR(INDIRECT("'IND'!B9"),"onglet absent")</f>
        <v>0</v>
      </c>
      <c r="N21" s="7">
        <f>IF(AND(B21&amp;""=C21&amp;"",D21&amp;""=E21&amp;"",ISNUMBER(G21),ABS(F21-N(G21))&lt;0.005,H21=I21,J21&amp;""=K21&amp;"",L21=M21),"Conforme","Écart")</f>
        <v>0</v>
      </c>
    </row>
    <row r="22" spans="1:14">
      <c r="A22" s="12" t="s">
        <v>39</v>
      </c>
      <c r="B22" s="15">
        <v>8</v>
      </c>
      <c r="C22" s="15">
        <f>IFERROR(INDIRECT("'AGR'!B276"),"onglet absent")</f>
        <v>0</v>
      </c>
      <c r="D22" s="15">
        <v>8</v>
      </c>
      <c r="E22" s="15">
        <f>IFERROR(INDIRECT("'AGR'!B239"),"onglet absent")</f>
        <v>0</v>
      </c>
      <c r="F22" s="18">
        <v>81.125</v>
      </c>
      <c r="G22" s="18">
        <f>IFERROR(INDIRECT("'AGR'!B238"),"onglet absent")</f>
        <v>0</v>
      </c>
      <c r="H22" s="7" t="s">
        <v>1806</v>
      </c>
      <c r="I22" s="7">
        <f>IFERROR(INDIRECT("'AGR'!B38"),"onglet absent")</f>
        <v>0</v>
      </c>
      <c r="J22" s="15">
        <v>10</v>
      </c>
      <c r="K22" s="15">
        <f>IFERROR(INDIRECT("'AGR'!B273"),"onglet absent")</f>
        <v>0</v>
      </c>
      <c r="L22" s="13" t="s">
        <v>1805</v>
      </c>
      <c r="M22" s="13">
        <f>IFERROR(INDIRECT("'AGR'!B9"),"onglet absent")</f>
        <v>0</v>
      </c>
      <c r="N22" s="7">
        <f>IF(AND(B22&amp;""=C22&amp;"",D22&amp;""=E22&amp;"",ISNUMBER(G22),ABS(F22-N(G22))&lt;0.005,H22=I22,J22&amp;""=K22&amp;"",L22=M22),"Conforme","Écart")</f>
        <v>0</v>
      </c>
    </row>
    <row r="23" spans="1:14">
      <c r="A23" s="12" t="s">
        <v>41</v>
      </c>
      <c r="B23" s="15">
        <v>3</v>
      </c>
      <c r="C23" s="15">
        <f>IFERROR(INDIRECT("'TOU'!B276"),"onglet absent")</f>
        <v>0</v>
      </c>
      <c r="D23" s="15">
        <v>4</v>
      </c>
      <c r="E23" s="15">
        <f>IFERROR(INDIRECT("'TOU'!B239"),"onglet absent")</f>
        <v>0</v>
      </c>
      <c r="F23" s="18">
        <v>57.98</v>
      </c>
      <c r="G23" s="18">
        <f>IFERROR(INDIRECT("'TOU'!B238"),"onglet absent")</f>
        <v>0</v>
      </c>
      <c r="H23" s="7" t="s">
        <v>1804</v>
      </c>
      <c r="I23" s="7">
        <f>IFERROR(INDIRECT("'TOU'!B38"),"onglet absent")</f>
        <v>0</v>
      </c>
      <c r="J23" s="15">
        <v>3</v>
      </c>
      <c r="K23" s="15">
        <f>IFERROR(INDIRECT("'TOU'!B273"),"onglet absent")</f>
        <v>0</v>
      </c>
      <c r="L23" s="13" t="s">
        <v>1725</v>
      </c>
      <c r="M23" s="13">
        <f>IFERROR(INDIRECT("'TOU'!B9"),"onglet absent")</f>
        <v>0</v>
      </c>
      <c r="N23" s="7">
        <f>IF(AND(B23&amp;""=C23&amp;"",D23&amp;""=E23&amp;"",ISNUMBER(G23),ABS(F23-N(G23))&lt;0.005,H23=I23,J23&amp;""=K23&amp;"",L23=M23),"Conforme","Écart")</f>
        <v>0</v>
      </c>
    </row>
    <row r="24" spans="1:14">
      <c r="A24" s="12" t="s">
        <v>43</v>
      </c>
      <c r="B24" s="15" t="s">
        <v>1811</v>
      </c>
      <c r="C24" s="15">
        <f>IFERROR(INDIRECT("'MIN'!B276"),"onglet absent")</f>
        <v>0</v>
      </c>
      <c r="D24" s="15">
        <v>4</v>
      </c>
      <c r="E24" s="15">
        <f>IFERROR(INDIRECT("'MIN'!B239"),"onglet absent")</f>
        <v>0</v>
      </c>
      <c r="F24" s="18">
        <v>52.925</v>
      </c>
      <c r="G24" s="18">
        <f>IFERROR(INDIRECT("'MIN'!B238"),"onglet absent")</f>
        <v>0</v>
      </c>
      <c r="H24" s="7" t="s">
        <v>1804</v>
      </c>
      <c r="I24" s="7">
        <f>IFERROR(INDIRECT("'MIN'!B38"),"onglet absent")</f>
        <v>0</v>
      </c>
      <c r="J24" s="15">
        <v>4</v>
      </c>
      <c r="K24" s="15">
        <f>IFERROR(INDIRECT("'MIN'!B273"),"onglet absent")</f>
        <v>0</v>
      </c>
      <c r="L24" s="13" t="s">
        <v>1812</v>
      </c>
      <c r="M24" s="13">
        <f>IFERROR(INDIRECT("'MIN'!B9"),"onglet absent")</f>
        <v>0</v>
      </c>
      <c r="N24" s="7">
        <f>IF(AND(B24&amp;""=C24&amp;"",D24&amp;""=E24&amp;"",ISNUMBER(G24),ABS(F24-N(G24))&lt;0.005,H24=I24,J24&amp;""=K24&amp;"",L24=M24),"Conforme","Écart")</f>
        <v>0</v>
      </c>
    </row>
    <row r="26" spans="1:14" ht="30" customHeight="1">
      <c r="A26" s="4" t="s">
        <v>1814</v>
      </c>
      <c r="B26" s="4"/>
      <c r="C26" s="4"/>
      <c r="D26" s="4"/>
      <c r="E26" s="4"/>
      <c r="F26" s="4"/>
      <c r="G26" s="4"/>
      <c r="H26" s="4"/>
      <c r="I26" s="4"/>
      <c r="J26" s="4"/>
      <c r="K26" s="4"/>
      <c r="L26" s="4"/>
      <c r="M26" s="4"/>
      <c r="N26" s="4"/>
    </row>
  </sheetData>
  <sheetProtection sheet="1" objects="1" scenarios="1" formatColumns="0" formatRows="0"/>
  <mergeCells count="1">
    <mergeCell ref="A26:N26"/>
  </mergeCells>
  <conditionalFormatting sqref="B4">
    <cfRule type="expression" dxfId="1" priority="37">
      <formula>COUNTIF(N7:N24,"Conforme")=18</formula>
    </cfRule>
    <cfRule type="expression" dxfId="0" priority="38">
      <formula>COUNTIF(N7:N24,"Conforme")&lt;18</formula>
    </cfRule>
  </conditionalFormatting>
  <conditionalFormatting sqref="N10">
    <cfRule type="cellIs" dxfId="1" priority="7" operator="equal">
      <formula>"Conforme"</formula>
    </cfRule>
    <cfRule type="cellIs" dxfId="0" priority="8" operator="equal">
      <formula>"Écart"</formula>
    </cfRule>
  </conditionalFormatting>
  <conditionalFormatting sqref="N11">
    <cfRule type="cellIs" dxfId="1" priority="9" operator="equal">
      <formula>"Conforme"</formula>
    </cfRule>
    <cfRule type="cellIs" dxfId="0" priority="10" operator="equal">
      <formula>"Écart"</formula>
    </cfRule>
  </conditionalFormatting>
  <conditionalFormatting sqref="N12">
    <cfRule type="cellIs" dxfId="1" priority="11" operator="equal">
      <formula>"Conforme"</formula>
    </cfRule>
    <cfRule type="cellIs" dxfId="0" priority="12" operator="equal">
      <formula>"Écart"</formula>
    </cfRule>
  </conditionalFormatting>
  <conditionalFormatting sqref="N13">
    <cfRule type="cellIs" dxfId="1" priority="13" operator="equal">
      <formula>"Conforme"</formula>
    </cfRule>
    <cfRule type="cellIs" dxfId="0" priority="14" operator="equal">
      <formula>"Écart"</formula>
    </cfRule>
  </conditionalFormatting>
  <conditionalFormatting sqref="N14">
    <cfRule type="cellIs" dxfId="1" priority="15" operator="equal">
      <formula>"Conforme"</formula>
    </cfRule>
    <cfRule type="cellIs" dxfId="0" priority="16" operator="equal">
      <formula>"Écart"</formula>
    </cfRule>
  </conditionalFormatting>
  <conditionalFormatting sqref="N15">
    <cfRule type="cellIs" dxfId="1" priority="17" operator="equal">
      <formula>"Conforme"</formula>
    </cfRule>
    <cfRule type="cellIs" dxfId="0" priority="18" operator="equal">
      <formula>"Écart"</formula>
    </cfRule>
  </conditionalFormatting>
  <conditionalFormatting sqref="N16">
    <cfRule type="cellIs" dxfId="1" priority="19" operator="equal">
      <formula>"Conforme"</formula>
    </cfRule>
    <cfRule type="cellIs" dxfId="0" priority="20" operator="equal">
      <formula>"Écart"</formula>
    </cfRule>
  </conditionalFormatting>
  <conditionalFormatting sqref="N17">
    <cfRule type="cellIs" dxfId="1" priority="21" operator="equal">
      <formula>"Conforme"</formula>
    </cfRule>
    <cfRule type="cellIs" dxfId="0" priority="22" operator="equal">
      <formula>"Écart"</formula>
    </cfRule>
  </conditionalFormatting>
  <conditionalFormatting sqref="N18">
    <cfRule type="cellIs" dxfId="1" priority="23" operator="equal">
      <formula>"Conforme"</formula>
    </cfRule>
    <cfRule type="cellIs" dxfId="0" priority="24" operator="equal">
      <formula>"Écart"</formula>
    </cfRule>
  </conditionalFormatting>
  <conditionalFormatting sqref="N19">
    <cfRule type="cellIs" dxfId="1" priority="25" operator="equal">
      <formula>"Conforme"</formula>
    </cfRule>
    <cfRule type="cellIs" dxfId="0" priority="26" operator="equal">
      <formula>"Écart"</formula>
    </cfRule>
  </conditionalFormatting>
  <conditionalFormatting sqref="N20">
    <cfRule type="cellIs" dxfId="1" priority="27" operator="equal">
      <formula>"Conforme"</formula>
    </cfRule>
    <cfRule type="cellIs" dxfId="0" priority="28" operator="equal">
      <formula>"Écart"</formula>
    </cfRule>
  </conditionalFormatting>
  <conditionalFormatting sqref="N21">
    <cfRule type="cellIs" dxfId="1" priority="29" operator="equal">
      <formula>"Conforme"</formula>
    </cfRule>
    <cfRule type="cellIs" dxfId="0" priority="30" operator="equal">
      <formula>"Écart"</formula>
    </cfRule>
  </conditionalFormatting>
  <conditionalFormatting sqref="N22">
    <cfRule type="cellIs" dxfId="1" priority="31" operator="equal">
      <formula>"Conforme"</formula>
    </cfRule>
    <cfRule type="cellIs" dxfId="0" priority="32" operator="equal">
      <formula>"Écart"</formula>
    </cfRule>
  </conditionalFormatting>
  <conditionalFormatting sqref="N23">
    <cfRule type="cellIs" dxfId="1" priority="33" operator="equal">
      <formula>"Conforme"</formula>
    </cfRule>
    <cfRule type="cellIs" dxfId="0" priority="34" operator="equal">
      <formula>"Écart"</formula>
    </cfRule>
  </conditionalFormatting>
  <conditionalFormatting sqref="N24">
    <cfRule type="cellIs" dxfId="1" priority="35" operator="equal">
      <formula>"Conforme"</formula>
    </cfRule>
    <cfRule type="cellIs" dxfId="0" priority="36" operator="equal">
      <formula>"Écart"</formula>
    </cfRule>
  </conditionalFormatting>
  <conditionalFormatting sqref="N7">
    <cfRule type="cellIs" dxfId="1" priority="1" operator="equal">
      <formula>"Conforme"</formula>
    </cfRule>
    <cfRule type="cellIs" dxfId="0" priority="2" operator="equal">
      <formula>"Écart"</formula>
    </cfRule>
  </conditionalFormatting>
  <conditionalFormatting sqref="N8">
    <cfRule type="cellIs" dxfId="1" priority="3" operator="equal">
      <formula>"Conforme"</formula>
    </cfRule>
    <cfRule type="cellIs" dxfId="0" priority="4" operator="equal">
      <formula>"Écart"</formula>
    </cfRule>
  </conditionalFormatting>
  <conditionalFormatting sqref="N9">
    <cfRule type="cellIs" dxfId="1" priority="5" operator="equal">
      <formula>"Conforme"</formula>
    </cfRule>
    <cfRule type="cellIs" dxfId="0" priority="6" operator="equal">
      <formula>"Écart"</formula>
    </cfRule>
  </conditionalFormatting>
  <hyperlinks>
    <hyperlink ref="A7" location="'C1'!A1" display="C1"/>
    <hyperlink ref="A8" location="'C2'!A1" display="C2"/>
    <hyperlink ref="A9" location="'C3'!A1" display="C3"/>
    <hyperlink ref="A10" location="'C4A'!A1" display="C4A"/>
    <hyperlink ref="A11" location="'C4B'!A1" display="C4B"/>
    <hyperlink ref="A12" location="'C5'!A1" display="C5"/>
    <hyperlink ref="A13" location="'ENR'!A1" display="ENR"/>
    <hyperlink ref="A14" location="'EAU'!A1" display="EAU"/>
    <hyperlink ref="A15" location="'TEL'!A1" display="TEL"/>
    <hyperlink ref="A16" location="'TRA'!A1" display="TRA"/>
    <hyperlink ref="A17" location="'POR'!A1" display="POR"/>
    <hyperlink ref="A18" location="'SAN'!A1" display="SAN"/>
    <hyperlink ref="A19" location="'ETH'!A1" display="ETH"/>
    <hyperlink ref="A20" location="'IMMO'!A1" display="IMMO"/>
    <hyperlink ref="A21" location="'IND'!A1" display="IND"/>
    <hyperlink ref="A22" location="'AGR'!A1" display="AGR"/>
    <hyperlink ref="A23" location="'TOU'!A1" display="TOU"/>
    <hyperlink ref="A24" location="'MIN'!A1" display="MIN"/>
  </hyperlinks>
  <pageMargins left="0.7" right="0.7" top="0.75" bottom="0.75" header="0.3" footer="0.3"/>
  <pageSetup paperSize="9" orientation="landscape"/>
</worksheet>
</file>

<file path=xl/worksheets/sheet27.xml><?xml version="1.0" encoding="utf-8"?>
<worksheet xmlns="http://schemas.openxmlformats.org/spreadsheetml/2006/main" xmlns:r="http://schemas.openxmlformats.org/officeDocument/2006/relationships">
  <dimension ref="A1:E472"/>
  <sheetViews>
    <sheetView workbookViewId="0">
      <pane xSplit="1" ySplit="11" topLeftCell="B12" activePane="bottomRight" state="frozen"/>
      <selection pane="topRight" activeCell="B1" sqref="B1"/>
      <selection pane="bottomLeft" activeCell="A12" sqref="A12"/>
      <selection pane="bottomRight"/>
    </sheetView>
  </sheetViews>
  <sheetFormatPr defaultRowHeight="15"/>
  <cols>
    <col min="1" max="1" width="26.7109375" customWidth="1"/>
    <col min="2" max="2" width="52.7109375" customWidth="1"/>
    <col min="3" max="3" width="9.7109375" customWidth="1"/>
    <col min="4" max="4" width="18.7109375" customWidth="1"/>
    <col min="5" max="5" width="60.7109375" customWidth="1"/>
  </cols>
  <sheetData>
    <row r="1" spans="1:5">
      <c r="A1" s="1" t="s">
        <v>1815</v>
      </c>
    </row>
    <row r="2" spans="1:5">
      <c r="A2" s="2" t="s">
        <v>1816</v>
      </c>
    </row>
    <row r="4" spans="1:5">
      <c r="A4" s="21" t="s">
        <v>1817</v>
      </c>
      <c r="B4" s="4" t="s">
        <v>1818</v>
      </c>
    </row>
    <row r="5" spans="1:5">
      <c r="A5" s="21" t="s">
        <v>1819</v>
      </c>
      <c r="B5" s="4" t="s">
        <v>1820</v>
      </c>
    </row>
    <row r="6" spans="1:5">
      <c r="A6" s="21" t="s">
        <v>1821</v>
      </c>
      <c r="B6" s="4" t="s">
        <v>1822</v>
      </c>
    </row>
    <row r="7" spans="1:5">
      <c r="A7" s="21" t="s">
        <v>1823</v>
      </c>
      <c r="B7" s="4" t="s">
        <v>1824</v>
      </c>
    </row>
    <row r="8" spans="1:5">
      <c r="A8" s="21" t="s">
        <v>1825</v>
      </c>
      <c r="B8" s="4" t="s">
        <v>1826</v>
      </c>
    </row>
    <row r="11" spans="1:5">
      <c r="A11" s="11" t="s">
        <v>203</v>
      </c>
      <c r="B11" s="11" t="s">
        <v>4</v>
      </c>
      <c r="C11" s="11" t="s">
        <v>1827</v>
      </c>
      <c r="D11" s="11" t="s">
        <v>1828</v>
      </c>
      <c r="E11" s="11" t="s">
        <v>1829</v>
      </c>
    </row>
    <row r="12" spans="1:5">
      <c r="A12" s="17" t="s">
        <v>1830</v>
      </c>
      <c r="B12" s="17" t="s">
        <v>1695</v>
      </c>
      <c r="C12" s="7" t="s">
        <v>1696</v>
      </c>
      <c r="D12" s="17" t="s">
        <v>805</v>
      </c>
      <c r="E12" s="13" t="s">
        <v>744</v>
      </c>
    </row>
    <row r="13" spans="1:5">
      <c r="A13" s="17" t="s">
        <v>1831</v>
      </c>
      <c r="B13" s="17" t="s">
        <v>1738</v>
      </c>
      <c r="C13" s="7" t="s">
        <v>1832</v>
      </c>
      <c r="D13" s="17" t="s">
        <v>805</v>
      </c>
      <c r="E13" s="13" t="s">
        <v>744</v>
      </c>
    </row>
    <row r="14" spans="1:5">
      <c r="A14" s="17" t="s">
        <v>1833</v>
      </c>
      <c r="B14" s="17" t="s">
        <v>1834</v>
      </c>
      <c r="C14" s="7" t="s">
        <v>1835</v>
      </c>
      <c r="D14" s="17" t="s">
        <v>805</v>
      </c>
      <c r="E14" s="13" t="s">
        <v>744</v>
      </c>
    </row>
    <row r="15" spans="1:5">
      <c r="A15" s="17" t="s">
        <v>1836</v>
      </c>
      <c r="B15" s="17" t="s">
        <v>1697</v>
      </c>
      <c r="C15" s="7" t="s">
        <v>1073</v>
      </c>
      <c r="D15" s="17" t="s">
        <v>1837</v>
      </c>
      <c r="E15" s="13" t="s">
        <v>1838</v>
      </c>
    </row>
    <row r="16" spans="1:5">
      <c r="A16" s="17" t="s">
        <v>1839</v>
      </c>
      <c r="B16" s="17" t="s">
        <v>1840</v>
      </c>
      <c r="C16" s="7" t="s">
        <v>1075</v>
      </c>
      <c r="D16" s="17" t="s">
        <v>1839</v>
      </c>
      <c r="E16" s="13" t="s">
        <v>1841</v>
      </c>
    </row>
    <row r="17" spans="1:5">
      <c r="A17" s="17" t="s">
        <v>1842</v>
      </c>
      <c r="B17" s="17" t="s">
        <v>835</v>
      </c>
      <c r="C17" s="7" t="s">
        <v>1077</v>
      </c>
      <c r="D17" s="17" t="s">
        <v>1843</v>
      </c>
      <c r="E17" s="13" t="s">
        <v>1844</v>
      </c>
    </row>
    <row r="18" spans="1:5">
      <c r="A18" s="17" t="s">
        <v>1845</v>
      </c>
      <c r="B18" s="17" t="s">
        <v>1699</v>
      </c>
      <c r="C18" s="7" t="s">
        <v>1079</v>
      </c>
      <c r="D18" s="17" t="s">
        <v>1846</v>
      </c>
      <c r="E18" s="13" t="s">
        <v>1847</v>
      </c>
    </row>
    <row r="19" spans="1:5">
      <c r="A19" s="17" t="s">
        <v>1848</v>
      </c>
      <c r="B19" s="17" t="s">
        <v>1849</v>
      </c>
      <c r="C19" s="7" t="s">
        <v>1081</v>
      </c>
      <c r="D19" s="17" t="s">
        <v>1850</v>
      </c>
      <c r="E19" s="13" t="s">
        <v>1851</v>
      </c>
    </row>
    <row r="20" spans="1:5">
      <c r="A20" s="17" t="s">
        <v>1852</v>
      </c>
      <c r="B20" s="17" t="s">
        <v>46</v>
      </c>
      <c r="C20" s="7" t="s">
        <v>1083</v>
      </c>
      <c r="D20" s="17" t="s">
        <v>1853</v>
      </c>
      <c r="E20" s="13" t="s">
        <v>1854</v>
      </c>
    </row>
    <row r="21" spans="1:5">
      <c r="A21" s="17" t="s">
        <v>1855</v>
      </c>
      <c r="B21" s="17" t="s">
        <v>1856</v>
      </c>
      <c r="C21" s="7" t="s">
        <v>1085</v>
      </c>
      <c r="D21" s="17" t="s">
        <v>1857</v>
      </c>
      <c r="E21" s="13" t="s">
        <v>1858</v>
      </c>
    </row>
    <row r="22" spans="1:5">
      <c r="A22" s="17" t="s">
        <v>1859</v>
      </c>
      <c r="B22" s="17" t="s">
        <v>848</v>
      </c>
      <c r="C22" s="7" t="s">
        <v>1087</v>
      </c>
      <c r="D22" s="17" t="s">
        <v>1860</v>
      </c>
      <c r="E22" s="13" t="s">
        <v>744</v>
      </c>
    </row>
    <row r="23" spans="1:5">
      <c r="A23" s="17" t="s">
        <v>1861</v>
      </c>
      <c r="B23" s="17" t="s">
        <v>1862</v>
      </c>
      <c r="C23" s="7" t="s">
        <v>1089</v>
      </c>
      <c r="D23" s="17" t="s">
        <v>1863</v>
      </c>
      <c r="E23" s="13" t="s">
        <v>1864</v>
      </c>
    </row>
    <row r="24" spans="1:5">
      <c r="A24" s="17" t="s">
        <v>1865</v>
      </c>
      <c r="B24" s="17" t="s">
        <v>850</v>
      </c>
      <c r="C24" s="7" t="s">
        <v>1091</v>
      </c>
      <c r="D24" s="17" t="s">
        <v>1860</v>
      </c>
      <c r="E24" s="13" t="s">
        <v>744</v>
      </c>
    </row>
    <row r="25" spans="1:5">
      <c r="A25" s="17" t="s">
        <v>1866</v>
      </c>
      <c r="B25" s="17" t="s">
        <v>1867</v>
      </c>
      <c r="C25" s="7" t="s">
        <v>1093</v>
      </c>
      <c r="D25" s="17" t="s">
        <v>1863</v>
      </c>
      <c r="E25" s="13" t="s">
        <v>1864</v>
      </c>
    </row>
    <row r="26" spans="1:5">
      <c r="A26" s="17" t="s">
        <v>1868</v>
      </c>
      <c r="B26" s="17" t="s">
        <v>1869</v>
      </c>
      <c r="C26" s="7" t="s">
        <v>1095</v>
      </c>
      <c r="D26" s="17" t="s">
        <v>1863</v>
      </c>
      <c r="E26" s="13" t="s">
        <v>1864</v>
      </c>
    </row>
    <row r="27" spans="1:5">
      <c r="A27" s="17" t="s">
        <v>1870</v>
      </c>
      <c r="B27" s="17" t="s">
        <v>1871</v>
      </c>
      <c r="C27" s="7" t="s">
        <v>1097</v>
      </c>
      <c r="D27" s="17" t="s">
        <v>1863</v>
      </c>
      <c r="E27" s="13" t="s">
        <v>1864</v>
      </c>
    </row>
    <row r="28" spans="1:5">
      <c r="A28" s="17" t="s">
        <v>1872</v>
      </c>
      <c r="B28" s="17" t="s">
        <v>1873</v>
      </c>
      <c r="C28" s="7" t="s">
        <v>1099</v>
      </c>
      <c r="D28" s="17" t="s">
        <v>1863</v>
      </c>
      <c r="E28" s="13" t="s">
        <v>1864</v>
      </c>
    </row>
    <row r="29" spans="1:5">
      <c r="A29" s="17" t="s">
        <v>1874</v>
      </c>
      <c r="B29" s="17" t="s">
        <v>1875</v>
      </c>
      <c r="C29" s="7" t="s">
        <v>1101</v>
      </c>
      <c r="D29" s="17" t="s">
        <v>1863</v>
      </c>
      <c r="E29" s="13" t="s">
        <v>1864</v>
      </c>
    </row>
    <row r="30" spans="1:5">
      <c r="A30" s="17" t="s">
        <v>1876</v>
      </c>
      <c r="B30" s="17" t="s">
        <v>1877</v>
      </c>
      <c r="C30" s="7" t="s">
        <v>1103</v>
      </c>
      <c r="D30" s="17" t="s">
        <v>1863</v>
      </c>
      <c r="E30" s="13" t="s">
        <v>1864</v>
      </c>
    </row>
    <row r="31" spans="1:5">
      <c r="A31" s="17" t="s">
        <v>1878</v>
      </c>
      <c r="B31" s="17" t="s">
        <v>1879</v>
      </c>
      <c r="C31" s="7" t="s">
        <v>1105</v>
      </c>
      <c r="D31" s="17" t="s">
        <v>1863</v>
      </c>
      <c r="E31" s="13" t="s">
        <v>1864</v>
      </c>
    </row>
    <row r="32" spans="1:5">
      <c r="A32" s="17" t="s">
        <v>1880</v>
      </c>
      <c r="B32" s="17" t="s">
        <v>858</v>
      </c>
      <c r="C32" s="7" t="s">
        <v>1107</v>
      </c>
      <c r="D32" s="17" t="s">
        <v>1860</v>
      </c>
      <c r="E32" s="13" t="s">
        <v>744</v>
      </c>
    </row>
    <row r="33" spans="1:5">
      <c r="A33" s="17" t="s">
        <v>1881</v>
      </c>
      <c r="B33" s="17" t="s">
        <v>1882</v>
      </c>
      <c r="C33" s="7" t="s">
        <v>1883</v>
      </c>
      <c r="D33" s="17" t="s">
        <v>805</v>
      </c>
      <c r="E33" s="13" t="s">
        <v>744</v>
      </c>
    </row>
    <row r="34" spans="1:5">
      <c r="A34" s="17" t="s">
        <v>1884</v>
      </c>
      <c r="B34" s="17" t="s">
        <v>1885</v>
      </c>
      <c r="C34" s="7" t="s">
        <v>1109</v>
      </c>
      <c r="D34" s="17" t="s">
        <v>1860</v>
      </c>
      <c r="E34" s="13" t="s">
        <v>744</v>
      </c>
    </row>
    <row r="35" spans="1:5">
      <c r="A35" s="17" t="s">
        <v>1886</v>
      </c>
      <c r="B35" s="17" t="s">
        <v>1887</v>
      </c>
      <c r="C35" s="7" t="s">
        <v>1888</v>
      </c>
      <c r="D35" s="17" t="s">
        <v>805</v>
      </c>
      <c r="E35" s="13" t="s">
        <v>744</v>
      </c>
    </row>
    <row r="36" spans="1:5">
      <c r="A36" s="17" t="s">
        <v>1889</v>
      </c>
      <c r="B36" s="17" t="s">
        <v>1890</v>
      </c>
      <c r="C36" s="7" t="s">
        <v>1891</v>
      </c>
      <c r="D36" s="17" t="s">
        <v>1860</v>
      </c>
      <c r="E36" s="13" t="s">
        <v>744</v>
      </c>
    </row>
    <row r="37" spans="1:5">
      <c r="A37" s="17" t="s">
        <v>1892</v>
      </c>
      <c r="B37" s="17" t="s">
        <v>1893</v>
      </c>
      <c r="C37" s="7" t="s">
        <v>1894</v>
      </c>
      <c r="D37" s="17" t="s">
        <v>805</v>
      </c>
      <c r="E37" s="13" t="s">
        <v>744</v>
      </c>
    </row>
    <row r="38" spans="1:5">
      <c r="A38" s="17" t="s">
        <v>1895</v>
      </c>
      <c r="B38" s="17" t="s">
        <v>1896</v>
      </c>
      <c r="C38" s="7" t="s">
        <v>1897</v>
      </c>
      <c r="D38" s="17" t="s">
        <v>1860</v>
      </c>
      <c r="E38" s="13" t="s">
        <v>744</v>
      </c>
    </row>
    <row r="39" spans="1:5">
      <c r="A39" s="17" t="s">
        <v>1898</v>
      </c>
      <c r="B39" s="17" t="s">
        <v>1899</v>
      </c>
      <c r="C39" s="7" t="s">
        <v>1900</v>
      </c>
      <c r="D39" s="17" t="s">
        <v>805</v>
      </c>
      <c r="E39" s="13" t="s">
        <v>744</v>
      </c>
    </row>
    <row r="40" spans="1:5">
      <c r="A40" s="17" t="s">
        <v>1901</v>
      </c>
      <c r="B40" s="17" t="s">
        <v>1902</v>
      </c>
      <c r="C40" s="7" t="s">
        <v>1903</v>
      </c>
      <c r="D40" s="17" t="s">
        <v>1860</v>
      </c>
      <c r="E40" s="13" t="s">
        <v>744</v>
      </c>
    </row>
    <row r="41" spans="1:5">
      <c r="A41" s="17" t="s">
        <v>1904</v>
      </c>
      <c r="B41" s="17" t="s">
        <v>1905</v>
      </c>
      <c r="C41" s="7" t="s">
        <v>1906</v>
      </c>
      <c r="D41" s="17" t="s">
        <v>805</v>
      </c>
      <c r="E41" s="13" t="s">
        <v>744</v>
      </c>
    </row>
    <row r="42" spans="1:5">
      <c r="A42" s="17" t="s">
        <v>1907</v>
      </c>
      <c r="B42" s="17" t="s">
        <v>1908</v>
      </c>
      <c r="C42" s="7" t="s">
        <v>1909</v>
      </c>
      <c r="D42" s="17" t="s">
        <v>1860</v>
      </c>
      <c r="E42" s="13" t="s">
        <v>744</v>
      </c>
    </row>
    <row r="43" spans="1:5">
      <c r="A43" s="17" t="s">
        <v>1910</v>
      </c>
      <c r="B43" s="17" t="s">
        <v>1911</v>
      </c>
      <c r="C43" s="7" t="s">
        <v>1912</v>
      </c>
      <c r="D43" s="17" t="s">
        <v>805</v>
      </c>
      <c r="E43" s="13" t="s">
        <v>744</v>
      </c>
    </row>
    <row r="44" spans="1:5">
      <c r="A44" s="17" t="s">
        <v>1913</v>
      </c>
      <c r="B44" s="17" t="s">
        <v>1914</v>
      </c>
      <c r="C44" s="7" t="s">
        <v>1915</v>
      </c>
      <c r="D44" s="17" t="s">
        <v>1860</v>
      </c>
      <c r="E44" s="13" t="s">
        <v>744</v>
      </c>
    </row>
    <row r="45" spans="1:5">
      <c r="A45" s="17" t="s">
        <v>1916</v>
      </c>
      <c r="B45" s="17" t="s">
        <v>1917</v>
      </c>
      <c r="C45" s="7" t="s">
        <v>1918</v>
      </c>
      <c r="D45" s="17" t="s">
        <v>805</v>
      </c>
      <c r="E45" s="13" t="s">
        <v>744</v>
      </c>
    </row>
    <row r="46" spans="1:5">
      <c r="A46" s="17" t="s">
        <v>1919</v>
      </c>
      <c r="B46" s="17" t="s">
        <v>1920</v>
      </c>
      <c r="C46" s="7" t="s">
        <v>1921</v>
      </c>
      <c r="D46" s="17" t="s">
        <v>1860</v>
      </c>
      <c r="E46" s="13" t="s">
        <v>744</v>
      </c>
    </row>
    <row r="47" spans="1:5">
      <c r="A47" s="17" t="s">
        <v>1922</v>
      </c>
      <c r="B47" s="17" t="s">
        <v>1923</v>
      </c>
      <c r="C47" s="7" t="s">
        <v>1924</v>
      </c>
      <c r="D47" s="17" t="s">
        <v>805</v>
      </c>
      <c r="E47" s="13" t="s">
        <v>744</v>
      </c>
    </row>
    <row r="48" spans="1:5">
      <c r="A48" s="17" t="s">
        <v>1925</v>
      </c>
      <c r="B48" s="17" t="s">
        <v>1926</v>
      </c>
      <c r="C48" s="7" t="s">
        <v>1927</v>
      </c>
      <c r="D48" s="17" t="s">
        <v>1860</v>
      </c>
      <c r="E48" s="13" t="s">
        <v>744</v>
      </c>
    </row>
    <row r="49" spans="1:5">
      <c r="A49" s="17" t="s">
        <v>1928</v>
      </c>
      <c r="B49" s="17" t="s">
        <v>1929</v>
      </c>
      <c r="C49" s="7" t="s">
        <v>1930</v>
      </c>
      <c r="D49" s="17" t="s">
        <v>805</v>
      </c>
      <c r="E49" s="13" t="s">
        <v>744</v>
      </c>
    </row>
    <row r="50" spans="1:5">
      <c r="A50" s="17" t="s">
        <v>1931</v>
      </c>
      <c r="B50" s="17" t="s">
        <v>1932</v>
      </c>
      <c r="C50" s="7" t="s">
        <v>1111</v>
      </c>
      <c r="D50" s="17" t="s">
        <v>1860</v>
      </c>
      <c r="E50" s="13" t="s">
        <v>744</v>
      </c>
    </row>
    <row r="51" spans="1:5">
      <c r="A51" s="17" t="s">
        <v>1933</v>
      </c>
      <c r="B51" s="17" t="s">
        <v>1934</v>
      </c>
      <c r="C51" s="7" t="s">
        <v>1113</v>
      </c>
      <c r="D51" s="17" t="s">
        <v>1935</v>
      </c>
      <c r="E51" s="13" t="s">
        <v>1936</v>
      </c>
    </row>
    <row r="52" spans="1:5">
      <c r="A52" s="17" t="s">
        <v>1937</v>
      </c>
      <c r="B52" s="17" t="s">
        <v>1938</v>
      </c>
      <c r="C52" s="7" t="s">
        <v>1939</v>
      </c>
      <c r="D52" s="17" t="s">
        <v>805</v>
      </c>
      <c r="E52" s="13" t="s">
        <v>744</v>
      </c>
    </row>
    <row r="53" spans="1:5">
      <c r="A53" s="17" t="s">
        <v>1940</v>
      </c>
      <c r="B53" s="17" t="s">
        <v>1941</v>
      </c>
      <c r="C53" s="7" t="s">
        <v>1942</v>
      </c>
      <c r="D53" s="17" t="s">
        <v>1860</v>
      </c>
      <c r="E53" s="13" t="s">
        <v>744</v>
      </c>
    </row>
    <row r="54" spans="1:5">
      <c r="A54" s="17" t="s">
        <v>1943</v>
      </c>
      <c r="B54" s="17" t="s">
        <v>1944</v>
      </c>
      <c r="C54" s="7" t="s">
        <v>1945</v>
      </c>
      <c r="D54" s="17" t="s">
        <v>1935</v>
      </c>
      <c r="E54" s="13" t="s">
        <v>1936</v>
      </c>
    </row>
    <row r="55" spans="1:5">
      <c r="A55" s="17" t="s">
        <v>1946</v>
      </c>
      <c r="B55" s="17" t="s">
        <v>1947</v>
      </c>
      <c r="C55" s="7" t="s">
        <v>1948</v>
      </c>
      <c r="D55" s="17" t="s">
        <v>805</v>
      </c>
      <c r="E55" s="13" t="s">
        <v>744</v>
      </c>
    </row>
    <row r="56" spans="1:5">
      <c r="A56" s="17" t="s">
        <v>1949</v>
      </c>
      <c r="B56" s="17" t="s">
        <v>1950</v>
      </c>
      <c r="C56" s="7" t="s">
        <v>1951</v>
      </c>
      <c r="D56" s="17" t="s">
        <v>1860</v>
      </c>
      <c r="E56" s="13" t="s">
        <v>744</v>
      </c>
    </row>
    <row r="57" spans="1:5">
      <c r="A57" s="17" t="s">
        <v>1952</v>
      </c>
      <c r="B57" s="17" t="s">
        <v>1953</v>
      </c>
      <c r="C57" s="7" t="s">
        <v>1954</v>
      </c>
      <c r="D57" s="17" t="s">
        <v>1935</v>
      </c>
      <c r="E57" s="13" t="s">
        <v>1936</v>
      </c>
    </row>
    <row r="58" spans="1:5">
      <c r="A58" s="17" t="s">
        <v>1955</v>
      </c>
      <c r="B58" s="17" t="s">
        <v>1956</v>
      </c>
      <c r="C58" s="7" t="s">
        <v>1957</v>
      </c>
      <c r="D58" s="17" t="s">
        <v>805</v>
      </c>
      <c r="E58" s="13" t="s">
        <v>744</v>
      </c>
    </row>
    <row r="59" spans="1:5">
      <c r="A59" s="17" t="s">
        <v>1958</v>
      </c>
      <c r="B59" s="17" t="s">
        <v>1959</v>
      </c>
      <c r="C59" s="7" t="s">
        <v>1960</v>
      </c>
      <c r="D59" s="17" t="s">
        <v>1860</v>
      </c>
      <c r="E59" s="13" t="s">
        <v>744</v>
      </c>
    </row>
    <row r="60" spans="1:5">
      <c r="A60" s="17" t="s">
        <v>1961</v>
      </c>
      <c r="B60" s="17" t="s">
        <v>1962</v>
      </c>
      <c r="C60" s="7" t="s">
        <v>1963</v>
      </c>
      <c r="D60" s="17" t="s">
        <v>1935</v>
      </c>
      <c r="E60" s="13" t="s">
        <v>1936</v>
      </c>
    </row>
    <row r="61" spans="1:5">
      <c r="A61" s="17" t="s">
        <v>1964</v>
      </c>
      <c r="B61" s="17" t="s">
        <v>1965</v>
      </c>
      <c r="C61" s="7" t="s">
        <v>1966</v>
      </c>
      <c r="D61" s="17" t="s">
        <v>805</v>
      </c>
      <c r="E61" s="13" t="s">
        <v>744</v>
      </c>
    </row>
    <row r="62" spans="1:5">
      <c r="A62" s="17" t="s">
        <v>1967</v>
      </c>
      <c r="B62" s="17" t="s">
        <v>1968</v>
      </c>
      <c r="C62" s="7" t="s">
        <v>1969</v>
      </c>
      <c r="D62" s="17" t="s">
        <v>1860</v>
      </c>
      <c r="E62" s="13" t="s">
        <v>744</v>
      </c>
    </row>
    <row r="63" spans="1:5">
      <c r="A63" s="17" t="s">
        <v>1970</v>
      </c>
      <c r="B63" s="17" t="s">
        <v>1971</v>
      </c>
      <c r="C63" s="7" t="s">
        <v>1972</v>
      </c>
      <c r="D63" s="17" t="s">
        <v>1935</v>
      </c>
      <c r="E63" s="13" t="s">
        <v>1936</v>
      </c>
    </row>
    <row r="64" spans="1:5">
      <c r="A64" s="17" t="s">
        <v>1973</v>
      </c>
      <c r="B64" s="17" t="s">
        <v>1974</v>
      </c>
      <c r="C64" s="7" t="s">
        <v>1975</v>
      </c>
      <c r="D64" s="17" t="s">
        <v>805</v>
      </c>
      <c r="E64" s="13" t="s">
        <v>744</v>
      </c>
    </row>
    <row r="65" spans="1:5">
      <c r="A65" s="17" t="s">
        <v>1976</v>
      </c>
      <c r="B65" s="17" t="s">
        <v>1977</v>
      </c>
      <c r="C65" s="7" t="s">
        <v>1978</v>
      </c>
      <c r="D65" s="17" t="s">
        <v>1860</v>
      </c>
      <c r="E65" s="13" t="s">
        <v>744</v>
      </c>
    </row>
    <row r="66" spans="1:5">
      <c r="A66" s="17" t="s">
        <v>1979</v>
      </c>
      <c r="B66" s="17" t="s">
        <v>1980</v>
      </c>
      <c r="C66" s="7" t="s">
        <v>1981</v>
      </c>
      <c r="D66" s="17" t="s">
        <v>1935</v>
      </c>
      <c r="E66" s="13" t="s">
        <v>1936</v>
      </c>
    </row>
    <row r="67" spans="1:5">
      <c r="A67" s="17" t="s">
        <v>1982</v>
      </c>
      <c r="B67" s="17" t="s">
        <v>1983</v>
      </c>
      <c r="C67" s="7" t="s">
        <v>1984</v>
      </c>
      <c r="D67" s="17" t="s">
        <v>805</v>
      </c>
      <c r="E67" s="13" t="s">
        <v>744</v>
      </c>
    </row>
    <row r="68" spans="1:5">
      <c r="A68" s="17" t="s">
        <v>1985</v>
      </c>
      <c r="B68" s="17" t="s">
        <v>1986</v>
      </c>
      <c r="C68" s="7" t="s">
        <v>1987</v>
      </c>
      <c r="D68" s="17" t="s">
        <v>1860</v>
      </c>
      <c r="E68" s="13" t="s">
        <v>744</v>
      </c>
    </row>
    <row r="69" spans="1:5">
      <c r="A69" s="17" t="s">
        <v>1988</v>
      </c>
      <c r="B69" s="17" t="s">
        <v>1989</v>
      </c>
      <c r="C69" s="7" t="s">
        <v>1990</v>
      </c>
      <c r="D69" s="17" t="s">
        <v>1935</v>
      </c>
      <c r="E69" s="13" t="s">
        <v>1936</v>
      </c>
    </row>
    <row r="70" spans="1:5">
      <c r="A70" s="17" t="s">
        <v>1991</v>
      </c>
      <c r="B70" s="17" t="s">
        <v>1992</v>
      </c>
      <c r="C70" s="7" t="s">
        <v>1993</v>
      </c>
      <c r="D70" s="17" t="s">
        <v>805</v>
      </c>
      <c r="E70" s="13" t="s">
        <v>744</v>
      </c>
    </row>
    <row r="71" spans="1:5">
      <c r="A71" s="17" t="s">
        <v>1994</v>
      </c>
      <c r="B71" s="17" t="s">
        <v>1995</v>
      </c>
      <c r="C71" s="7" t="s">
        <v>1996</v>
      </c>
      <c r="D71" s="17" t="s">
        <v>1860</v>
      </c>
      <c r="E71" s="13" t="s">
        <v>744</v>
      </c>
    </row>
    <row r="72" spans="1:5">
      <c r="A72" s="17" t="s">
        <v>1997</v>
      </c>
      <c r="B72" s="17" t="s">
        <v>1998</v>
      </c>
      <c r="C72" s="7" t="s">
        <v>1999</v>
      </c>
      <c r="D72" s="17" t="s">
        <v>1935</v>
      </c>
      <c r="E72" s="13" t="s">
        <v>1936</v>
      </c>
    </row>
    <row r="73" spans="1:5">
      <c r="A73" s="17" t="s">
        <v>2000</v>
      </c>
      <c r="B73" s="17" t="s">
        <v>2001</v>
      </c>
      <c r="C73" s="7" t="s">
        <v>1115</v>
      </c>
      <c r="D73" s="17" t="s">
        <v>1863</v>
      </c>
      <c r="E73" s="13" t="s">
        <v>1864</v>
      </c>
    </row>
    <row r="74" spans="1:5">
      <c r="A74" s="17" t="s">
        <v>2002</v>
      </c>
      <c r="B74" s="17" t="s">
        <v>2003</v>
      </c>
      <c r="C74" s="7" t="s">
        <v>2004</v>
      </c>
      <c r="D74" s="17" t="s">
        <v>805</v>
      </c>
      <c r="E74" s="13" t="s">
        <v>744</v>
      </c>
    </row>
    <row r="75" spans="1:5">
      <c r="A75" s="17" t="s">
        <v>2005</v>
      </c>
      <c r="B75" s="17" t="s">
        <v>2006</v>
      </c>
      <c r="C75" s="7" t="s">
        <v>2007</v>
      </c>
      <c r="D75" s="17" t="s">
        <v>2008</v>
      </c>
      <c r="E75" s="13" t="s">
        <v>2009</v>
      </c>
    </row>
    <row r="76" spans="1:5">
      <c r="A76" s="17" t="s">
        <v>2010</v>
      </c>
      <c r="B76" s="17" t="s">
        <v>2011</v>
      </c>
      <c r="C76" s="7" t="s">
        <v>2012</v>
      </c>
      <c r="D76" s="17" t="s">
        <v>1860</v>
      </c>
      <c r="E76" s="13" t="s">
        <v>744</v>
      </c>
    </row>
    <row r="77" spans="1:5">
      <c r="A77" s="17" t="s">
        <v>2013</v>
      </c>
      <c r="B77" s="17" t="s">
        <v>2014</v>
      </c>
      <c r="C77" s="7" t="s">
        <v>2015</v>
      </c>
      <c r="D77" s="17" t="s">
        <v>2016</v>
      </c>
      <c r="E77" s="13" t="s">
        <v>2017</v>
      </c>
    </row>
    <row r="78" spans="1:5">
      <c r="A78" s="17" t="s">
        <v>2018</v>
      </c>
      <c r="B78" s="17" t="s">
        <v>2019</v>
      </c>
      <c r="C78" s="7" t="s">
        <v>2020</v>
      </c>
      <c r="D78" s="17" t="s">
        <v>1860</v>
      </c>
      <c r="E78" s="13" t="s">
        <v>744</v>
      </c>
    </row>
    <row r="79" spans="1:5">
      <c r="A79" s="17" t="s">
        <v>2021</v>
      </c>
      <c r="B79" s="17" t="s">
        <v>2022</v>
      </c>
      <c r="C79" s="7" t="s">
        <v>2023</v>
      </c>
      <c r="D79" s="17" t="s">
        <v>805</v>
      </c>
      <c r="E79" s="13" t="s">
        <v>744</v>
      </c>
    </row>
    <row r="80" spans="1:5">
      <c r="A80" s="17" t="s">
        <v>2024</v>
      </c>
      <c r="B80" s="17" t="s">
        <v>2025</v>
      </c>
      <c r="C80" s="7" t="s">
        <v>2026</v>
      </c>
      <c r="D80" s="17" t="s">
        <v>2008</v>
      </c>
      <c r="E80" s="13" t="s">
        <v>2009</v>
      </c>
    </row>
    <row r="81" spans="1:5">
      <c r="A81" s="17" t="s">
        <v>2027</v>
      </c>
      <c r="B81" s="17" t="s">
        <v>2028</v>
      </c>
      <c r="C81" s="7" t="s">
        <v>2029</v>
      </c>
      <c r="D81" s="17" t="s">
        <v>1860</v>
      </c>
      <c r="E81" s="13" t="s">
        <v>744</v>
      </c>
    </row>
    <row r="82" spans="1:5">
      <c r="A82" s="17" t="s">
        <v>2030</v>
      </c>
      <c r="B82" s="17" t="s">
        <v>2031</v>
      </c>
      <c r="C82" s="7" t="s">
        <v>2032</v>
      </c>
      <c r="D82" s="17" t="s">
        <v>2016</v>
      </c>
      <c r="E82" s="13" t="s">
        <v>2017</v>
      </c>
    </row>
    <row r="83" spans="1:5">
      <c r="A83" s="17" t="s">
        <v>2033</v>
      </c>
      <c r="B83" s="17" t="s">
        <v>2034</v>
      </c>
      <c r="C83" s="7" t="s">
        <v>2035</v>
      </c>
      <c r="D83" s="17" t="s">
        <v>1860</v>
      </c>
      <c r="E83" s="13" t="s">
        <v>744</v>
      </c>
    </row>
    <row r="84" spans="1:5">
      <c r="A84" s="17" t="s">
        <v>2036</v>
      </c>
      <c r="B84" s="17" t="s">
        <v>2037</v>
      </c>
      <c r="C84" s="7" t="s">
        <v>2038</v>
      </c>
      <c r="D84" s="17" t="s">
        <v>805</v>
      </c>
      <c r="E84" s="13" t="s">
        <v>744</v>
      </c>
    </row>
    <row r="85" spans="1:5">
      <c r="A85" s="17" t="s">
        <v>2039</v>
      </c>
      <c r="B85" s="17" t="s">
        <v>2040</v>
      </c>
      <c r="C85" s="7" t="s">
        <v>2041</v>
      </c>
      <c r="D85" s="17" t="s">
        <v>2008</v>
      </c>
      <c r="E85" s="13" t="s">
        <v>2009</v>
      </c>
    </row>
    <row r="86" spans="1:5">
      <c r="A86" s="17" t="s">
        <v>2042</v>
      </c>
      <c r="B86" s="17" t="s">
        <v>2043</v>
      </c>
      <c r="C86" s="7" t="s">
        <v>2044</v>
      </c>
      <c r="D86" s="17" t="s">
        <v>1860</v>
      </c>
      <c r="E86" s="13" t="s">
        <v>744</v>
      </c>
    </row>
    <row r="87" spans="1:5">
      <c r="A87" s="17" t="s">
        <v>2045</v>
      </c>
      <c r="B87" s="17" t="s">
        <v>2046</v>
      </c>
      <c r="C87" s="7" t="s">
        <v>2047</v>
      </c>
      <c r="D87" s="17" t="s">
        <v>2016</v>
      </c>
      <c r="E87" s="13" t="s">
        <v>2017</v>
      </c>
    </row>
    <row r="88" spans="1:5">
      <c r="A88" s="17" t="s">
        <v>2048</v>
      </c>
      <c r="B88" s="17" t="s">
        <v>2049</v>
      </c>
      <c r="C88" s="7" t="s">
        <v>2050</v>
      </c>
      <c r="D88" s="17" t="s">
        <v>1860</v>
      </c>
      <c r="E88" s="13" t="s">
        <v>744</v>
      </c>
    </row>
    <row r="89" spans="1:5">
      <c r="A89" s="17" t="s">
        <v>2051</v>
      </c>
      <c r="B89" s="17" t="s">
        <v>2052</v>
      </c>
      <c r="C89" s="7" t="s">
        <v>2053</v>
      </c>
      <c r="D89" s="17" t="s">
        <v>805</v>
      </c>
      <c r="E89" s="13" t="s">
        <v>744</v>
      </c>
    </row>
    <row r="90" spans="1:5">
      <c r="A90" s="17" t="s">
        <v>2054</v>
      </c>
      <c r="B90" s="17" t="s">
        <v>2055</v>
      </c>
      <c r="C90" s="7" t="s">
        <v>2056</v>
      </c>
      <c r="D90" s="17" t="s">
        <v>2008</v>
      </c>
      <c r="E90" s="13" t="s">
        <v>2009</v>
      </c>
    </row>
    <row r="91" spans="1:5">
      <c r="A91" s="17" t="s">
        <v>2057</v>
      </c>
      <c r="B91" s="17" t="s">
        <v>2058</v>
      </c>
      <c r="C91" s="7" t="s">
        <v>2059</v>
      </c>
      <c r="D91" s="17" t="s">
        <v>1860</v>
      </c>
      <c r="E91" s="13" t="s">
        <v>744</v>
      </c>
    </row>
    <row r="92" spans="1:5">
      <c r="A92" s="17" t="s">
        <v>2060</v>
      </c>
      <c r="B92" s="17" t="s">
        <v>2061</v>
      </c>
      <c r="C92" s="7" t="s">
        <v>2062</v>
      </c>
      <c r="D92" s="17" t="s">
        <v>2016</v>
      </c>
      <c r="E92" s="13" t="s">
        <v>2017</v>
      </c>
    </row>
    <row r="93" spans="1:5">
      <c r="A93" s="17" t="s">
        <v>2063</v>
      </c>
      <c r="B93" s="17" t="s">
        <v>2064</v>
      </c>
      <c r="C93" s="7" t="s">
        <v>2065</v>
      </c>
      <c r="D93" s="17" t="s">
        <v>1860</v>
      </c>
      <c r="E93" s="13" t="s">
        <v>744</v>
      </c>
    </row>
    <row r="94" spans="1:5">
      <c r="A94" s="17" t="s">
        <v>2066</v>
      </c>
      <c r="B94" s="17" t="s">
        <v>2067</v>
      </c>
      <c r="C94" s="7" t="s">
        <v>2068</v>
      </c>
      <c r="D94" s="17" t="s">
        <v>805</v>
      </c>
      <c r="E94" s="13" t="s">
        <v>744</v>
      </c>
    </row>
    <row r="95" spans="1:5">
      <c r="A95" s="17" t="s">
        <v>2069</v>
      </c>
      <c r="B95" s="17" t="s">
        <v>2070</v>
      </c>
      <c r="C95" s="7" t="s">
        <v>2071</v>
      </c>
      <c r="D95" s="17" t="s">
        <v>2008</v>
      </c>
      <c r="E95" s="13" t="s">
        <v>2009</v>
      </c>
    </row>
    <row r="96" spans="1:5">
      <c r="A96" s="17" t="s">
        <v>2072</v>
      </c>
      <c r="B96" s="17" t="s">
        <v>2073</v>
      </c>
      <c r="C96" s="7" t="s">
        <v>2074</v>
      </c>
      <c r="D96" s="17" t="s">
        <v>1860</v>
      </c>
      <c r="E96" s="13" t="s">
        <v>744</v>
      </c>
    </row>
    <row r="97" spans="1:5">
      <c r="A97" s="17" t="s">
        <v>2075</v>
      </c>
      <c r="B97" s="17" t="s">
        <v>2076</v>
      </c>
      <c r="C97" s="7" t="s">
        <v>2077</v>
      </c>
      <c r="D97" s="17" t="s">
        <v>2016</v>
      </c>
      <c r="E97" s="13" t="s">
        <v>2017</v>
      </c>
    </row>
    <row r="98" spans="1:5">
      <c r="A98" s="17" t="s">
        <v>2078</v>
      </c>
      <c r="B98" s="17" t="s">
        <v>2079</v>
      </c>
      <c r="C98" s="7" t="s">
        <v>2080</v>
      </c>
      <c r="D98" s="17" t="s">
        <v>1860</v>
      </c>
      <c r="E98" s="13" t="s">
        <v>744</v>
      </c>
    </row>
    <row r="99" spans="1:5">
      <c r="A99" s="17" t="s">
        <v>2081</v>
      </c>
      <c r="B99" s="17" t="s">
        <v>2082</v>
      </c>
      <c r="C99" s="7" t="s">
        <v>2083</v>
      </c>
      <c r="D99" s="17" t="s">
        <v>805</v>
      </c>
      <c r="E99" s="13" t="s">
        <v>744</v>
      </c>
    </row>
    <row r="100" spans="1:5">
      <c r="A100" s="17" t="s">
        <v>2084</v>
      </c>
      <c r="B100" s="17" t="s">
        <v>2085</v>
      </c>
      <c r="C100" s="7" t="s">
        <v>2086</v>
      </c>
      <c r="D100" s="17" t="s">
        <v>2008</v>
      </c>
      <c r="E100" s="13" t="s">
        <v>2009</v>
      </c>
    </row>
    <row r="101" spans="1:5">
      <c r="A101" s="17" t="s">
        <v>2087</v>
      </c>
      <c r="B101" s="17" t="s">
        <v>2088</v>
      </c>
      <c r="C101" s="7" t="s">
        <v>2089</v>
      </c>
      <c r="D101" s="17" t="s">
        <v>1860</v>
      </c>
      <c r="E101" s="13" t="s">
        <v>744</v>
      </c>
    </row>
    <row r="102" spans="1:5">
      <c r="A102" s="17" t="s">
        <v>2090</v>
      </c>
      <c r="B102" s="17" t="s">
        <v>2091</v>
      </c>
      <c r="C102" s="7" t="s">
        <v>2092</v>
      </c>
      <c r="D102" s="17" t="s">
        <v>2016</v>
      </c>
      <c r="E102" s="13" t="s">
        <v>2017</v>
      </c>
    </row>
    <row r="103" spans="1:5">
      <c r="A103" s="17" t="s">
        <v>2093</v>
      </c>
      <c r="B103" s="17" t="s">
        <v>2094</v>
      </c>
      <c r="C103" s="7" t="s">
        <v>2095</v>
      </c>
      <c r="D103" s="17" t="s">
        <v>1860</v>
      </c>
      <c r="E103" s="13" t="s">
        <v>744</v>
      </c>
    </row>
    <row r="104" spans="1:5">
      <c r="A104" s="17" t="s">
        <v>2096</v>
      </c>
      <c r="B104" s="17" t="s">
        <v>2097</v>
      </c>
      <c r="C104" s="7" t="s">
        <v>2098</v>
      </c>
      <c r="D104" s="17" t="s">
        <v>2099</v>
      </c>
      <c r="E104" s="13" t="s">
        <v>744</v>
      </c>
    </row>
    <row r="105" spans="1:5">
      <c r="A105" s="17" t="s">
        <v>2100</v>
      </c>
      <c r="B105" s="17" t="s">
        <v>2101</v>
      </c>
      <c r="C105" s="7" t="s">
        <v>2102</v>
      </c>
      <c r="D105" s="17" t="s">
        <v>805</v>
      </c>
      <c r="E105" s="13" t="s">
        <v>744</v>
      </c>
    </row>
    <row r="106" spans="1:5">
      <c r="A106" s="17" t="s">
        <v>2103</v>
      </c>
      <c r="B106" s="17" t="s">
        <v>2104</v>
      </c>
      <c r="C106" s="7" t="s">
        <v>2105</v>
      </c>
      <c r="D106" s="17" t="s">
        <v>2099</v>
      </c>
      <c r="E106" s="13" t="s">
        <v>744</v>
      </c>
    </row>
    <row r="107" spans="1:5">
      <c r="A107" s="17" t="s">
        <v>2106</v>
      </c>
      <c r="B107" s="17" t="s">
        <v>2107</v>
      </c>
      <c r="C107" s="7" t="s">
        <v>2108</v>
      </c>
      <c r="D107" s="17" t="s">
        <v>805</v>
      </c>
      <c r="E107" s="13" t="s">
        <v>744</v>
      </c>
    </row>
    <row r="108" spans="1:5">
      <c r="A108" s="17" t="s">
        <v>2109</v>
      </c>
      <c r="B108" s="17" t="s">
        <v>2110</v>
      </c>
      <c r="C108" s="7" t="s">
        <v>2111</v>
      </c>
      <c r="D108" s="17" t="s">
        <v>2099</v>
      </c>
      <c r="E108" s="13" t="s">
        <v>744</v>
      </c>
    </row>
    <row r="109" spans="1:5">
      <c r="A109" s="17" t="s">
        <v>2112</v>
      </c>
      <c r="B109" s="17" t="s">
        <v>2113</v>
      </c>
      <c r="C109" s="7" t="s">
        <v>2114</v>
      </c>
      <c r="D109" s="17" t="s">
        <v>805</v>
      </c>
      <c r="E109" s="13" t="s">
        <v>744</v>
      </c>
    </row>
    <row r="110" spans="1:5">
      <c r="A110" s="17" t="s">
        <v>2115</v>
      </c>
      <c r="B110" s="17" t="s">
        <v>2116</v>
      </c>
      <c r="C110" s="7" t="s">
        <v>2117</v>
      </c>
      <c r="D110" s="17" t="s">
        <v>2099</v>
      </c>
      <c r="E110" s="13" t="s">
        <v>744</v>
      </c>
    </row>
    <row r="111" spans="1:5">
      <c r="A111" s="17" t="s">
        <v>2118</v>
      </c>
      <c r="B111" s="17" t="s">
        <v>2119</v>
      </c>
      <c r="C111" s="7" t="s">
        <v>2120</v>
      </c>
      <c r="D111" s="17" t="s">
        <v>805</v>
      </c>
      <c r="E111" s="13" t="s">
        <v>744</v>
      </c>
    </row>
    <row r="112" spans="1:5">
      <c r="A112" s="17" t="s">
        <v>2121</v>
      </c>
      <c r="B112" s="17" t="s">
        <v>2122</v>
      </c>
      <c r="C112" s="7" t="s">
        <v>2123</v>
      </c>
      <c r="D112" s="17" t="s">
        <v>2099</v>
      </c>
      <c r="E112" s="13" t="s">
        <v>744</v>
      </c>
    </row>
    <row r="113" spans="1:5">
      <c r="A113" s="17" t="s">
        <v>2124</v>
      </c>
      <c r="B113" s="17" t="s">
        <v>2125</v>
      </c>
      <c r="C113" s="7" t="s">
        <v>2126</v>
      </c>
      <c r="D113" s="17" t="s">
        <v>805</v>
      </c>
      <c r="E113" s="13" t="s">
        <v>744</v>
      </c>
    </row>
    <row r="114" spans="1:5">
      <c r="A114" s="17" t="s">
        <v>2127</v>
      </c>
      <c r="B114" s="17" t="s">
        <v>2128</v>
      </c>
      <c r="C114" s="7" t="s">
        <v>2129</v>
      </c>
      <c r="D114" s="17" t="s">
        <v>2099</v>
      </c>
      <c r="E114" s="13" t="s">
        <v>744</v>
      </c>
    </row>
    <row r="115" spans="1:5">
      <c r="A115" s="17" t="s">
        <v>2130</v>
      </c>
      <c r="B115" s="17" t="s">
        <v>2131</v>
      </c>
      <c r="C115" s="7" t="s">
        <v>2132</v>
      </c>
      <c r="D115" s="17" t="s">
        <v>805</v>
      </c>
      <c r="E115" s="13" t="s">
        <v>744</v>
      </c>
    </row>
    <row r="116" spans="1:5">
      <c r="A116" s="17" t="s">
        <v>2133</v>
      </c>
      <c r="B116" s="17" t="s">
        <v>2134</v>
      </c>
      <c r="C116" s="7" t="s">
        <v>2135</v>
      </c>
      <c r="D116" s="17" t="s">
        <v>805</v>
      </c>
      <c r="E116" s="13" t="s">
        <v>744</v>
      </c>
    </row>
    <row r="117" spans="1:5">
      <c r="A117" s="17" t="s">
        <v>2136</v>
      </c>
      <c r="B117" s="17" t="s">
        <v>2137</v>
      </c>
      <c r="C117" s="7" t="s">
        <v>2138</v>
      </c>
      <c r="D117" s="17" t="s">
        <v>805</v>
      </c>
      <c r="E117" s="13" t="s">
        <v>744</v>
      </c>
    </row>
    <row r="118" spans="1:5">
      <c r="A118" s="17" t="s">
        <v>2139</v>
      </c>
      <c r="B118" s="17" t="s">
        <v>2140</v>
      </c>
      <c r="C118" s="7" t="s">
        <v>2141</v>
      </c>
      <c r="D118" s="17" t="s">
        <v>805</v>
      </c>
      <c r="E118" s="13" t="s">
        <v>744</v>
      </c>
    </row>
    <row r="119" spans="1:5">
      <c r="A119" s="17" t="s">
        <v>2142</v>
      </c>
      <c r="B119" s="17" t="s">
        <v>2143</v>
      </c>
      <c r="C119" s="7" t="s">
        <v>2144</v>
      </c>
      <c r="D119" s="17" t="s">
        <v>805</v>
      </c>
      <c r="E119" s="13" t="s">
        <v>744</v>
      </c>
    </row>
    <row r="120" spans="1:5">
      <c r="A120" s="17" t="s">
        <v>2145</v>
      </c>
      <c r="B120" s="17" t="s">
        <v>2146</v>
      </c>
      <c r="C120" s="7" t="s">
        <v>2147</v>
      </c>
      <c r="D120" s="17" t="s">
        <v>805</v>
      </c>
      <c r="E120" s="13" t="s">
        <v>744</v>
      </c>
    </row>
    <row r="121" spans="1:5">
      <c r="A121" s="17" t="s">
        <v>2148</v>
      </c>
      <c r="B121" s="17" t="s">
        <v>2149</v>
      </c>
      <c r="C121" s="7" t="s">
        <v>2150</v>
      </c>
      <c r="D121" s="17" t="s">
        <v>805</v>
      </c>
      <c r="E121" s="13" t="s">
        <v>744</v>
      </c>
    </row>
    <row r="122" spans="1:5">
      <c r="A122" s="17" t="s">
        <v>2151</v>
      </c>
      <c r="B122" s="17" t="s">
        <v>2152</v>
      </c>
      <c r="C122" s="7" t="s">
        <v>2153</v>
      </c>
      <c r="D122" s="17" t="s">
        <v>805</v>
      </c>
      <c r="E122" s="13" t="s">
        <v>744</v>
      </c>
    </row>
    <row r="123" spans="1:5">
      <c r="A123" s="17" t="s">
        <v>2154</v>
      </c>
      <c r="B123" s="17" t="s">
        <v>2155</v>
      </c>
      <c r="C123" s="7" t="s">
        <v>2156</v>
      </c>
      <c r="D123" s="17" t="s">
        <v>805</v>
      </c>
      <c r="E123" s="13" t="s">
        <v>744</v>
      </c>
    </row>
    <row r="124" spans="1:5">
      <c r="A124" s="17" t="s">
        <v>2157</v>
      </c>
      <c r="B124" s="17" t="s">
        <v>2158</v>
      </c>
      <c r="C124" s="7" t="s">
        <v>2159</v>
      </c>
      <c r="D124" s="17" t="s">
        <v>805</v>
      </c>
      <c r="E124" s="13" t="s">
        <v>744</v>
      </c>
    </row>
    <row r="125" spans="1:5">
      <c r="A125" s="17" t="s">
        <v>2160</v>
      </c>
      <c r="B125" s="17" t="s">
        <v>2161</v>
      </c>
      <c r="C125" s="7" t="s">
        <v>2162</v>
      </c>
      <c r="D125" s="17" t="s">
        <v>805</v>
      </c>
      <c r="E125" s="13" t="s">
        <v>744</v>
      </c>
    </row>
    <row r="126" spans="1:5">
      <c r="A126" s="17" t="s">
        <v>2163</v>
      </c>
      <c r="B126" s="17" t="s">
        <v>2164</v>
      </c>
      <c r="C126" s="7" t="s">
        <v>2165</v>
      </c>
      <c r="D126" s="17" t="s">
        <v>805</v>
      </c>
      <c r="E126" s="13" t="s">
        <v>744</v>
      </c>
    </row>
    <row r="127" spans="1:5">
      <c r="A127" s="17" t="s">
        <v>2166</v>
      </c>
      <c r="B127" s="17" t="s">
        <v>2167</v>
      </c>
      <c r="C127" s="7" t="s">
        <v>2168</v>
      </c>
      <c r="D127" s="17" t="s">
        <v>805</v>
      </c>
      <c r="E127" s="13" t="s">
        <v>744</v>
      </c>
    </row>
    <row r="128" spans="1:5">
      <c r="A128" s="17" t="s">
        <v>2169</v>
      </c>
      <c r="B128" s="17" t="s">
        <v>2170</v>
      </c>
      <c r="C128" s="7" t="s">
        <v>2171</v>
      </c>
      <c r="D128" s="17" t="s">
        <v>805</v>
      </c>
      <c r="E128" s="13" t="s">
        <v>744</v>
      </c>
    </row>
    <row r="129" spans="1:5">
      <c r="A129" s="17" t="s">
        <v>2172</v>
      </c>
      <c r="B129" s="17" t="s">
        <v>2173</v>
      </c>
      <c r="C129" s="7" t="s">
        <v>2174</v>
      </c>
      <c r="D129" s="17" t="s">
        <v>805</v>
      </c>
      <c r="E129" s="13" t="s">
        <v>744</v>
      </c>
    </row>
    <row r="130" spans="1:5">
      <c r="A130" s="17" t="s">
        <v>2175</v>
      </c>
      <c r="B130" s="17" t="s">
        <v>2176</v>
      </c>
      <c r="C130" s="7" t="s">
        <v>2177</v>
      </c>
      <c r="D130" s="17" t="s">
        <v>805</v>
      </c>
      <c r="E130" s="13" t="s">
        <v>744</v>
      </c>
    </row>
    <row r="131" spans="1:5">
      <c r="A131" s="17" t="s">
        <v>2178</v>
      </c>
      <c r="B131" s="17" t="s">
        <v>2179</v>
      </c>
      <c r="C131" s="7" t="s">
        <v>2180</v>
      </c>
      <c r="D131" s="17" t="s">
        <v>805</v>
      </c>
      <c r="E131" s="13" t="s">
        <v>744</v>
      </c>
    </row>
    <row r="132" spans="1:5">
      <c r="A132" s="17" t="s">
        <v>2181</v>
      </c>
      <c r="B132" s="17" t="s">
        <v>2182</v>
      </c>
      <c r="C132" s="7" t="s">
        <v>1117</v>
      </c>
      <c r="D132" s="17" t="s">
        <v>2183</v>
      </c>
      <c r="E132" s="13" t="s">
        <v>2184</v>
      </c>
    </row>
    <row r="133" spans="1:5">
      <c r="A133" s="17" t="s">
        <v>2185</v>
      </c>
      <c r="B133" s="17" t="s">
        <v>1688</v>
      </c>
      <c r="C133" s="7" t="s">
        <v>2186</v>
      </c>
      <c r="D133" s="17" t="s">
        <v>805</v>
      </c>
      <c r="E133" s="13" t="s">
        <v>744</v>
      </c>
    </row>
    <row r="134" spans="1:5">
      <c r="A134" s="17" t="s">
        <v>2187</v>
      </c>
      <c r="B134" s="17" t="s">
        <v>2188</v>
      </c>
      <c r="C134" s="7" t="s">
        <v>2189</v>
      </c>
      <c r="D134" s="17" t="s">
        <v>805</v>
      </c>
      <c r="E134" s="13" t="s">
        <v>744</v>
      </c>
    </row>
    <row r="135" spans="1:5">
      <c r="A135" s="17" t="s">
        <v>2190</v>
      </c>
      <c r="B135" s="17" t="s">
        <v>2191</v>
      </c>
      <c r="C135" s="7" t="s">
        <v>1119</v>
      </c>
      <c r="D135" s="17" t="s">
        <v>1860</v>
      </c>
      <c r="E135" s="13" t="s">
        <v>744</v>
      </c>
    </row>
    <row r="136" spans="1:5">
      <c r="A136" s="17" t="s">
        <v>2192</v>
      </c>
      <c r="B136" s="17" t="s">
        <v>2193</v>
      </c>
      <c r="C136" s="7" t="s">
        <v>1121</v>
      </c>
      <c r="D136" s="17" t="s">
        <v>1860</v>
      </c>
      <c r="E136" s="13" t="s">
        <v>744</v>
      </c>
    </row>
    <row r="137" spans="1:5">
      <c r="A137" s="17" t="s">
        <v>2194</v>
      </c>
      <c r="B137" s="17" t="s">
        <v>2195</v>
      </c>
      <c r="C137" s="7" t="s">
        <v>2196</v>
      </c>
      <c r="D137" s="17" t="s">
        <v>1860</v>
      </c>
      <c r="E137" s="13" t="s">
        <v>744</v>
      </c>
    </row>
    <row r="138" spans="1:5">
      <c r="A138" s="17" t="s">
        <v>2197</v>
      </c>
      <c r="B138" s="17" t="s">
        <v>2198</v>
      </c>
      <c r="C138" s="7" t="s">
        <v>2199</v>
      </c>
      <c r="D138" s="17" t="s">
        <v>805</v>
      </c>
      <c r="E138" s="13" t="s">
        <v>744</v>
      </c>
    </row>
    <row r="139" spans="1:5">
      <c r="A139" s="17" t="s">
        <v>2200</v>
      </c>
      <c r="B139" s="17" t="s">
        <v>2201</v>
      </c>
      <c r="C139" s="7" t="s">
        <v>2202</v>
      </c>
      <c r="D139" s="17" t="s">
        <v>1860</v>
      </c>
      <c r="E139" s="13" t="s">
        <v>744</v>
      </c>
    </row>
    <row r="140" spans="1:5">
      <c r="A140" s="17" t="s">
        <v>2203</v>
      </c>
      <c r="B140" s="17" t="s">
        <v>2204</v>
      </c>
      <c r="C140" s="7" t="s">
        <v>2205</v>
      </c>
      <c r="D140" s="17" t="s">
        <v>1860</v>
      </c>
      <c r="E140" s="13" t="s">
        <v>744</v>
      </c>
    </row>
    <row r="141" spans="1:5">
      <c r="A141" s="17" t="s">
        <v>2206</v>
      </c>
      <c r="B141" s="17" t="s">
        <v>2207</v>
      </c>
      <c r="C141" s="7" t="s">
        <v>2208</v>
      </c>
      <c r="D141" s="17" t="s">
        <v>1860</v>
      </c>
      <c r="E141" s="13" t="s">
        <v>744</v>
      </c>
    </row>
    <row r="142" spans="1:5">
      <c r="A142" s="17" t="s">
        <v>2209</v>
      </c>
      <c r="B142" s="17" t="s">
        <v>2210</v>
      </c>
      <c r="C142" s="7" t="s">
        <v>2211</v>
      </c>
      <c r="D142" s="17" t="s">
        <v>805</v>
      </c>
      <c r="E142" s="13" t="s">
        <v>744</v>
      </c>
    </row>
    <row r="143" spans="1:5">
      <c r="A143" s="17" t="s">
        <v>2212</v>
      </c>
      <c r="B143" s="17" t="s">
        <v>2213</v>
      </c>
      <c r="C143" s="7" t="s">
        <v>2214</v>
      </c>
      <c r="D143" s="17" t="s">
        <v>1860</v>
      </c>
      <c r="E143" s="13" t="s">
        <v>744</v>
      </c>
    </row>
    <row r="144" spans="1:5">
      <c r="A144" s="17" t="s">
        <v>2215</v>
      </c>
      <c r="B144" s="17" t="s">
        <v>2216</v>
      </c>
      <c r="C144" s="7" t="s">
        <v>2217</v>
      </c>
      <c r="D144" s="17" t="s">
        <v>1860</v>
      </c>
      <c r="E144" s="13" t="s">
        <v>744</v>
      </c>
    </row>
    <row r="145" spans="1:5">
      <c r="A145" s="17" t="s">
        <v>2218</v>
      </c>
      <c r="B145" s="17" t="s">
        <v>2219</v>
      </c>
      <c r="C145" s="7" t="s">
        <v>2220</v>
      </c>
      <c r="D145" s="17" t="s">
        <v>1860</v>
      </c>
      <c r="E145" s="13" t="s">
        <v>744</v>
      </c>
    </row>
    <row r="146" spans="1:5">
      <c r="A146" s="17" t="s">
        <v>2221</v>
      </c>
      <c r="B146" s="17" t="s">
        <v>2222</v>
      </c>
      <c r="C146" s="7" t="s">
        <v>2223</v>
      </c>
      <c r="D146" s="17" t="s">
        <v>805</v>
      </c>
      <c r="E146" s="13" t="s">
        <v>744</v>
      </c>
    </row>
    <row r="147" spans="1:5">
      <c r="A147" s="17" t="s">
        <v>2224</v>
      </c>
      <c r="B147" s="17" t="s">
        <v>2225</v>
      </c>
      <c r="C147" s="7" t="s">
        <v>2226</v>
      </c>
      <c r="D147" s="17" t="s">
        <v>1860</v>
      </c>
      <c r="E147" s="13" t="s">
        <v>744</v>
      </c>
    </row>
    <row r="148" spans="1:5">
      <c r="A148" s="17" t="s">
        <v>2227</v>
      </c>
      <c r="B148" s="17" t="s">
        <v>2228</v>
      </c>
      <c r="C148" s="7" t="s">
        <v>2229</v>
      </c>
      <c r="D148" s="17" t="s">
        <v>1860</v>
      </c>
      <c r="E148" s="13" t="s">
        <v>744</v>
      </c>
    </row>
    <row r="149" spans="1:5">
      <c r="A149" s="17" t="s">
        <v>2230</v>
      </c>
      <c r="B149" s="17" t="s">
        <v>2231</v>
      </c>
      <c r="C149" s="7" t="s">
        <v>2232</v>
      </c>
      <c r="D149" s="17" t="s">
        <v>1860</v>
      </c>
      <c r="E149" s="13" t="s">
        <v>744</v>
      </c>
    </row>
    <row r="150" spans="1:5">
      <c r="A150" s="17" t="s">
        <v>2233</v>
      </c>
      <c r="B150" s="17" t="s">
        <v>2234</v>
      </c>
      <c r="C150" s="7" t="s">
        <v>2235</v>
      </c>
      <c r="D150" s="17" t="s">
        <v>805</v>
      </c>
      <c r="E150" s="13" t="s">
        <v>744</v>
      </c>
    </row>
    <row r="151" spans="1:5">
      <c r="A151" s="17" t="s">
        <v>2236</v>
      </c>
      <c r="B151" s="17" t="s">
        <v>2237</v>
      </c>
      <c r="C151" s="7" t="s">
        <v>2238</v>
      </c>
      <c r="D151" s="17" t="s">
        <v>1860</v>
      </c>
      <c r="E151" s="13" t="s">
        <v>744</v>
      </c>
    </row>
    <row r="152" spans="1:5">
      <c r="A152" s="17" t="s">
        <v>2239</v>
      </c>
      <c r="B152" s="17" t="s">
        <v>2240</v>
      </c>
      <c r="C152" s="7" t="s">
        <v>2241</v>
      </c>
      <c r="D152" s="17" t="s">
        <v>1860</v>
      </c>
      <c r="E152" s="13" t="s">
        <v>744</v>
      </c>
    </row>
    <row r="153" spans="1:5">
      <c r="A153" s="17" t="s">
        <v>2242</v>
      </c>
      <c r="B153" s="17" t="s">
        <v>2243</v>
      </c>
      <c r="C153" s="7" t="s">
        <v>2244</v>
      </c>
      <c r="D153" s="17" t="s">
        <v>1860</v>
      </c>
      <c r="E153" s="13" t="s">
        <v>744</v>
      </c>
    </row>
    <row r="154" spans="1:5">
      <c r="A154" s="17" t="s">
        <v>2245</v>
      </c>
      <c r="B154" s="17" t="s">
        <v>2246</v>
      </c>
      <c r="C154" s="7" t="s">
        <v>2247</v>
      </c>
      <c r="D154" s="17" t="s">
        <v>805</v>
      </c>
      <c r="E154" s="13" t="s">
        <v>744</v>
      </c>
    </row>
    <row r="155" spans="1:5">
      <c r="A155" s="17" t="s">
        <v>2248</v>
      </c>
      <c r="B155" s="17" t="s">
        <v>2249</v>
      </c>
      <c r="C155" s="7" t="s">
        <v>2250</v>
      </c>
      <c r="D155" s="17" t="s">
        <v>1860</v>
      </c>
      <c r="E155" s="13" t="s">
        <v>744</v>
      </c>
    </row>
    <row r="156" spans="1:5">
      <c r="A156" s="17" t="s">
        <v>2251</v>
      </c>
      <c r="B156" s="17" t="s">
        <v>2252</v>
      </c>
      <c r="C156" s="7" t="s">
        <v>2253</v>
      </c>
      <c r="D156" s="17" t="s">
        <v>1860</v>
      </c>
      <c r="E156" s="13" t="s">
        <v>744</v>
      </c>
    </row>
    <row r="157" spans="1:5">
      <c r="A157" s="17" t="s">
        <v>2254</v>
      </c>
      <c r="B157" s="17" t="s">
        <v>2255</v>
      </c>
      <c r="C157" s="7" t="s">
        <v>2256</v>
      </c>
      <c r="D157" s="17" t="s">
        <v>1860</v>
      </c>
      <c r="E157" s="13" t="s">
        <v>744</v>
      </c>
    </row>
    <row r="158" spans="1:5">
      <c r="A158" s="17" t="s">
        <v>2257</v>
      </c>
      <c r="B158" s="17" t="s">
        <v>2258</v>
      </c>
      <c r="C158" s="7" t="s">
        <v>2259</v>
      </c>
      <c r="D158" s="17" t="s">
        <v>805</v>
      </c>
      <c r="E158" s="13" t="s">
        <v>744</v>
      </c>
    </row>
    <row r="159" spans="1:5">
      <c r="A159" s="17" t="s">
        <v>2260</v>
      </c>
      <c r="B159" s="17" t="s">
        <v>2261</v>
      </c>
      <c r="C159" s="7" t="s">
        <v>2262</v>
      </c>
      <c r="D159" s="17" t="s">
        <v>1860</v>
      </c>
      <c r="E159" s="13" t="s">
        <v>744</v>
      </c>
    </row>
    <row r="160" spans="1:5">
      <c r="A160" s="17" t="s">
        <v>2263</v>
      </c>
      <c r="B160" s="17" t="s">
        <v>2264</v>
      </c>
      <c r="C160" s="7" t="s">
        <v>2265</v>
      </c>
      <c r="D160" s="17" t="s">
        <v>1860</v>
      </c>
      <c r="E160" s="13" t="s">
        <v>744</v>
      </c>
    </row>
    <row r="161" spans="1:5">
      <c r="A161" s="17" t="s">
        <v>2266</v>
      </c>
      <c r="B161" s="17" t="s">
        <v>2267</v>
      </c>
      <c r="C161" s="7" t="s">
        <v>2268</v>
      </c>
      <c r="D161" s="17" t="s">
        <v>1860</v>
      </c>
      <c r="E161" s="13" t="s">
        <v>744</v>
      </c>
    </row>
    <row r="162" spans="1:5">
      <c r="A162" s="17" t="s">
        <v>2269</v>
      </c>
      <c r="B162" s="17" t="s">
        <v>2270</v>
      </c>
      <c r="C162" s="7" t="s">
        <v>2271</v>
      </c>
      <c r="D162" s="17" t="s">
        <v>805</v>
      </c>
      <c r="E162" s="13" t="s">
        <v>744</v>
      </c>
    </row>
    <row r="163" spans="1:5">
      <c r="A163" s="17" t="s">
        <v>2272</v>
      </c>
      <c r="B163" s="17" t="s">
        <v>2273</v>
      </c>
      <c r="C163" s="7" t="s">
        <v>2274</v>
      </c>
      <c r="D163" s="17" t="s">
        <v>1860</v>
      </c>
      <c r="E163" s="13" t="s">
        <v>744</v>
      </c>
    </row>
    <row r="164" spans="1:5">
      <c r="A164" s="17" t="s">
        <v>2275</v>
      </c>
      <c r="B164" s="17" t="s">
        <v>2276</v>
      </c>
      <c r="C164" s="7" t="s">
        <v>2277</v>
      </c>
      <c r="D164" s="17" t="s">
        <v>1860</v>
      </c>
      <c r="E164" s="13" t="s">
        <v>744</v>
      </c>
    </row>
    <row r="165" spans="1:5">
      <c r="A165" s="17" t="s">
        <v>2278</v>
      </c>
      <c r="B165" s="17" t="s">
        <v>2279</v>
      </c>
      <c r="C165" s="7" t="s">
        <v>2280</v>
      </c>
      <c r="D165" s="17" t="s">
        <v>1860</v>
      </c>
      <c r="E165" s="13" t="s">
        <v>744</v>
      </c>
    </row>
    <row r="166" spans="1:5">
      <c r="A166" s="17" t="s">
        <v>2281</v>
      </c>
      <c r="B166" s="17" t="s">
        <v>2282</v>
      </c>
      <c r="C166" s="7" t="s">
        <v>2283</v>
      </c>
      <c r="D166" s="17" t="s">
        <v>805</v>
      </c>
      <c r="E166" s="13" t="s">
        <v>744</v>
      </c>
    </row>
    <row r="167" spans="1:5">
      <c r="A167" s="17" t="s">
        <v>2284</v>
      </c>
      <c r="B167" s="17" t="s">
        <v>2285</v>
      </c>
      <c r="C167" s="7" t="s">
        <v>2286</v>
      </c>
      <c r="D167" s="17" t="s">
        <v>1860</v>
      </c>
      <c r="E167" s="13" t="s">
        <v>744</v>
      </c>
    </row>
    <row r="168" spans="1:5">
      <c r="A168" s="17" t="s">
        <v>2287</v>
      </c>
      <c r="B168" s="17" t="s">
        <v>2288</v>
      </c>
      <c r="C168" s="7" t="s">
        <v>2289</v>
      </c>
      <c r="D168" s="17" t="s">
        <v>1860</v>
      </c>
      <c r="E168" s="13" t="s">
        <v>744</v>
      </c>
    </row>
    <row r="169" spans="1:5">
      <c r="A169" s="17" t="s">
        <v>2290</v>
      </c>
      <c r="B169" s="17" t="s">
        <v>2291</v>
      </c>
      <c r="C169" s="7" t="s">
        <v>2292</v>
      </c>
      <c r="D169" s="17" t="s">
        <v>1860</v>
      </c>
      <c r="E169" s="13" t="s">
        <v>744</v>
      </c>
    </row>
    <row r="170" spans="1:5">
      <c r="A170" s="17" t="s">
        <v>2293</v>
      </c>
      <c r="B170" s="17" t="s">
        <v>2294</v>
      </c>
      <c r="C170" s="7" t="s">
        <v>2295</v>
      </c>
      <c r="D170" s="17" t="s">
        <v>805</v>
      </c>
      <c r="E170" s="13" t="s">
        <v>744</v>
      </c>
    </row>
    <row r="171" spans="1:5">
      <c r="A171" s="17" t="s">
        <v>2296</v>
      </c>
      <c r="B171" s="17" t="s">
        <v>2297</v>
      </c>
      <c r="C171" s="7" t="s">
        <v>2298</v>
      </c>
      <c r="D171" s="17" t="s">
        <v>1860</v>
      </c>
      <c r="E171" s="13" t="s">
        <v>744</v>
      </c>
    </row>
    <row r="172" spans="1:5">
      <c r="A172" s="17" t="s">
        <v>2299</v>
      </c>
      <c r="B172" s="17" t="s">
        <v>2300</v>
      </c>
      <c r="C172" s="7" t="s">
        <v>2301</v>
      </c>
      <c r="D172" s="17" t="s">
        <v>1860</v>
      </c>
      <c r="E172" s="13" t="s">
        <v>744</v>
      </c>
    </row>
    <row r="173" spans="1:5">
      <c r="A173" s="17" t="s">
        <v>2302</v>
      </c>
      <c r="B173" s="17" t="s">
        <v>2303</v>
      </c>
      <c r="C173" s="7" t="s">
        <v>2304</v>
      </c>
      <c r="D173" s="17" t="s">
        <v>1860</v>
      </c>
      <c r="E173" s="13" t="s">
        <v>744</v>
      </c>
    </row>
    <row r="174" spans="1:5">
      <c r="A174" s="17" t="s">
        <v>2305</v>
      </c>
      <c r="B174" s="17" t="s">
        <v>2306</v>
      </c>
      <c r="C174" s="7" t="s">
        <v>2307</v>
      </c>
      <c r="D174" s="17" t="s">
        <v>805</v>
      </c>
      <c r="E174" s="13" t="s">
        <v>744</v>
      </c>
    </row>
    <row r="175" spans="1:5">
      <c r="A175" s="17" t="s">
        <v>2308</v>
      </c>
      <c r="B175" s="17" t="s">
        <v>2309</v>
      </c>
      <c r="C175" s="7" t="s">
        <v>2310</v>
      </c>
      <c r="D175" s="17" t="s">
        <v>1860</v>
      </c>
      <c r="E175" s="13" t="s">
        <v>744</v>
      </c>
    </row>
    <row r="176" spans="1:5">
      <c r="A176" s="17" t="s">
        <v>2311</v>
      </c>
      <c r="B176" s="17" t="s">
        <v>2312</v>
      </c>
      <c r="C176" s="7" t="s">
        <v>2313</v>
      </c>
      <c r="D176" s="17" t="s">
        <v>1860</v>
      </c>
      <c r="E176" s="13" t="s">
        <v>744</v>
      </c>
    </row>
    <row r="177" spans="1:5">
      <c r="A177" s="17" t="s">
        <v>2314</v>
      </c>
      <c r="B177" s="17" t="s">
        <v>2315</v>
      </c>
      <c r="C177" s="7" t="s">
        <v>2316</v>
      </c>
      <c r="D177" s="17" t="s">
        <v>1860</v>
      </c>
      <c r="E177" s="13" t="s">
        <v>744</v>
      </c>
    </row>
    <row r="178" spans="1:5">
      <c r="A178" s="17" t="s">
        <v>2317</v>
      </c>
      <c r="B178" s="17" t="s">
        <v>2318</v>
      </c>
      <c r="C178" s="7" t="s">
        <v>2319</v>
      </c>
      <c r="D178" s="17" t="s">
        <v>805</v>
      </c>
      <c r="E178" s="13" t="s">
        <v>744</v>
      </c>
    </row>
    <row r="179" spans="1:5">
      <c r="A179" s="17" t="s">
        <v>2320</v>
      </c>
      <c r="B179" s="17" t="s">
        <v>2321</v>
      </c>
      <c r="C179" s="7" t="s">
        <v>2322</v>
      </c>
      <c r="D179" s="17" t="s">
        <v>1860</v>
      </c>
      <c r="E179" s="13" t="s">
        <v>744</v>
      </c>
    </row>
    <row r="180" spans="1:5">
      <c r="A180" s="17" t="s">
        <v>2323</v>
      </c>
      <c r="B180" s="17" t="s">
        <v>2324</v>
      </c>
      <c r="C180" s="7" t="s">
        <v>2325</v>
      </c>
      <c r="D180" s="17" t="s">
        <v>1860</v>
      </c>
      <c r="E180" s="13" t="s">
        <v>744</v>
      </c>
    </row>
    <row r="181" spans="1:5">
      <c r="A181" s="17" t="s">
        <v>2326</v>
      </c>
      <c r="B181" s="17" t="s">
        <v>2327</v>
      </c>
      <c r="C181" s="7" t="s">
        <v>2328</v>
      </c>
      <c r="D181" s="17" t="s">
        <v>1860</v>
      </c>
      <c r="E181" s="13" t="s">
        <v>744</v>
      </c>
    </row>
    <row r="182" spans="1:5">
      <c r="A182" s="17" t="s">
        <v>2329</v>
      </c>
      <c r="B182" s="17" t="s">
        <v>2330</v>
      </c>
      <c r="C182" s="7" t="s">
        <v>2331</v>
      </c>
      <c r="D182" s="17" t="s">
        <v>805</v>
      </c>
      <c r="E182" s="13" t="s">
        <v>744</v>
      </c>
    </row>
    <row r="183" spans="1:5">
      <c r="A183" s="17" t="s">
        <v>2332</v>
      </c>
      <c r="B183" s="17" t="s">
        <v>2333</v>
      </c>
      <c r="C183" s="7" t="s">
        <v>2334</v>
      </c>
      <c r="D183" s="17" t="s">
        <v>1860</v>
      </c>
      <c r="E183" s="13" t="s">
        <v>744</v>
      </c>
    </row>
    <row r="184" spans="1:5">
      <c r="A184" s="17" t="s">
        <v>2335</v>
      </c>
      <c r="B184" s="17" t="s">
        <v>2336</v>
      </c>
      <c r="C184" s="7" t="s">
        <v>2337</v>
      </c>
      <c r="D184" s="17" t="s">
        <v>1860</v>
      </c>
      <c r="E184" s="13" t="s">
        <v>744</v>
      </c>
    </row>
    <row r="185" spans="1:5">
      <c r="A185" s="17" t="s">
        <v>2338</v>
      </c>
      <c r="B185" s="17" t="s">
        <v>2339</v>
      </c>
      <c r="C185" s="7" t="s">
        <v>2340</v>
      </c>
      <c r="D185" s="17" t="s">
        <v>1860</v>
      </c>
      <c r="E185" s="13" t="s">
        <v>744</v>
      </c>
    </row>
    <row r="186" spans="1:5">
      <c r="A186" s="17" t="s">
        <v>2341</v>
      </c>
      <c r="B186" s="17" t="s">
        <v>2342</v>
      </c>
      <c r="C186" s="7" t="s">
        <v>2343</v>
      </c>
      <c r="D186" s="17" t="s">
        <v>805</v>
      </c>
      <c r="E186" s="13" t="s">
        <v>744</v>
      </c>
    </row>
    <row r="187" spans="1:5">
      <c r="A187" s="17" t="s">
        <v>2344</v>
      </c>
      <c r="B187" s="17" t="s">
        <v>2345</v>
      </c>
      <c r="C187" s="7" t="s">
        <v>2346</v>
      </c>
      <c r="D187" s="17" t="s">
        <v>1860</v>
      </c>
      <c r="E187" s="13" t="s">
        <v>744</v>
      </c>
    </row>
    <row r="188" spans="1:5">
      <c r="A188" s="17" t="s">
        <v>2347</v>
      </c>
      <c r="B188" s="17" t="s">
        <v>2348</v>
      </c>
      <c r="C188" s="7" t="s">
        <v>2349</v>
      </c>
      <c r="D188" s="17" t="s">
        <v>1860</v>
      </c>
      <c r="E188" s="13" t="s">
        <v>744</v>
      </c>
    </row>
    <row r="189" spans="1:5">
      <c r="A189" s="17" t="s">
        <v>2350</v>
      </c>
      <c r="B189" s="17" t="s">
        <v>2351</v>
      </c>
      <c r="C189" s="7" t="s">
        <v>2352</v>
      </c>
      <c r="D189" s="17" t="s">
        <v>1860</v>
      </c>
      <c r="E189" s="13" t="s">
        <v>744</v>
      </c>
    </row>
    <row r="190" spans="1:5">
      <c r="A190" s="17" t="s">
        <v>2353</v>
      </c>
      <c r="B190" s="17" t="s">
        <v>2354</v>
      </c>
      <c r="C190" s="7" t="s">
        <v>2355</v>
      </c>
      <c r="D190" s="17" t="s">
        <v>805</v>
      </c>
      <c r="E190" s="13" t="s">
        <v>744</v>
      </c>
    </row>
    <row r="191" spans="1:5">
      <c r="A191" s="17" t="s">
        <v>2356</v>
      </c>
      <c r="B191" s="17" t="s">
        <v>2357</v>
      </c>
      <c r="C191" s="7" t="s">
        <v>2358</v>
      </c>
      <c r="D191" s="17" t="s">
        <v>1860</v>
      </c>
      <c r="E191" s="13" t="s">
        <v>744</v>
      </c>
    </row>
    <row r="192" spans="1:5">
      <c r="A192" s="17" t="s">
        <v>2359</v>
      </c>
      <c r="B192" s="17" t="s">
        <v>2360</v>
      </c>
      <c r="C192" s="7" t="s">
        <v>2361</v>
      </c>
      <c r="D192" s="17" t="s">
        <v>1860</v>
      </c>
      <c r="E192" s="13" t="s">
        <v>744</v>
      </c>
    </row>
    <row r="193" spans="1:5">
      <c r="A193" s="17" t="s">
        <v>2362</v>
      </c>
      <c r="B193" s="17" t="s">
        <v>2363</v>
      </c>
      <c r="C193" s="7" t="s">
        <v>2364</v>
      </c>
      <c r="D193" s="17" t="s">
        <v>1860</v>
      </c>
      <c r="E193" s="13" t="s">
        <v>744</v>
      </c>
    </row>
    <row r="194" spans="1:5">
      <c r="A194" s="17" t="s">
        <v>2365</v>
      </c>
      <c r="B194" s="17" t="s">
        <v>2366</v>
      </c>
      <c r="C194" s="7" t="s">
        <v>2367</v>
      </c>
      <c r="D194" s="17" t="s">
        <v>805</v>
      </c>
      <c r="E194" s="13" t="s">
        <v>744</v>
      </c>
    </row>
    <row r="195" spans="1:5">
      <c r="A195" s="17" t="s">
        <v>2368</v>
      </c>
      <c r="B195" s="17" t="s">
        <v>2369</v>
      </c>
      <c r="C195" s="7" t="s">
        <v>2370</v>
      </c>
      <c r="D195" s="17" t="s">
        <v>1860</v>
      </c>
      <c r="E195" s="13" t="s">
        <v>744</v>
      </c>
    </row>
    <row r="196" spans="1:5">
      <c r="A196" s="17" t="s">
        <v>2371</v>
      </c>
      <c r="B196" s="17" t="s">
        <v>2372</v>
      </c>
      <c r="C196" s="7" t="s">
        <v>2373</v>
      </c>
      <c r="D196" s="17" t="s">
        <v>1860</v>
      </c>
      <c r="E196" s="13" t="s">
        <v>744</v>
      </c>
    </row>
    <row r="197" spans="1:5">
      <c r="A197" s="17" t="s">
        <v>2374</v>
      </c>
      <c r="B197" s="17" t="s">
        <v>2375</v>
      </c>
      <c r="C197" s="7" t="s">
        <v>2376</v>
      </c>
      <c r="D197" s="17" t="s">
        <v>1860</v>
      </c>
      <c r="E197" s="13" t="s">
        <v>744</v>
      </c>
    </row>
    <row r="198" spans="1:5">
      <c r="A198" s="17" t="s">
        <v>2377</v>
      </c>
      <c r="B198" s="17" t="s">
        <v>2378</v>
      </c>
      <c r="C198" s="7" t="s">
        <v>2379</v>
      </c>
      <c r="D198" s="17" t="s">
        <v>805</v>
      </c>
      <c r="E198" s="13" t="s">
        <v>744</v>
      </c>
    </row>
    <row r="199" spans="1:5">
      <c r="A199" s="17" t="s">
        <v>2380</v>
      </c>
      <c r="B199" s="17" t="s">
        <v>2381</v>
      </c>
      <c r="C199" s="7" t="s">
        <v>2382</v>
      </c>
      <c r="D199" s="17" t="s">
        <v>1860</v>
      </c>
      <c r="E199" s="13" t="s">
        <v>744</v>
      </c>
    </row>
    <row r="200" spans="1:5">
      <c r="A200" s="17" t="s">
        <v>2383</v>
      </c>
      <c r="B200" s="17" t="s">
        <v>2384</v>
      </c>
      <c r="C200" s="7" t="s">
        <v>2385</v>
      </c>
      <c r="D200" s="17" t="s">
        <v>1860</v>
      </c>
      <c r="E200" s="13" t="s">
        <v>744</v>
      </c>
    </row>
    <row r="201" spans="1:5">
      <c r="A201" s="17" t="s">
        <v>2386</v>
      </c>
      <c r="B201" s="17" t="s">
        <v>2387</v>
      </c>
      <c r="C201" s="7" t="s">
        <v>2388</v>
      </c>
      <c r="D201" s="17" t="s">
        <v>1860</v>
      </c>
      <c r="E201" s="13" t="s">
        <v>744</v>
      </c>
    </row>
    <row r="202" spans="1:5">
      <c r="A202" s="17" t="s">
        <v>2389</v>
      </c>
      <c r="B202" s="17" t="s">
        <v>2390</v>
      </c>
      <c r="C202" s="7" t="s">
        <v>2391</v>
      </c>
      <c r="D202" s="17" t="s">
        <v>805</v>
      </c>
      <c r="E202" s="13" t="s">
        <v>744</v>
      </c>
    </row>
    <row r="203" spans="1:5">
      <c r="A203" s="17" t="s">
        <v>2392</v>
      </c>
      <c r="B203" s="17" t="s">
        <v>2393</v>
      </c>
      <c r="C203" s="7" t="s">
        <v>2394</v>
      </c>
      <c r="D203" s="17" t="s">
        <v>1860</v>
      </c>
      <c r="E203" s="13" t="s">
        <v>744</v>
      </c>
    </row>
    <row r="204" spans="1:5">
      <c r="A204" s="17" t="s">
        <v>2395</v>
      </c>
      <c r="B204" s="17" t="s">
        <v>2396</v>
      </c>
      <c r="C204" s="7" t="s">
        <v>2397</v>
      </c>
      <c r="D204" s="17" t="s">
        <v>1860</v>
      </c>
      <c r="E204" s="13" t="s">
        <v>744</v>
      </c>
    </row>
    <row r="205" spans="1:5">
      <c r="A205" s="17" t="s">
        <v>2398</v>
      </c>
      <c r="B205" s="17" t="s">
        <v>2399</v>
      </c>
      <c r="C205" s="7" t="s">
        <v>2400</v>
      </c>
      <c r="D205" s="17" t="s">
        <v>1860</v>
      </c>
      <c r="E205" s="13" t="s">
        <v>744</v>
      </c>
    </row>
    <row r="206" spans="1:5">
      <c r="A206" s="17" t="s">
        <v>2401</v>
      </c>
      <c r="B206" s="17" t="s">
        <v>2402</v>
      </c>
      <c r="C206" s="7" t="s">
        <v>2403</v>
      </c>
      <c r="D206" s="17" t="s">
        <v>805</v>
      </c>
      <c r="E206" s="13" t="s">
        <v>744</v>
      </c>
    </row>
    <row r="207" spans="1:5">
      <c r="A207" s="17" t="s">
        <v>2404</v>
      </c>
      <c r="B207" s="17" t="s">
        <v>2405</v>
      </c>
      <c r="C207" s="7" t="s">
        <v>2406</v>
      </c>
      <c r="D207" s="17" t="s">
        <v>1860</v>
      </c>
      <c r="E207" s="13" t="s">
        <v>744</v>
      </c>
    </row>
    <row r="208" spans="1:5">
      <c r="A208" s="17" t="s">
        <v>2407</v>
      </c>
      <c r="B208" s="17" t="s">
        <v>2408</v>
      </c>
      <c r="C208" s="7" t="s">
        <v>2409</v>
      </c>
      <c r="D208" s="17" t="s">
        <v>1860</v>
      </c>
      <c r="E208" s="13" t="s">
        <v>744</v>
      </c>
    </row>
    <row r="209" spans="1:5">
      <c r="A209" s="17" t="s">
        <v>2410</v>
      </c>
      <c r="B209" s="17" t="s">
        <v>2411</v>
      </c>
      <c r="C209" s="7" t="s">
        <v>2412</v>
      </c>
      <c r="D209" s="17" t="s">
        <v>1860</v>
      </c>
      <c r="E209" s="13" t="s">
        <v>744</v>
      </c>
    </row>
    <row r="210" spans="1:5">
      <c r="A210" s="17" t="s">
        <v>2413</v>
      </c>
      <c r="B210" s="17" t="s">
        <v>2414</v>
      </c>
      <c r="C210" s="7" t="s">
        <v>2415</v>
      </c>
      <c r="D210" s="17" t="s">
        <v>805</v>
      </c>
      <c r="E210" s="13" t="s">
        <v>744</v>
      </c>
    </row>
    <row r="211" spans="1:5">
      <c r="A211" s="17" t="s">
        <v>2416</v>
      </c>
      <c r="B211" s="17" t="s">
        <v>2417</v>
      </c>
      <c r="C211" s="7" t="s">
        <v>2418</v>
      </c>
      <c r="D211" s="17" t="s">
        <v>1860</v>
      </c>
      <c r="E211" s="13" t="s">
        <v>744</v>
      </c>
    </row>
    <row r="212" spans="1:5">
      <c r="A212" s="17" t="s">
        <v>2419</v>
      </c>
      <c r="B212" s="17" t="s">
        <v>2420</v>
      </c>
      <c r="C212" s="7" t="s">
        <v>2421</v>
      </c>
      <c r="D212" s="17" t="s">
        <v>1860</v>
      </c>
      <c r="E212" s="13" t="s">
        <v>744</v>
      </c>
    </row>
    <row r="213" spans="1:5">
      <c r="A213" s="17" t="s">
        <v>2422</v>
      </c>
      <c r="B213" s="17" t="s">
        <v>2423</v>
      </c>
      <c r="C213" s="7" t="s">
        <v>2424</v>
      </c>
      <c r="D213" s="17" t="s">
        <v>1860</v>
      </c>
      <c r="E213" s="13" t="s">
        <v>744</v>
      </c>
    </row>
    <row r="214" spans="1:5">
      <c r="A214" s="17" t="s">
        <v>2425</v>
      </c>
      <c r="B214" s="17" t="s">
        <v>2426</v>
      </c>
      <c r="C214" s="7" t="s">
        <v>2427</v>
      </c>
      <c r="D214" s="17" t="s">
        <v>805</v>
      </c>
      <c r="E214" s="13" t="s">
        <v>744</v>
      </c>
    </row>
    <row r="215" spans="1:5">
      <c r="A215" s="17" t="s">
        <v>2428</v>
      </c>
      <c r="B215" s="17" t="s">
        <v>2429</v>
      </c>
      <c r="C215" s="7" t="s">
        <v>2430</v>
      </c>
      <c r="D215" s="17" t="s">
        <v>1860</v>
      </c>
      <c r="E215" s="13" t="s">
        <v>744</v>
      </c>
    </row>
    <row r="216" spans="1:5">
      <c r="A216" s="17" t="s">
        <v>2431</v>
      </c>
      <c r="B216" s="17" t="s">
        <v>2432</v>
      </c>
      <c r="C216" s="7" t="s">
        <v>2433</v>
      </c>
      <c r="D216" s="17" t="s">
        <v>1860</v>
      </c>
      <c r="E216" s="13" t="s">
        <v>744</v>
      </c>
    </row>
    <row r="217" spans="1:5">
      <c r="A217" s="17" t="s">
        <v>2434</v>
      </c>
      <c r="B217" s="17" t="s">
        <v>2435</v>
      </c>
      <c r="C217" s="7" t="s">
        <v>2436</v>
      </c>
      <c r="D217" s="17" t="s">
        <v>1860</v>
      </c>
      <c r="E217" s="13" t="s">
        <v>744</v>
      </c>
    </row>
    <row r="218" spans="1:5">
      <c r="A218" s="17" t="s">
        <v>2437</v>
      </c>
      <c r="B218" s="17" t="s">
        <v>2438</v>
      </c>
      <c r="C218" s="7" t="s">
        <v>2439</v>
      </c>
      <c r="D218" s="17" t="s">
        <v>805</v>
      </c>
      <c r="E218" s="13" t="s">
        <v>744</v>
      </c>
    </row>
    <row r="219" spans="1:5">
      <c r="A219" s="17" t="s">
        <v>2440</v>
      </c>
      <c r="B219" s="17" t="s">
        <v>2441</v>
      </c>
      <c r="C219" s="7" t="s">
        <v>2442</v>
      </c>
      <c r="D219" s="17" t="s">
        <v>1860</v>
      </c>
      <c r="E219" s="13" t="s">
        <v>744</v>
      </c>
    </row>
    <row r="220" spans="1:5">
      <c r="A220" s="17" t="s">
        <v>2443</v>
      </c>
      <c r="B220" s="17" t="s">
        <v>2444</v>
      </c>
      <c r="C220" s="7" t="s">
        <v>2445</v>
      </c>
      <c r="D220" s="17" t="s">
        <v>1860</v>
      </c>
      <c r="E220" s="13" t="s">
        <v>744</v>
      </c>
    </row>
    <row r="221" spans="1:5">
      <c r="A221" s="17" t="s">
        <v>2446</v>
      </c>
      <c r="B221" s="17" t="s">
        <v>2447</v>
      </c>
      <c r="C221" s="7" t="s">
        <v>2448</v>
      </c>
      <c r="D221" s="17" t="s">
        <v>1860</v>
      </c>
      <c r="E221" s="13" t="s">
        <v>744</v>
      </c>
    </row>
    <row r="222" spans="1:5">
      <c r="A222" s="17" t="s">
        <v>2449</v>
      </c>
      <c r="B222" s="17" t="s">
        <v>2450</v>
      </c>
      <c r="C222" s="7" t="s">
        <v>2451</v>
      </c>
      <c r="D222" s="17" t="s">
        <v>805</v>
      </c>
      <c r="E222" s="13" t="s">
        <v>744</v>
      </c>
    </row>
    <row r="223" spans="1:5">
      <c r="A223" s="17" t="s">
        <v>2452</v>
      </c>
      <c r="B223" s="17" t="s">
        <v>2453</v>
      </c>
      <c r="C223" s="7" t="s">
        <v>2454</v>
      </c>
      <c r="D223" s="17" t="s">
        <v>1860</v>
      </c>
      <c r="E223" s="13" t="s">
        <v>744</v>
      </c>
    </row>
    <row r="224" spans="1:5">
      <c r="A224" s="17" t="s">
        <v>2455</v>
      </c>
      <c r="B224" s="17" t="s">
        <v>2456</v>
      </c>
      <c r="C224" s="7" t="s">
        <v>2457</v>
      </c>
      <c r="D224" s="17" t="s">
        <v>1860</v>
      </c>
      <c r="E224" s="13" t="s">
        <v>744</v>
      </c>
    </row>
    <row r="225" spans="1:5">
      <c r="A225" s="17" t="s">
        <v>2458</v>
      </c>
      <c r="B225" s="17" t="s">
        <v>2459</v>
      </c>
      <c r="C225" s="7" t="s">
        <v>2460</v>
      </c>
      <c r="D225" s="17" t="s">
        <v>1860</v>
      </c>
      <c r="E225" s="13" t="s">
        <v>744</v>
      </c>
    </row>
    <row r="226" spans="1:5">
      <c r="A226" s="17" t="s">
        <v>2461</v>
      </c>
      <c r="B226" s="17" t="s">
        <v>2462</v>
      </c>
      <c r="C226" s="7" t="s">
        <v>2463</v>
      </c>
      <c r="D226" s="17" t="s">
        <v>805</v>
      </c>
      <c r="E226" s="13" t="s">
        <v>744</v>
      </c>
    </row>
    <row r="227" spans="1:5">
      <c r="A227" s="17" t="s">
        <v>2464</v>
      </c>
      <c r="B227" s="17" t="s">
        <v>2465</v>
      </c>
      <c r="C227" s="7" t="s">
        <v>2466</v>
      </c>
      <c r="D227" s="17" t="s">
        <v>1860</v>
      </c>
      <c r="E227" s="13" t="s">
        <v>744</v>
      </c>
    </row>
    <row r="228" spans="1:5">
      <c r="A228" s="17" t="s">
        <v>2467</v>
      </c>
      <c r="B228" s="17" t="s">
        <v>2468</v>
      </c>
      <c r="C228" s="7" t="s">
        <v>2469</v>
      </c>
      <c r="D228" s="17" t="s">
        <v>1860</v>
      </c>
      <c r="E228" s="13" t="s">
        <v>744</v>
      </c>
    </row>
    <row r="229" spans="1:5">
      <c r="A229" s="17" t="s">
        <v>2470</v>
      </c>
      <c r="B229" s="17" t="s">
        <v>2471</v>
      </c>
      <c r="C229" s="7" t="s">
        <v>2472</v>
      </c>
      <c r="D229" s="17" t="s">
        <v>1860</v>
      </c>
      <c r="E229" s="13" t="s">
        <v>744</v>
      </c>
    </row>
    <row r="230" spans="1:5">
      <c r="A230" s="17" t="s">
        <v>2473</v>
      </c>
      <c r="B230" s="17" t="s">
        <v>2474</v>
      </c>
      <c r="C230" s="7" t="s">
        <v>2475</v>
      </c>
      <c r="D230" s="17" t="s">
        <v>805</v>
      </c>
      <c r="E230" s="13" t="s">
        <v>744</v>
      </c>
    </row>
    <row r="231" spans="1:5">
      <c r="A231" s="17" t="s">
        <v>2476</v>
      </c>
      <c r="B231" s="17" t="s">
        <v>2477</v>
      </c>
      <c r="C231" s="7" t="s">
        <v>2478</v>
      </c>
      <c r="D231" s="17" t="s">
        <v>1860</v>
      </c>
      <c r="E231" s="13" t="s">
        <v>744</v>
      </c>
    </row>
    <row r="232" spans="1:5">
      <c r="A232" s="17" t="s">
        <v>2479</v>
      </c>
      <c r="B232" s="17" t="s">
        <v>2480</v>
      </c>
      <c r="C232" s="7" t="s">
        <v>2481</v>
      </c>
      <c r="D232" s="17" t="s">
        <v>1860</v>
      </c>
      <c r="E232" s="13" t="s">
        <v>744</v>
      </c>
    </row>
    <row r="233" spans="1:5">
      <c r="A233" s="17" t="s">
        <v>2482</v>
      </c>
      <c r="B233" s="17" t="s">
        <v>2483</v>
      </c>
      <c r="C233" s="7" t="s">
        <v>2484</v>
      </c>
      <c r="D233" s="17" t="s">
        <v>1860</v>
      </c>
      <c r="E233" s="13" t="s">
        <v>744</v>
      </c>
    </row>
    <row r="234" spans="1:5">
      <c r="A234" s="17" t="s">
        <v>2485</v>
      </c>
      <c r="B234" s="17" t="s">
        <v>2486</v>
      </c>
      <c r="C234" s="7" t="s">
        <v>2487</v>
      </c>
      <c r="D234" s="17" t="s">
        <v>805</v>
      </c>
      <c r="E234" s="13" t="s">
        <v>744</v>
      </c>
    </row>
    <row r="235" spans="1:5">
      <c r="A235" s="17" t="s">
        <v>2488</v>
      </c>
      <c r="B235" s="17" t="s">
        <v>2489</v>
      </c>
      <c r="C235" s="7" t="s">
        <v>2490</v>
      </c>
      <c r="D235" s="17" t="s">
        <v>1860</v>
      </c>
      <c r="E235" s="13" t="s">
        <v>744</v>
      </c>
    </row>
    <row r="236" spans="1:5">
      <c r="A236" s="17" t="s">
        <v>2491</v>
      </c>
      <c r="B236" s="17" t="s">
        <v>2492</v>
      </c>
      <c r="C236" s="7" t="s">
        <v>2493</v>
      </c>
      <c r="D236" s="17" t="s">
        <v>1860</v>
      </c>
      <c r="E236" s="13" t="s">
        <v>744</v>
      </c>
    </row>
    <row r="237" spans="1:5">
      <c r="A237" s="17" t="s">
        <v>2494</v>
      </c>
      <c r="B237" s="17" t="s">
        <v>2495</v>
      </c>
      <c r="C237" s="7" t="s">
        <v>2496</v>
      </c>
      <c r="D237" s="17" t="s">
        <v>1860</v>
      </c>
      <c r="E237" s="13" t="s">
        <v>744</v>
      </c>
    </row>
    <row r="238" spans="1:5">
      <c r="A238" s="17" t="s">
        <v>2497</v>
      </c>
      <c r="B238" s="17" t="s">
        <v>2498</v>
      </c>
      <c r="C238" s="7" t="s">
        <v>2499</v>
      </c>
      <c r="D238" s="17" t="s">
        <v>805</v>
      </c>
      <c r="E238" s="13" t="s">
        <v>744</v>
      </c>
    </row>
    <row r="239" spans="1:5">
      <c r="A239" s="17" t="s">
        <v>2500</v>
      </c>
      <c r="B239" s="17" t="s">
        <v>2501</v>
      </c>
      <c r="C239" s="7" t="s">
        <v>2502</v>
      </c>
      <c r="D239" s="17" t="s">
        <v>1860</v>
      </c>
      <c r="E239" s="13" t="s">
        <v>744</v>
      </c>
    </row>
    <row r="240" spans="1:5">
      <c r="A240" s="17" t="s">
        <v>2503</v>
      </c>
      <c r="B240" s="17" t="s">
        <v>2504</v>
      </c>
      <c r="C240" s="7" t="s">
        <v>2505</v>
      </c>
      <c r="D240" s="17" t="s">
        <v>1860</v>
      </c>
      <c r="E240" s="13" t="s">
        <v>744</v>
      </c>
    </row>
    <row r="241" spans="1:5">
      <c r="A241" s="17" t="s">
        <v>2506</v>
      </c>
      <c r="B241" s="17" t="s">
        <v>2507</v>
      </c>
      <c r="C241" s="7" t="s">
        <v>2508</v>
      </c>
      <c r="D241" s="17" t="s">
        <v>1860</v>
      </c>
      <c r="E241" s="13" t="s">
        <v>744</v>
      </c>
    </row>
    <row r="242" spans="1:5">
      <c r="A242" s="17" t="s">
        <v>2509</v>
      </c>
      <c r="B242" s="17" t="s">
        <v>2510</v>
      </c>
      <c r="C242" s="7" t="s">
        <v>2511</v>
      </c>
      <c r="D242" s="17" t="s">
        <v>805</v>
      </c>
      <c r="E242" s="13" t="s">
        <v>744</v>
      </c>
    </row>
    <row r="243" spans="1:5">
      <c r="A243" s="17" t="s">
        <v>2512</v>
      </c>
      <c r="B243" s="17" t="s">
        <v>2513</v>
      </c>
      <c r="C243" s="7" t="s">
        <v>2514</v>
      </c>
      <c r="D243" s="17" t="s">
        <v>1860</v>
      </c>
      <c r="E243" s="13" t="s">
        <v>744</v>
      </c>
    </row>
    <row r="244" spans="1:5">
      <c r="A244" s="17" t="s">
        <v>2515</v>
      </c>
      <c r="B244" s="17" t="s">
        <v>2516</v>
      </c>
      <c r="C244" s="7" t="s">
        <v>2517</v>
      </c>
      <c r="D244" s="17" t="s">
        <v>1860</v>
      </c>
      <c r="E244" s="13" t="s">
        <v>744</v>
      </c>
    </row>
    <row r="245" spans="1:5">
      <c r="A245" s="17" t="s">
        <v>2518</v>
      </c>
      <c r="B245" s="17" t="s">
        <v>2519</v>
      </c>
      <c r="C245" s="7" t="s">
        <v>2520</v>
      </c>
      <c r="D245" s="17" t="s">
        <v>1860</v>
      </c>
      <c r="E245" s="13" t="s">
        <v>744</v>
      </c>
    </row>
    <row r="246" spans="1:5">
      <c r="A246" s="17" t="s">
        <v>2521</v>
      </c>
      <c r="B246" s="17" t="s">
        <v>2522</v>
      </c>
      <c r="C246" s="7" t="s">
        <v>2523</v>
      </c>
      <c r="D246" s="17" t="s">
        <v>805</v>
      </c>
      <c r="E246" s="13" t="s">
        <v>744</v>
      </c>
    </row>
    <row r="247" spans="1:5">
      <c r="A247" s="17" t="s">
        <v>2524</v>
      </c>
      <c r="B247" s="17" t="s">
        <v>2525</v>
      </c>
      <c r="C247" s="7" t="s">
        <v>2526</v>
      </c>
      <c r="D247" s="17" t="s">
        <v>1860</v>
      </c>
      <c r="E247" s="13" t="s">
        <v>744</v>
      </c>
    </row>
    <row r="248" spans="1:5">
      <c r="A248" s="17" t="s">
        <v>2527</v>
      </c>
      <c r="B248" s="17" t="s">
        <v>2528</v>
      </c>
      <c r="C248" s="7" t="s">
        <v>2529</v>
      </c>
      <c r="D248" s="17" t="s">
        <v>1860</v>
      </c>
      <c r="E248" s="13" t="s">
        <v>744</v>
      </c>
    </row>
    <row r="249" spans="1:5">
      <c r="A249" s="17" t="s">
        <v>2530</v>
      </c>
      <c r="B249" s="17" t="s">
        <v>2531</v>
      </c>
      <c r="C249" s="7" t="s">
        <v>2532</v>
      </c>
      <c r="D249" s="17" t="s">
        <v>1860</v>
      </c>
      <c r="E249" s="13" t="s">
        <v>744</v>
      </c>
    </row>
    <row r="250" spans="1:5">
      <c r="A250" s="17" t="s">
        <v>2533</v>
      </c>
      <c r="B250" s="17" t="s">
        <v>2534</v>
      </c>
      <c r="C250" s="7" t="s">
        <v>2535</v>
      </c>
      <c r="D250" s="17" t="s">
        <v>805</v>
      </c>
      <c r="E250" s="13" t="s">
        <v>744</v>
      </c>
    </row>
    <row r="251" spans="1:5">
      <c r="A251" s="17" t="s">
        <v>2536</v>
      </c>
      <c r="B251" s="17" t="s">
        <v>2537</v>
      </c>
      <c r="C251" s="7" t="s">
        <v>2538</v>
      </c>
      <c r="D251" s="17" t="s">
        <v>1860</v>
      </c>
      <c r="E251" s="13" t="s">
        <v>744</v>
      </c>
    </row>
    <row r="252" spans="1:5">
      <c r="A252" s="17" t="s">
        <v>2539</v>
      </c>
      <c r="B252" s="17" t="s">
        <v>2540</v>
      </c>
      <c r="C252" s="7" t="s">
        <v>2541</v>
      </c>
      <c r="D252" s="17" t="s">
        <v>1860</v>
      </c>
      <c r="E252" s="13" t="s">
        <v>744</v>
      </c>
    </row>
    <row r="253" spans="1:5">
      <c r="A253" s="17" t="s">
        <v>2542</v>
      </c>
      <c r="B253" s="17" t="s">
        <v>2543</v>
      </c>
      <c r="C253" s="7" t="s">
        <v>2544</v>
      </c>
      <c r="D253" s="17" t="s">
        <v>1860</v>
      </c>
      <c r="E253" s="13" t="s">
        <v>744</v>
      </c>
    </row>
    <row r="254" spans="1:5">
      <c r="A254" s="17" t="s">
        <v>2545</v>
      </c>
      <c r="B254" s="17" t="s">
        <v>2546</v>
      </c>
      <c r="C254" s="7" t="s">
        <v>2547</v>
      </c>
      <c r="D254" s="17" t="s">
        <v>805</v>
      </c>
      <c r="E254" s="13" t="s">
        <v>744</v>
      </c>
    </row>
    <row r="255" spans="1:5">
      <c r="A255" s="17" t="s">
        <v>2548</v>
      </c>
      <c r="B255" s="17" t="s">
        <v>2549</v>
      </c>
      <c r="C255" s="7" t="s">
        <v>2550</v>
      </c>
      <c r="D255" s="17" t="s">
        <v>1860</v>
      </c>
      <c r="E255" s="13" t="s">
        <v>744</v>
      </c>
    </row>
    <row r="256" spans="1:5">
      <c r="A256" s="17" t="s">
        <v>2551</v>
      </c>
      <c r="B256" s="17" t="s">
        <v>2552</v>
      </c>
      <c r="C256" s="7" t="s">
        <v>2553</v>
      </c>
      <c r="D256" s="17" t="s">
        <v>1860</v>
      </c>
      <c r="E256" s="13" t="s">
        <v>744</v>
      </c>
    </row>
    <row r="257" spans="1:5">
      <c r="A257" s="17" t="s">
        <v>2554</v>
      </c>
      <c r="B257" s="17" t="s">
        <v>2555</v>
      </c>
      <c r="C257" s="7" t="s">
        <v>2556</v>
      </c>
      <c r="D257" s="17" t="s">
        <v>1860</v>
      </c>
      <c r="E257" s="13" t="s">
        <v>744</v>
      </c>
    </row>
    <row r="258" spans="1:5">
      <c r="A258" s="17" t="s">
        <v>2557</v>
      </c>
      <c r="B258" s="17" t="s">
        <v>2558</v>
      </c>
      <c r="C258" s="7" t="s">
        <v>2559</v>
      </c>
      <c r="D258" s="17" t="s">
        <v>805</v>
      </c>
      <c r="E258" s="13" t="s">
        <v>744</v>
      </c>
    </row>
    <row r="259" spans="1:5">
      <c r="A259" s="17" t="s">
        <v>2560</v>
      </c>
      <c r="B259" s="17" t="s">
        <v>2561</v>
      </c>
      <c r="C259" s="7" t="s">
        <v>2562</v>
      </c>
      <c r="D259" s="17" t="s">
        <v>1860</v>
      </c>
      <c r="E259" s="13" t="s">
        <v>744</v>
      </c>
    </row>
    <row r="260" spans="1:5">
      <c r="A260" s="17" t="s">
        <v>2563</v>
      </c>
      <c r="B260" s="17" t="s">
        <v>2564</v>
      </c>
      <c r="C260" s="7" t="s">
        <v>2565</v>
      </c>
      <c r="D260" s="17" t="s">
        <v>1860</v>
      </c>
      <c r="E260" s="13" t="s">
        <v>744</v>
      </c>
    </row>
    <row r="261" spans="1:5">
      <c r="A261" s="17" t="s">
        <v>2566</v>
      </c>
      <c r="B261" s="17" t="s">
        <v>2567</v>
      </c>
      <c r="C261" s="7" t="s">
        <v>2568</v>
      </c>
      <c r="D261" s="17" t="s">
        <v>1860</v>
      </c>
      <c r="E261" s="13" t="s">
        <v>744</v>
      </c>
    </row>
    <row r="262" spans="1:5">
      <c r="A262" s="17" t="s">
        <v>2569</v>
      </c>
      <c r="B262" s="17" t="s">
        <v>2570</v>
      </c>
      <c r="C262" s="7" t="s">
        <v>2571</v>
      </c>
      <c r="D262" s="17" t="s">
        <v>805</v>
      </c>
      <c r="E262" s="13" t="s">
        <v>744</v>
      </c>
    </row>
    <row r="263" spans="1:5">
      <c r="A263" s="17" t="s">
        <v>2572</v>
      </c>
      <c r="B263" s="17" t="s">
        <v>2573</v>
      </c>
      <c r="C263" s="7" t="s">
        <v>2574</v>
      </c>
      <c r="D263" s="17" t="s">
        <v>1860</v>
      </c>
      <c r="E263" s="13" t="s">
        <v>744</v>
      </c>
    </row>
    <row r="264" spans="1:5">
      <c r="A264" s="17" t="s">
        <v>2575</v>
      </c>
      <c r="B264" s="17" t="s">
        <v>2576</v>
      </c>
      <c r="C264" s="7" t="s">
        <v>2577</v>
      </c>
      <c r="D264" s="17" t="s">
        <v>1860</v>
      </c>
      <c r="E264" s="13" t="s">
        <v>744</v>
      </c>
    </row>
    <row r="265" spans="1:5">
      <c r="A265" s="17" t="s">
        <v>2578</v>
      </c>
      <c r="B265" s="17" t="s">
        <v>2579</v>
      </c>
      <c r="C265" s="7" t="s">
        <v>2580</v>
      </c>
      <c r="D265" s="17" t="s">
        <v>1860</v>
      </c>
      <c r="E265" s="13" t="s">
        <v>744</v>
      </c>
    </row>
    <row r="266" spans="1:5">
      <c r="A266" s="17" t="s">
        <v>2581</v>
      </c>
      <c r="B266" s="17" t="s">
        <v>2582</v>
      </c>
      <c r="C266" s="7" t="s">
        <v>2583</v>
      </c>
      <c r="D266" s="17" t="s">
        <v>805</v>
      </c>
      <c r="E266" s="13" t="s">
        <v>744</v>
      </c>
    </row>
    <row r="267" spans="1:5">
      <c r="A267" s="17" t="s">
        <v>2584</v>
      </c>
      <c r="B267" s="17" t="s">
        <v>2585</v>
      </c>
      <c r="C267" s="7" t="s">
        <v>2586</v>
      </c>
      <c r="D267" s="17" t="s">
        <v>1860</v>
      </c>
      <c r="E267" s="13" t="s">
        <v>744</v>
      </c>
    </row>
    <row r="268" spans="1:5">
      <c r="A268" s="17" t="s">
        <v>2587</v>
      </c>
      <c r="B268" s="17" t="s">
        <v>2588</v>
      </c>
      <c r="C268" s="7" t="s">
        <v>2589</v>
      </c>
      <c r="D268" s="17" t="s">
        <v>1860</v>
      </c>
      <c r="E268" s="13" t="s">
        <v>744</v>
      </c>
    </row>
    <row r="269" spans="1:5">
      <c r="A269" s="17" t="s">
        <v>2590</v>
      </c>
      <c r="B269" s="17" t="s">
        <v>2591</v>
      </c>
      <c r="C269" s="7" t="s">
        <v>2592</v>
      </c>
      <c r="D269" s="17" t="s">
        <v>1860</v>
      </c>
      <c r="E269" s="13" t="s">
        <v>744</v>
      </c>
    </row>
    <row r="270" spans="1:5">
      <c r="A270" s="17" t="s">
        <v>2593</v>
      </c>
      <c r="B270" s="17" t="s">
        <v>2594</v>
      </c>
      <c r="C270" s="7" t="s">
        <v>2595</v>
      </c>
      <c r="D270" s="17" t="s">
        <v>805</v>
      </c>
      <c r="E270" s="13" t="s">
        <v>744</v>
      </c>
    </row>
    <row r="271" spans="1:5">
      <c r="A271" s="17" t="s">
        <v>2596</v>
      </c>
      <c r="B271" s="17" t="s">
        <v>2597</v>
      </c>
      <c r="C271" s="7" t="s">
        <v>2598</v>
      </c>
      <c r="D271" s="17" t="s">
        <v>1860</v>
      </c>
      <c r="E271" s="13" t="s">
        <v>744</v>
      </c>
    </row>
    <row r="272" spans="1:5">
      <c r="A272" s="17" t="s">
        <v>2599</v>
      </c>
      <c r="B272" s="17" t="s">
        <v>2600</v>
      </c>
      <c r="C272" s="7" t="s">
        <v>2601</v>
      </c>
      <c r="D272" s="17" t="s">
        <v>1860</v>
      </c>
      <c r="E272" s="13" t="s">
        <v>744</v>
      </c>
    </row>
    <row r="273" spans="1:5">
      <c r="A273" s="17" t="s">
        <v>2602</v>
      </c>
      <c r="B273" s="17" t="s">
        <v>2603</v>
      </c>
      <c r="C273" s="7" t="s">
        <v>2604</v>
      </c>
      <c r="D273" s="17" t="s">
        <v>1860</v>
      </c>
      <c r="E273" s="13" t="s">
        <v>744</v>
      </c>
    </row>
    <row r="274" spans="1:5">
      <c r="A274" s="17" t="s">
        <v>2605</v>
      </c>
      <c r="B274" s="17" t="s">
        <v>2606</v>
      </c>
      <c r="C274" s="7" t="s">
        <v>2607</v>
      </c>
      <c r="D274" s="17" t="s">
        <v>805</v>
      </c>
      <c r="E274" s="13" t="s">
        <v>744</v>
      </c>
    </row>
    <row r="275" spans="1:5">
      <c r="A275" s="17" t="s">
        <v>2608</v>
      </c>
      <c r="B275" s="17" t="s">
        <v>2609</v>
      </c>
      <c r="C275" s="7" t="s">
        <v>2610</v>
      </c>
      <c r="D275" s="17" t="s">
        <v>1860</v>
      </c>
      <c r="E275" s="13" t="s">
        <v>744</v>
      </c>
    </row>
    <row r="276" spans="1:5">
      <c r="A276" s="17" t="s">
        <v>2611</v>
      </c>
      <c r="B276" s="17" t="s">
        <v>2612</v>
      </c>
      <c r="C276" s="7" t="s">
        <v>2613</v>
      </c>
      <c r="D276" s="17" t="s">
        <v>1860</v>
      </c>
      <c r="E276" s="13" t="s">
        <v>744</v>
      </c>
    </row>
    <row r="277" spans="1:5">
      <c r="A277" s="17" t="s">
        <v>2614</v>
      </c>
      <c r="B277" s="17" t="s">
        <v>2615</v>
      </c>
      <c r="C277" s="7" t="s">
        <v>2616</v>
      </c>
      <c r="D277" s="17" t="s">
        <v>1860</v>
      </c>
      <c r="E277" s="13" t="s">
        <v>744</v>
      </c>
    </row>
    <row r="278" spans="1:5">
      <c r="A278" s="17" t="s">
        <v>2617</v>
      </c>
      <c r="B278" s="17" t="s">
        <v>2618</v>
      </c>
      <c r="C278" s="7" t="s">
        <v>2619</v>
      </c>
      <c r="D278" s="17" t="s">
        <v>805</v>
      </c>
      <c r="E278" s="13" t="s">
        <v>744</v>
      </c>
    </row>
    <row r="279" spans="1:5">
      <c r="A279" s="17" t="s">
        <v>2620</v>
      </c>
      <c r="B279" s="17" t="s">
        <v>2621</v>
      </c>
      <c r="C279" s="7" t="s">
        <v>2622</v>
      </c>
      <c r="D279" s="17" t="s">
        <v>1860</v>
      </c>
      <c r="E279" s="13" t="s">
        <v>744</v>
      </c>
    </row>
    <row r="280" spans="1:5">
      <c r="A280" s="17" t="s">
        <v>2623</v>
      </c>
      <c r="B280" s="17" t="s">
        <v>2624</v>
      </c>
      <c r="C280" s="7" t="s">
        <v>2625</v>
      </c>
      <c r="D280" s="17" t="s">
        <v>1860</v>
      </c>
      <c r="E280" s="13" t="s">
        <v>744</v>
      </c>
    </row>
    <row r="281" spans="1:5">
      <c r="A281" s="17" t="s">
        <v>2626</v>
      </c>
      <c r="B281" s="17" t="s">
        <v>2627</v>
      </c>
      <c r="C281" s="7" t="s">
        <v>2628</v>
      </c>
      <c r="D281" s="17" t="s">
        <v>1860</v>
      </c>
      <c r="E281" s="13" t="s">
        <v>744</v>
      </c>
    </row>
    <row r="282" spans="1:5">
      <c r="A282" s="17" t="s">
        <v>2629</v>
      </c>
      <c r="B282" s="17" t="s">
        <v>2630</v>
      </c>
      <c r="C282" s="7" t="s">
        <v>2631</v>
      </c>
      <c r="D282" s="17" t="s">
        <v>805</v>
      </c>
      <c r="E282" s="13" t="s">
        <v>744</v>
      </c>
    </row>
    <row r="283" spans="1:5">
      <c r="A283" s="17" t="s">
        <v>2632</v>
      </c>
      <c r="B283" s="17" t="s">
        <v>2633</v>
      </c>
      <c r="C283" s="7" t="s">
        <v>2634</v>
      </c>
      <c r="D283" s="17" t="s">
        <v>1860</v>
      </c>
      <c r="E283" s="13" t="s">
        <v>744</v>
      </c>
    </row>
    <row r="284" spans="1:5">
      <c r="A284" s="17" t="s">
        <v>2635</v>
      </c>
      <c r="B284" s="17" t="s">
        <v>2636</v>
      </c>
      <c r="C284" s="7" t="s">
        <v>2637</v>
      </c>
      <c r="D284" s="17" t="s">
        <v>1860</v>
      </c>
      <c r="E284" s="13" t="s">
        <v>744</v>
      </c>
    </row>
    <row r="285" spans="1:5">
      <c r="A285" s="17" t="s">
        <v>2638</v>
      </c>
      <c r="B285" s="17" t="s">
        <v>2639</v>
      </c>
      <c r="C285" s="7" t="s">
        <v>2640</v>
      </c>
      <c r="D285" s="17" t="s">
        <v>1860</v>
      </c>
      <c r="E285" s="13" t="s">
        <v>744</v>
      </c>
    </row>
    <row r="286" spans="1:5">
      <c r="A286" s="17" t="s">
        <v>2641</v>
      </c>
      <c r="B286" s="17" t="s">
        <v>2642</v>
      </c>
      <c r="C286" s="7" t="s">
        <v>2643</v>
      </c>
      <c r="D286" s="17" t="s">
        <v>805</v>
      </c>
      <c r="E286" s="13" t="s">
        <v>744</v>
      </c>
    </row>
    <row r="287" spans="1:5">
      <c r="A287" s="17" t="s">
        <v>2644</v>
      </c>
      <c r="B287" s="17" t="s">
        <v>2645</v>
      </c>
      <c r="C287" s="7" t="s">
        <v>2646</v>
      </c>
      <c r="D287" s="17" t="s">
        <v>1860</v>
      </c>
      <c r="E287" s="13" t="s">
        <v>744</v>
      </c>
    </row>
    <row r="288" spans="1:5">
      <c r="A288" s="17" t="s">
        <v>2647</v>
      </c>
      <c r="B288" s="17" t="s">
        <v>2648</v>
      </c>
      <c r="C288" s="7" t="s">
        <v>2649</v>
      </c>
      <c r="D288" s="17" t="s">
        <v>1860</v>
      </c>
      <c r="E288" s="13" t="s">
        <v>744</v>
      </c>
    </row>
    <row r="289" spans="1:5">
      <c r="A289" s="17" t="s">
        <v>2650</v>
      </c>
      <c r="B289" s="17" t="s">
        <v>2651</v>
      </c>
      <c r="C289" s="7" t="s">
        <v>2652</v>
      </c>
      <c r="D289" s="17" t="s">
        <v>1860</v>
      </c>
      <c r="E289" s="13" t="s">
        <v>744</v>
      </c>
    </row>
    <row r="290" spans="1:5">
      <c r="A290" s="17" t="s">
        <v>2653</v>
      </c>
      <c r="B290" s="17" t="s">
        <v>2654</v>
      </c>
      <c r="C290" s="7" t="s">
        <v>2655</v>
      </c>
      <c r="D290" s="17" t="s">
        <v>805</v>
      </c>
      <c r="E290" s="13" t="s">
        <v>744</v>
      </c>
    </row>
    <row r="291" spans="1:5">
      <c r="A291" s="17" t="s">
        <v>2656</v>
      </c>
      <c r="B291" s="17" t="s">
        <v>2657</v>
      </c>
      <c r="C291" s="7" t="s">
        <v>2658</v>
      </c>
      <c r="D291" s="17" t="s">
        <v>1860</v>
      </c>
      <c r="E291" s="13" t="s">
        <v>744</v>
      </c>
    </row>
    <row r="292" spans="1:5">
      <c r="A292" s="17" t="s">
        <v>2659</v>
      </c>
      <c r="B292" s="17" t="s">
        <v>2660</v>
      </c>
      <c r="C292" s="7" t="s">
        <v>2661</v>
      </c>
      <c r="D292" s="17" t="s">
        <v>1860</v>
      </c>
      <c r="E292" s="13" t="s">
        <v>744</v>
      </c>
    </row>
    <row r="293" spans="1:5">
      <c r="A293" s="17" t="s">
        <v>2662</v>
      </c>
      <c r="B293" s="17" t="s">
        <v>2663</v>
      </c>
      <c r="C293" s="7" t="s">
        <v>2664</v>
      </c>
      <c r="D293" s="17" t="s">
        <v>1860</v>
      </c>
      <c r="E293" s="13" t="s">
        <v>744</v>
      </c>
    </row>
    <row r="294" spans="1:5">
      <c r="A294" s="17" t="s">
        <v>2665</v>
      </c>
      <c r="B294" s="17" t="s">
        <v>2666</v>
      </c>
      <c r="C294" s="7" t="s">
        <v>2667</v>
      </c>
      <c r="D294" s="17" t="s">
        <v>805</v>
      </c>
      <c r="E294" s="13" t="s">
        <v>744</v>
      </c>
    </row>
    <row r="295" spans="1:5">
      <c r="A295" s="17" t="s">
        <v>2668</v>
      </c>
      <c r="B295" s="17" t="s">
        <v>2669</v>
      </c>
      <c r="C295" s="7" t="s">
        <v>2670</v>
      </c>
      <c r="D295" s="17" t="s">
        <v>1860</v>
      </c>
      <c r="E295" s="13" t="s">
        <v>744</v>
      </c>
    </row>
    <row r="296" spans="1:5">
      <c r="A296" s="17" t="s">
        <v>2671</v>
      </c>
      <c r="B296" s="17" t="s">
        <v>2672</v>
      </c>
      <c r="C296" s="7" t="s">
        <v>2673</v>
      </c>
      <c r="D296" s="17" t="s">
        <v>1860</v>
      </c>
      <c r="E296" s="13" t="s">
        <v>744</v>
      </c>
    </row>
    <row r="297" spans="1:5">
      <c r="A297" s="17" t="s">
        <v>2674</v>
      </c>
      <c r="B297" s="17" t="s">
        <v>2675</v>
      </c>
      <c r="C297" s="7" t="s">
        <v>2676</v>
      </c>
      <c r="D297" s="17" t="s">
        <v>1860</v>
      </c>
      <c r="E297" s="13" t="s">
        <v>744</v>
      </c>
    </row>
    <row r="298" spans="1:5">
      <c r="A298" s="17" t="s">
        <v>2677</v>
      </c>
      <c r="B298" s="17" t="s">
        <v>2678</v>
      </c>
      <c r="C298" s="7" t="s">
        <v>2679</v>
      </c>
      <c r="D298" s="17" t="s">
        <v>805</v>
      </c>
      <c r="E298" s="13" t="s">
        <v>744</v>
      </c>
    </row>
    <row r="299" spans="1:5">
      <c r="A299" s="17" t="s">
        <v>2680</v>
      </c>
      <c r="B299" s="17" t="s">
        <v>2681</v>
      </c>
      <c r="C299" s="7" t="s">
        <v>2682</v>
      </c>
      <c r="D299" s="17" t="s">
        <v>1860</v>
      </c>
      <c r="E299" s="13" t="s">
        <v>744</v>
      </c>
    </row>
    <row r="300" spans="1:5">
      <c r="A300" s="17" t="s">
        <v>2683</v>
      </c>
      <c r="B300" s="17" t="s">
        <v>2684</v>
      </c>
      <c r="C300" s="7" t="s">
        <v>2685</v>
      </c>
      <c r="D300" s="17" t="s">
        <v>1860</v>
      </c>
      <c r="E300" s="13" t="s">
        <v>744</v>
      </c>
    </row>
    <row r="301" spans="1:5">
      <c r="A301" s="17" t="s">
        <v>2686</v>
      </c>
      <c r="B301" s="17" t="s">
        <v>2687</v>
      </c>
      <c r="C301" s="7" t="s">
        <v>2688</v>
      </c>
      <c r="D301" s="17" t="s">
        <v>1860</v>
      </c>
      <c r="E301" s="13" t="s">
        <v>744</v>
      </c>
    </row>
    <row r="302" spans="1:5">
      <c r="A302" s="17" t="s">
        <v>2689</v>
      </c>
      <c r="B302" s="17" t="s">
        <v>2690</v>
      </c>
      <c r="C302" s="7" t="s">
        <v>2691</v>
      </c>
      <c r="D302" s="17" t="s">
        <v>805</v>
      </c>
      <c r="E302" s="13" t="s">
        <v>744</v>
      </c>
    </row>
    <row r="303" spans="1:5">
      <c r="A303" s="17" t="s">
        <v>2692</v>
      </c>
      <c r="B303" s="17" t="s">
        <v>2693</v>
      </c>
      <c r="C303" s="7" t="s">
        <v>2694</v>
      </c>
      <c r="D303" s="17" t="s">
        <v>1860</v>
      </c>
      <c r="E303" s="13" t="s">
        <v>744</v>
      </c>
    </row>
    <row r="304" spans="1:5">
      <c r="A304" s="17" t="s">
        <v>2695</v>
      </c>
      <c r="B304" s="17" t="s">
        <v>2696</v>
      </c>
      <c r="C304" s="7" t="s">
        <v>2697</v>
      </c>
      <c r="D304" s="17" t="s">
        <v>1860</v>
      </c>
      <c r="E304" s="13" t="s">
        <v>744</v>
      </c>
    </row>
    <row r="305" spans="1:5">
      <c r="A305" s="17" t="s">
        <v>2698</v>
      </c>
      <c r="B305" s="17" t="s">
        <v>2699</v>
      </c>
      <c r="C305" s="7" t="s">
        <v>2700</v>
      </c>
      <c r="D305" s="17" t="s">
        <v>1860</v>
      </c>
      <c r="E305" s="13" t="s">
        <v>744</v>
      </c>
    </row>
    <row r="306" spans="1:5">
      <c r="A306" s="17" t="s">
        <v>2701</v>
      </c>
      <c r="B306" s="17" t="s">
        <v>2702</v>
      </c>
      <c r="C306" s="7" t="s">
        <v>2703</v>
      </c>
      <c r="D306" s="17" t="s">
        <v>805</v>
      </c>
      <c r="E306" s="13" t="s">
        <v>744</v>
      </c>
    </row>
    <row r="307" spans="1:5">
      <c r="A307" s="17" t="s">
        <v>2704</v>
      </c>
      <c r="B307" s="17" t="s">
        <v>2705</v>
      </c>
      <c r="C307" s="7" t="s">
        <v>2706</v>
      </c>
      <c r="D307" s="17" t="s">
        <v>1860</v>
      </c>
      <c r="E307" s="13" t="s">
        <v>744</v>
      </c>
    </row>
    <row r="308" spans="1:5">
      <c r="A308" s="17" t="s">
        <v>2707</v>
      </c>
      <c r="B308" s="17" t="s">
        <v>2708</v>
      </c>
      <c r="C308" s="7" t="s">
        <v>2709</v>
      </c>
      <c r="D308" s="17" t="s">
        <v>1860</v>
      </c>
      <c r="E308" s="13" t="s">
        <v>744</v>
      </c>
    </row>
    <row r="309" spans="1:5">
      <c r="A309" s="17" t="s">
        <v>2710</v>
      </c>
      <c r="B309" s="17" t="s">
        <v>2711</v>
      </c>
      <c r="C309" s="7" t="s">
        <v>2712</v>
      </c>
      <c r="D309" s="17" t="s">
        <v>1860</v>
      </c>
      <c r="E309" s="13" t="s">
        <v>744</v>
      </c>
    </row>
    <row r="310" spans="1:5">
      <c r="A310" s="17" t="s">
        <v>2713</v>
      </c>
      <c r="B310" s="17" t="s">
        <v>2714</v>
      </c>
      <c r="C310" s="7" t="s">
        <v>2715</v>
      </c>
      <c r="D310" s="17" t="s">
        <v>805</v>
      </c>
      <c r="E310" s="13" t="s">
        <v>744</v>
      </c>
    </row>
    <row r="311" spans="1:5">
      <c r="A311" s="17" t="s">
        <v>2716</v>
      </c>
      <c r="B311" s="17" t="s">
        <v>2717</v>
      </c>
      <c r="C311" s="7" t="s">
        <v>2718</v>
      </c>
      <c r="D311" s="17" t="s">
        <v>1860</v>
      </c>
      <c r="E311" s="13" t="s">
        <v>744</v>
      </c>
    </row>
    <row r="312" spans="1:5">
      <c r="A312" s="17" t="s">
        <v>2719</v>
      </c>
      <c r="B312" s="17" t="s">
        <v>2720</v>
      </c>
      <c r="C312" s="7" t="s">
        <v>2721</v>
      </c>
      <c r="D312" s="17" t="s">
        <v>1860</v>
      </c>
      <c r="E312" s="13" t="s">
        <v>744</v>
      </c>
    </row>
    <row r="313" spans="1:5">
      <c r="A313" s="17" t="s">
        <v>2722</v>
      </c>
      <c r="B313" s="17" t="s">
        <v>2723</v>
      </c>
      <c r="C313" s="7" t="s">
        <v>2724</v>
      </c>
      <c r="D313" s="17" t="s">
        <v>1860</v>
      </c>
      <c r="E313" s="13" t="s">
        <v>744</v>
      </c>
    </row>
    <row r="314" spans="1:5">
      <c r="A314" s="17" t="s">
        <v>2725</v>
      </c>
      <c r="B314" s="17" t="s">
        <v>2726</v>
      </c>
      <c r="C314" s="7" t="s">
        <v>2727</v>
      </c>
      <c r="D314" s="17" t="s">
        <v>805</v>
      </c>
      <c r="E314" s="13" t="s">
        <v>744</v>
      </c>
    </row>
    <row r="315" spans="1:5">
      <c r="A315" s="17" t="s">
        <v>2728</v>
      </c>
      <c r="B315" s="17" t="s">
        <v>2729</v>
      </c>
      <c r="C315" s="7" t="s">
        <v>2730</v>
      </c>
      <c r="D315" s="17" t="s">
        <v>1860</v>
      </c>
      <c r="E315" s="13" t="s">
        <v>744</v>
      </c>
    </row>
    <row r="316" spans="1:5">
      <c r="A316" s="17" t="s">
        <v>2731</v>
      </c>
      <c r="B316" s="17" t="s">
        <v>2732</v>
      </c>
      <c r="C316" s="7" t="s">
        <v>2733</v>
      </c>
      <c r="D316" s="17" t="s">
        <v>1860</v>
      </c>
      <c r="E316" s="13" t="s">
        <v>744</v>
      </c>
    </row>
    <row r="317" spans="1:5">
      <c r="A317" s="17" t="s">
        <v>2734</v>
      </c>
      <c r="B317" s="17" t="s">
        <v>2735</v>
      </c>
      <c r="C317" s="7" t="s">
        <v>2736</v>
      </c>
      <c r="D317" s="17" t="s">
        <v>1860</v>
      </c>
      <c r="E317" s="13" t="s">
        <v>744</v>
      </c>
    </row>
    <row r="318" spans="1:5">
      <c r="A318" s="17" t="s">
        <v>2737</v>
      </c>
      <c r="B318" s="17" t="s">
        <v>2738</v>
      </c>
      <c r="C318" s="7" t="s">
        <v>2739</v>
      </c>
      <c r="D318" s="17" t="s">
        <v>805</v>
      </c>
      <c r="E318" s="13" t="s">
        <v>744</v>
      </c>
    </row>
    <row r="319" spans="1:5">
      <c r="A319" s="17" t="s">
        <v>2740</v>
      </c>
      <c r="B319" s="17" t="s">
        <v>2741</v>
      </c>
      <c r="C319" s="7" t="s">
        <v>2742</v>
      </c>
      <c r="D319" s="17" t="s">
        <v>1860</v>
      </c>
      <c r="E319" s="13" t="s">
        <v>744</v>
      </c>
    </row>
    <row r="320" spans="1:5">
      <c r="A320" s="17" t="s">
        <v>2743</v>
      </c>
      <c r="B320" s="17" t="s">
        <v>2744</v>
      </c>
      <c r="C320" s="7" t="s">
        <v>2745</v>
      </c>
      <c r="D320" s="17" t="s">
        <v>1860</v>
      </c>
      <c r="E320" s="13" t="s">
        <v>744</v>
      </c>
    </row>
    <row r="321" spans="1:5">
      <c r="A321" s="17" t="s">
        <v>2746</v>
      </c>
      <c r="B321" s="17" t="s">
        <v>2747</v>
      </c>
      <c r="C321" s="7" t="s">
        <v>2748</v>
      </c>
      <c r="D321" s="17" t="s">
        <v>1860</v>
      </c>
      <c r="E321" s="13" t="s">
        <v>744</v>
      </c>
    </row>
    <row r="322" spans="1:5">
      <c r="A322" s="17" t="s">
        <v>2749</v>
      </c>
      <c r="B322" s="17" t="s">
        <v>2750</v>
      </c>
      <c r="C322" s="7" t="s">
        <v>2751</v>
      </c>
      <c r="D322" s="17" t="s">
        <v>805</v>
      </c>
      <c r="E322" s="13" t="s">
        <v>744</v>
      </c>
    </row>
    <row r="323" spans="1:5">
      <c r="A323" s="17" t="s">
        <v>2752</v>
      </c>
      <c r="B323" s="17" t="s">
        <v>2753</v>
      </c>
      <c r="C323" s="7" t="s">
        <v>2754</v>
      </c>
      <c r="D323" s="17" t="s">
        <v>1860</v>
      </c>
      <c r="E323" s="13" t="s">
        <v>744</v>
      </c>
    </row>
    <row r="324" spans="1:5">
      <c r="A324" s="17" t="s">
        <v>2755</v>
      </c>
      <c r="B324" s="17" t="s">
        <v>2756</v>
      </c>
      <c r="C324" s="7" t="s">
        <v>2757</v>
      </c>
      <c r="D324" s="17" t="s">
        <v>1860</v>
      </c>
      <c r="E324" s="13" t="s">
        <v>744</v>
      </c>
    </row>
    <row r="325" spans="1:5">
      <c r="A325" s="17" t="s">
        <v>2758</v>
      </c>
      <c r="B325" s="17" t="s">
        <v>2759</v>
      </c>
      <c r="C325" s="7" t="s">
        <v>2760</v>
      </c>
      <c r="D325" s="17" t="s">
        <v>1860</v>
      </c>
      <c r="E325" s="13" t="s">
        <v>744</v>
      </c>
    </row>
    <row r="326" spans="1:5">
      <c r="A326" s="17" t="s">
        <v>2761</v>
      </c>
      <c r="B326" s="17" t="s">
        <v>2762</v>
      </c>
      <c r="C326" s="7" t="s">
        <v>2763</v>
      </c>
      <c r="D326" s="17" t="s">
        <v>805</v>
      </c>
      <c r="E326" s="13" t="s">
        <v>744</v>
      </c>
    </row>
    <row r="327" spans="1:5">
      <c r="A327" s="17" t="s">
        <v>2764</v>
      </c>
      <c r="B327" s="17" t="s">
        <v>2765</v>
      </c>
      <c r="C327" s="7" t="s">
        <v>2766</v>
      </c>
      <c r="D327" s="17" t="s">
        <v>1860</v>
      </c>
      <c r="E327" s="13" t="s">
        <v>744</v>
      </c>
    </row>
    <row r="328" spans="1:5">
      <c r="A328" s="17" t="s">
        <v>2767</v>
      </c>
      <c r="B328" s="17" t="s">
        <v>2768</v>
      </c>
      <c r="C328" s="7" t="s">
        <v>2769</v>
      </c>
      <c r="D328" s="17" t="s">
        <v>1860</v>
      </c>
      <c r="E328" s="13" t="s">
        <v>744</v>
      </c>
    </row>
    <row r="329" spans="1:5">
      <c r="A329" s="17" t="s">
        <v>2770</v>
      </c>
      <c r="B329" s="17" t="s">
        <v>2771</v>
      </c>
      <c r="C329" s="7" t="s">
        <v>2772</v>
      </c>
      <c r="D329" s="17" t="s">
        <v>1860</v>
      </c>
      <c r="E329" s="13" t="s">
        <v>744</v>
      </c>
    </row>
    <row r="330" spans="1:5">
      <c r="A330" s="17" t="s">
        <v>2773</v>
      </c>
      <c r="B330" s="17" t="s">
        <v>2774</v>
      </c>
      <c r="C330" s="7" t="s">
        <v>2775</v>
      </c>
      <c r="D330" s="17" t="s">
        <v>805</v>
      </c>
      <c r="E330" s="13" t="s">
        <v>744</v>
      </c>
    </row>
    <row r="331" spans="1:5">
      <c r="A331" s="17" t="s">
        <v>2776</v>
      </c>
      <c r="B331" s="17" t="s">
        <v>2777</v>
      </c>
      <c r="C331" s="7" t="s">
        <v>2778</v>
      </c>
      <c r="D331" s="17" t="s">
        <v>1860</v>
      </c>
      <c r="E331" s="13" t="s">
        <v>744</v>
      </c>
    </row>
    <row r="332" spans="1:5">
      <c r="A332" s="17" t="s">
        <v>2779</v>
      </c>
      <c r="B332" s="17" t="s">
        <v>2780</v>
      </c>
      <c r="C332" s="7" t="s">
        <v>2781</v>
      </c>
      <c r="D332" s="17" t="s">
        <v>1860</v>
      </c>
      <c r="E332" s="13" t="s">
        <v>744</v>
      </c>
    </row>
    <row r="333" spans="1:5">
      <c r="A333" s="17" t="s">
        <v>2782</v>
      </c>
      <c r="B333" s="17" t="s">
        <v>2783</v>
      </c>
      <c r="C333" s="7" t="s">
        <v>2784</v>
      </c>
      <c r="D333" s="17" t="s">
        <v>1860</v>
      </c>
      <c r="E333" s="13" t="s">
        <v>744</v>
      </c>
    </row>
    <row r="334" spans="1:5">
      <c r="A334" s="17" t="s">
        <v>2785</v>
      </c>
      <c r="B334" s="17" t="s">
        <v>2786</v>
      </c>
      <c r="C334" s="7" t="s">
        <v>2787</v>
      </c>
      <c r="D334" s="17" t="s">
        <v>805</v>
      </c>
      <c r="E334" s="13" t="s">
        <v>744</v>
      </c>
    </row>
    <row r="335" spans="1:5">
      <c r="A335" s="17" t="s">
        <v>2788</v>
      </c>
      <c r="B335" s="17" t="s">
        <v>2789</v>
      </c>
      <c r="C335" s="7" t="s">
        <v>2790</v>
      </c>
      <c r="D335" s="17" t="s">
        <v>1860</v>
      </c>
      <c r="E335" s="13" t="s">
        <v>744</v>
      </c>
    </row>
    <row r="336" spans="1:5">
      <c r="A336" s="17" t="s">
        <v>2791</v>
      </c>
      <c r="B336" s="17" t="s">
        <v>2792</v>
      </c>
      <c r="C336" s="7" t="s">
        <v>2793</v>
      </c>
      <c r="D336" s="17" t="s">
        <v>1860</v>
      </c>
      <c r="E336" s="13" t="s">
        <v>744</v>
      </c>
    </row>
    <row r="337" spans="1:5">
      <c r="A337" s="17" t="s">
        <v>2794</v>
      </c>
      <c r="B337" s="17" t="s">
        <v>2795</v>
      </c>
      <c r="C337" s="7" t="s">
        <v>2796</v>
      </c>
      <c r="D337" s="17" t="s">
        <v>1860</v>
      </c>
      <c r="E337" s="13" t="s">
        <v>744</v>
      </c>
    </row>
    <row r="338" spans="1:5">
      <c r="A338" s="17" t="s">
        <v>2797</v>
      </c>
      <c r="B338" s="17" t="s">
        <v>2798</v>
      </c>
      <c r="C338" s="7" t="s">
        <v>2799</v>
      </c>
      <c r="D338" s="17" t="s">
        <v>805</v>
      </c>
      <c r="E338" s="13" t="s">
        <v>744</v>
      </c>
    </row>
    <row r="339" spans="1:5">
      <c r="A339" s="17" t="s">
        <v>2800</v>
      </c>
      <c r="B339" s="17" t="s">
        <v>2801</v>
      </c>
      <c r="C339" s="7" t="s">
        <v>2802</v>
      </c>
      <c r="D339" s="17" t="s">
        <v>1860</v>
      </c>
      <c r="E339" s="13" t="s">
        <v>744</v>
      </c>
    </row>
    <row r="340" spans="1:5">
      <c r="A340" s="17" t="s">
        <v>2803</v>
      </c>
      <c r="B340" s="17" t="s">
        <v>2804</v>
      </c>
      <c r="C340" s="7" t="s">
        <v>2805</v>
      </c>
      <c r="D340" s="17" t="s">
        <v>1860</v>
      </c>
      <c r="E340" s="13" t="s">
        <v>744</v>
      </c>
    </row>
    <row r="341" spans="1:5">
      <c r="A341" s="17" t="s">
        <v>2806</v>
      </c>
      <c r="B341" s="17" t="s">
        <v>2807</v>
      </c>
      <c r="C341" s="7" t="s">
        <v>2808</v>
      </c>
      <c r="D341" s="17" t="s">
        <v>1860</v>
      </c>
      <c r="E341" s="13" t="s">
        <v>744</v>
      </c>
    </row>
    <row r="342" spans="1:5">
      <c r="A342" s="17" t="s">
        <v>2809</v>
      </c>
      <c r="B342" s="17" t="s">
        <v>2810</v>
      </c>
      <c r="C342" s="7" t="s">
        <v>2811</v>
      </c>
      <c r="D342" s="17" t="s">
        <v>805</v>
      </c>
      <c r="E342" s="13" t="s">
        <v>744</v>
      </c>
    </row>
    <row r="343" spans="1:5">
      <c r="A343" s="17" t="s">
        <v>2812</v>
      </c>
      <c r="B343" s="17" t="s">
        <v>2813</v>
      </c>
      <c r="C343" s="7" t="s">
        <v>2814</v>
      </c>
      <c r="D343" s="17" t="s">
        <v>1860</v>
      </c>
      <c r="E343" s="13" t="s">
        <v>744</v>
      </c>
    </row>
    <row r="344" spans="1:5">
      <c r="A344" s="17" t="s">
        <v>2815</v>
      </c>
      <c r="B344" s="17" t="s">
        <v>2816</v>
      </c>
      <c r="C344" s="7" t="s">
        <v>2817</v>
      </c>
      <c r="D344" s="17" t="s">
        <v>1860</v>
      </c>
      <c r="E344" s="13" t="s">
        <v>744</v>
      </c>
    </row>
    <row r="345" spans="1:5">
      <c r="A345" s="17" t="s">
        <v>2818</v>
      </c>
      <c r="B345" s="17" t="s">
        <v>2819</v>
      </c>
      <c r="C345" s="7" t="s">
        <v>2820</v>
      </c>
      <c r="D345" s="17" t="s">
        <v>1860</v>
      </c>
      <c r="E345" s="13" t="s">
        <v>744</v>
      </c>
    </row>
    <row r="346" spans="1:5">
      <c r="A346" s="17" t="s">
        <v>2821</v>
      </c>
      <c r="B346" s="17" t="s">
        <v>2822</v>
      </c>
      <c r="C346" s="7" t="s">
        <v>2823</v>
      </c>
      <c r="D346" s="17" t="s">
        <v>805</v>
      </c>
      <c r="E346" s="13" t="s">
        <v>744</v>
      </c>
    </row>
    <row r="347" spans="1:5">
      <c r="A347" s="17" t="s">
        <v>2824</v>
      </c>
      <c r="B347" s="17" t="s">
        <v>2825</v>
      </c>
      <c r="C347" s="7" t="s">
        <v>2826</v>
      </c>
      <c r="D347" s="17" t="s">
        <v>1860</v>
      </c>
      <c r="E347" s="13" t="s">
        <v>744</v>
      </c>
    </row>
    <row r="348" spans="1:5">
      <c r="A348" s="17" t="s">
        <v>2827</v>
      </c>
      <c r="B348" s="17" t="s">
        <v>2828</v>
      </c>
      <c r="C348" s="7" t="s">
        <v>2829</v>
      </c>
      <c r="D348" s="17" t="s">
        <v>1860</v>
      </c>
      <c r="E348" s="13" t="s">
        <v>744</v>
      </c>
    </row>
    <row r="349" spans="1:5">
      <c r="A349" s="17" t="s">
        <v>2830</v>
      </c>
      <c r="B349" s="17" t="s">
        <v>2831</v>
      </c>
      <c r="C349" s="7" t="s">
        <v>2832</v>
      </c>
      <c r="D349" s="17" t="s">
        <v>1860</v>
      </c>
      <c r="E349" s="13" t="s">
        <v>744</v>
      </c>
    </row>
    <row r="350" spans="1:5">
      <c r="A350" s="17" t="s">
        <v>2833</v>
      </c>
      <c r="B350" s="17" t="s">
        <v>2834</v>
      </c>
      <c r="C350" s="7" t="s">
        <v>2835</v>
      </c>
      <c r="D350" s="17" t="s">
        <v>805</v>
      </c>
      <c r="E350" s="13" t="s">
        <v>744</v>
      </c>
    </row>
    <row r="351" spans="1:5">
      <c r="A351" s="17" t="s">
        <v>2836</v>
      </c>
      <c r="B351" s="17" t="s">
        <v>2837</v>
      </c>
      <c r="C351" s="7" t="s">
        <v>2838</v>
      </c>
      <c r="D351" s="17" t="s">
        <v>1860</v>
      </c>
      <c r="E351" s="13" t="s">
        <v>744</v>
      </c>
    </row>
    <row r="352" spans="1:5">
      <c r="A352" s="17" t="s">
        <v>2839</v>
      </c>
      <c r="B352" s="17" t="s">
        <v>2840</v>
      </c>
      <c r="C352" s="7" t="s">
        <v>2841</v>
      </c>
      <c r="D352" s="17" t="s">
        <v>1860</v>
      </c>
      <c r="E352" s="13" t="s">
        <v>744</v>
      </c>
    </row>
    <row r="353" spans="1:5">
      <c r="A353" s="17" t="s">
        <v>2842</v>
      </c>
      <c r="B353" s="17" t="s">
        <v>2843</v>
      </c>
      <c r="C353" s="7" t="s">
        <v>2844</v>
      </c>
      <c r="D353" s="17" t="s">
        <v>1860</v>
      </c>
      <c r="E353" s="13" t="s">
        <v>744</v>
      </c>
    </row>
    <row r="354" spans="1:5">
      <c r="A354" s="17" t="s">
        <v>2845</v>
      </c>
      <c r="B354" s="17" t="s">
        <v>2846</v>
      </c>
      <c r="C354" s="7" t="s">
        <v>2847</v>
      </c>
      <c r="D354" s="17" t="s">
        <v>805</v>
      </c>
      <c r="E354" s="13" t="s">
        <v>744</v>
      </c>
    </row>
    <row r="355" spans="1:5">
      <c r="A355" s="17" t="s">
        <v>2848</v>
      </c>
      <c r="B355" s="17" t="s">
        <v>2849</v>
      </c>
      <c r="C355" s="7" t="s">
        <v>2850</v>
      </c>
      <c r="D355" s="17" t="s">
        <v>1860</v>
      </c>
      <c r="E355" s="13" t="s">
        <v>744</v>
      </c>
    </row>
    <row r="356" spans="1:5">
      <c r="A356" s="17" t="s">
        <v>2851</v>
      </c>
      <c r="B356" s="17" t="s">
        <v>2852</v>
      </c>
      <c r="C356" s="7" t="s">
        <v>2853</v>
      </c>
      <c r="D356" s="17" t="s">
        <v>1860</v>
      </c>
      <c r="E356" s="13" t="s">
        <v>744</v>
      </c>
    </row>
    <row r="357" spans="1:5">
      <c r="A357" s="17" t="s">
        <v>2854</v>
      </c>
      <c r="B357" s="17" t="s">
        <v>2855</v>
      </c>
      <c r="C357" s="7" t="s">
        <v>2856</v>
      </c>
      <c r="D357" s="17" t="s">
        <v>1860</v>
      </c>
      <c r="E357" s="13" t="s">
        <v>744</v>
      </c>
    </row>
    <row r="358" spans="1:5">
      <c r="A358" s="17" t="s">
        <v>2857</v>
      </c>
      <c r="B358" s="17" t="s">
        <v>2858</v>
      </c>
      <c r="C358" s="7" t="s">
        <v>2859</v>
      </c>
      <c r="D358" s="17" t="s">
        <v>805</v>
      </c>
      <c r="E358" s="13" t="s">
        <v>744</v>
      </c>
    </row>
    <row r="359" spans="1:5">
      <c r="A359" s="17" t="s">
        <v>2860</v>
      </c>
      <c r="B359" s="17" t="s">
        <v>2861</v>
      </c>
      <c r="C359" s="7" t="s">
        <v>2862</v>
      </c>
      <c r="D359" s="17" t="s">
        <v>1860</v>
      </c>
      <c r="E359" s="13" t="s">
        <v>744</v>
      </c>
    </row>
    <row r="360" spans="1:5">
      <c r="A360" s="17" t="s">
        <v>2863</v>
      </c>
      <c r="B360" s="17" t="s">
        <v>2864</v>
      </c>
      <c r="C360" s="7" t="s">
        <v>2865</v>
      </c>
      <c r="D360" s="17" t="s">
        <v>1860</v>
      </c>
      <c r="E360" s="13" t="s">
        <v>744</v>
      </c>
    </row>
    <row r="361" spans="1:5">
      <c r="A361" s="17" t="s">
        <v>2866</v>
      </c>
      <c r="B361" s="17" t="s">
        <v>2867</v>
      </c>
      <c r="C361" s="7" t="s">
        <v>2868</v>
      </c>
      <c r="D361" s="17" t="s">
        <v>1860</v>
      </c>
      <c r="E361" s="13" t="s">
        <v>744</v>
      </c>
    </row>
    <row r="362" spans="1:5">
      <c r="A362" s="17" t="s">
        <v>2869</v>
      </c>
      <c r="B362" s="17" t="s">
        <v>2870</v>
      </c>
      <c r="C362" s="7" t="s">
        <v>2871</v>
      </c>
      <c r="D362" s="17" t="s">
        <v>805</v>
      </c>
      <c r="E362" s="13" t="s">
        <v>744</v>
      </c>
    </row>
    <row r="363" spans="1:5">
      <c r="A363" s="17" t="s">
        <v>2872</v>
      </c>
      <c r="B363" s="17" t="s">
        <v>2873</v>
      </c>
      <c r="C363" s="7" t="s">
        <v>2874</v>
      </c>
      <c r="D363" s="17" t="s">
        <v>1860</v>
      </c>
      <c r="E363" s="13" t="s">
        <v>744</v>
      </c>
    </row>
    <row r="364" spans="1:5">
      <c r="A364" s="17" t="s">
        <v>2875</v>
      </c>
      <c r="B364" s="17" t="s">
        <v>2876</v>
      </c>
      <c r="C364" s="7" t="s">
        <v>2877</v>
      </c>
      <c r="D364" s="17" t="s">
        <v>1860</v>
      </c>
      <c r="E364" s="13" t="s">
        <v>744</v>
      </c>
    </row>
    <row r="365" spans="1:5">
      <c r="A365" s="17" t="s">
        <v>2878</v>
      </c>
      <c r="B365" s="17" t="s">
        <v>2879</v>
      </c>
      <c r="C365" s="7" t="s">
        <v>2880</v>
      </c>
      <c r="D365" s="17" t="s">
        <v>1860</v>
      </c>
      <c r="E365" s="13" t="s">
        <v>744</v>
      </c>
    </row>
    <row r="366" spans="1:5">
      <c r="A366" s="17" t="s">
        <v>2881</v>
      </c>
      <c r="B366" s="17" t="s">
        <v>2882</v>
      </c>
      <c r="C366" s="7" t="s">
        <v>2883</v>
      </c>
      <c r="D366" s="17" t="s">
        <v>805</v>
      </c>
      <c r="E366" s="13" t="s">
        <v>744</v>
      </c>
    </row>
    <row r="367" spans="1:5">
      <c r="A367" s="17" t="s">
        <v>2884</v>
      </c>
      <c r="B367" s="17" t="s">
        <v>2885</v>
      </c>
      <c r="C367" s="7" t="s">
        <v>2886</v>
      </c>
      <c r="D367" s="17" t="s">
        <v>1860</v>
      </c>
      <c r="E367" s="13" t="s">
        <v>744</v>
      </c>
    </row>
    <row r="368" spans="1:5">
      <c r="A368" s="17" t="s">
        <v>2887</v>
      </c>
      <c r="B368" s="17" t="s">
        <v>2888</v>
      </c>
      <c r="C368" s="7" t="s">
        <v>2889</v>
      </c>
      <c r="D368" s="17" t="s">
        <v>1860</v>
      </c>
      <c r="E368" s="13" t="s">
        <v>744</v>
      </c>
    </row>
    <row r="369" spans="1:5">
      <c r="A369" s="17" t="s">
        <v>2890</v>
      </c>
      <c r="B369" s="17" t="s">
        <v>2891</v>
      </c>
      <c r="C369" s="7" t="s">
        <v>2892</v>
      </c>
      <c r="D369" s="17" t="s">
        <v>1860</v>
      </c>
      <c r="E369" s="13" t="s">
        <v>744</v>
      </c>
    </row>
    <row r="370" spans="1:5">
      <c r="A370" s="17" t="s">
        <v>2893</v>
      </c>
      <c r="B370" s="17" t="s">
        <v>2894</v>
      </c>
      <c r="C370" s="7" t="s">
        <v>2895</v>
      </c>
      <c r="D370" s="17" t="s">
        <v>805</v>
      </c>
      <c r="E370" s="13" t="s">
        <v>744</v>
      </c>
    </row>
    <row r="371" spans="1:5">
      <c r="A371" s="17" t="s">
        <v>2896</v>
      </c>
      <c r="B371" s="17" t="s">
        <v>2897</v>
      </c>
      <c r="C371" s="7" t="s">
        <v>2898</v>
      </c>
      <c r="D371" s="17" t="s">
        <v>1860</v>
      </c>
      <c r="E371" s="13" t="s">
        <v>744</v>
      </c>
    </row>
    <row r="372" spans="1:5">
      <c r="A372" s="17" t="s">
        <v>2899</v>
      </c>
      <c r="B372" s="17" t="s">
        <v>2900</v>
      </c>
      <c r="C372" s="7" t="s">
        <v>2901</v>
      </c>
      <c r="D372" s="17" t="s">
        <v>1860</v>
      </c>
      <c r="E372" s="13" t="s">
        <v>744</v>
      </c>
    </row>
    <row r="373" spans="1:5">
      <c r="A373" s="17" t="s">
        <v>2902</v>
      </c>
      <c r="B373" s="17" t="s">
        <v>2903</v>
      </c>
      <c r="C373" s="7" t="s">
        <v>2904</v>
      </c>
      <c r="D373" s="17" t="s">
        <v>1860</v>
      </c>
      <c r="E373" s="13" t="s">
        <v>744</v>
      </c>
    </row>
    <row r="374" spans="1:5">
      <c r="A374" s="17" t="s">
        <v>84</v>
      </c>
      <c r="B374" s="17" t="s">
        <v>2905</v>
      </c>
      <c r="C374" s="7" t="s">
        <v>1123</v>
      </c>
      <c r="D374" s="17" t="s">
        <v>2906</v>
      </c>
      <c r="E374" s="13" t="s">
        <v>2907</v>
      </c>
    </row>
    <row r="375" spans="1:5">
      <c r="A375" s="17" t="s">
        <v>2908</v>
      </c>
      <c r="B375" s="17" t="s">
        <v>2909</v>
      </c>
      <c r="C375" s="7" t="s">
        <v>2910</v>
      </c>
      <c r="D375" s="17" t="s">
        <v>805</v>
      </c>
      <c r="E375" s="13" t="s">
        <v>744</v>
      </c>
    </row>
    <row r="376" spans="1:5">
      <c r="A376" s="17" t="s">
        <v>86</v>
      </c>
      <c r="B376" s="17" t="s">
        <v>2911</v>
      </c>
      <c r="C376" s="7" t="s">
        <v>1125</v>
      </c>
      <c r="D376" s="17" t="s">
        <v>2906</v>
      </c>
      <c r="E376" s="13" t="s">
        <v>2907</v>
      </c>
    </row>
    <row r="377" spans="1:5">
      <c r="A377" s="17" t="s">
        <v>2912</v>
      </c>
      <c r="B377" s="17" t="s">
        <v>2913</v>
      </c>
      <c r="C377" s="7" t="s">
        <v>2914</v>
      </c>
      <c r="D377" s="17" t="s">
        <v>805</v>
      </c>
      <c r="E377" s="13" t="s">
        <v>744</v>
      </c>
    </row>
    <row r="378" spans="1:5">
      <c r="A378" s="17" t="s">
        <v>88</v>
      </c>
      <c r="B378" s="17" t="s">
        <v>2915</v>
      </c>
      <c r="C378" s="7" t="s">
        <v>1127</v>
      </c>
      <c r="D378" s="17" t="s">
        <v>2906</v>
      </c>
      <c r="E378" s="13" t="s">
        <v>2907</v>
      </c>
    </row>
    <row r="379" spans="1:5">
      <c r="A379" s="17" t="s">
        <v>2916</v>
      </c>
      <c r="B379" s="17" t="s">
        <v>2917</v>
      </c>
      <c r="C379" s="7" t="s">
        <v>2918</v>
      </c>
      <c r="D379" s="17" t="s">
        <v>805</v>
      </c>
      <c r="E379" s="13" t="s">
        <v>744</v>
      </c>
    </row>
    <row r="380" spans="1:5">
      <c r="A380" s="17" t="s">
        <v>2919</v>
      </c>
      <c r="B380" s="17" t="s">
        <v>2920</v>
      </c>
      <c r="C380" s="7" t="s">
        <v>1130</v>
      </c>
      <c r="D380" s="17" t="s">
        <v>2921</v>
      </c>
      <c r="E380" s="13" t="s">
        <v>2922</v>
      </c>
    </row>
    <row r="381" spans="1:5">
      <c r="A381" s="17" t="s">
        <v>2923</v>
      </c>
      <c r="B381" s="17" t="s">
        <v>2924</v>
      </c>
      <c r="C381" s="7" t="s">
        <v>1132</v>
      </c>
      <c r="D381" s="17" t="s">
        <v>1860</v>
      </c>
      <c r="E381" s="13" t="s">
        <v>744</v>
      </c>
    </row>
    <row r="382" spans="1:5">
      <c r="A382" s="17" t="s">
        <v>2925</v>
      </c>
      <c r="B382" s="17" t="s">
        <v>1777</v>
      </c>
      <c r="C382" s="7" t="s">
        <v>1134</v>
      </c>
      <c r="D382" s="17" t="s">
        <v>1860</v>
      </c>
      <c r="E382" s="13" t="s">
        <v>744</v>
      </c>
    </row>
    <row r="383" spans="1:5">
      <c r="A383" s="17" t="s">
        <v>2926</v>
      </c>
      <c r="B383" s="17" t="s">
        <v>2927</v>
      </c>
      <c r="C383" s="7" t="s">
        <v>1136</v>
      </c>
      <c r="D383" s="17" t="s">
        <v>2183</v>
      </c>
      <c r="E383" s="13" t="s">
        <v>2928</v>
      </c>
    </row>
    <row r="384" spans="1:5">
      <c r="A384" s="17" t="s">
        <v>2929</v>
      </c>
      <c r="B384" s="17" t="s">
        <v>2930</v>
      </c>
      <c r="C384" s="7" t="s">
        <v>1138</v>
      </c>
      <c r="D384" s="17" t="s">
        <v>2183</v>
      </c>
      <c r="E384" s="13" t="s">
        <v>2931</v>
      </c>
    </row>
    <row r="385" spans="1:5">
      <c r="A385" s="17" t="s">
        <v>2932</v>
      </c>
      <c r="B385" s="17" t="s">
        <v>953</v>
      </c>
      <c r="C385" s="7" t="s">
        <v>1140</v>
      </c>
      <c r="D385" s="17" t="s">
        <v>1863</v>
      </c>
      <c r="E385" s="13" t="s">
        <v>1864</v>
      </c>
    </row>
    <row r="386" spans="1:5">
      <c r="A386" s="17" t="s">
        <v>2933</v>
      </c>
      <c r="B386" s="17" t="s">
        <v>2934</v>
      </c>
      <c r="C386" s="7" t="s">
        <v>1142</v>
      </c>
      <c r="D386" s="17" t="s">
        <v>2183</v>
      </c>
      <c r="E386" s="13" t="s">
        <v>2935</v>
      </c>
    </row>
    <row r="387" spans="1:5">
      <c r="A387" s="17" t="s">
        <v>2936</v>
      </c>
      <c r="B387" s="17" t="s">
        <v>2937</v>
      </c>
      <c r="C387" s="7" t="s">
        <v>1144</v>
      </c>
      <c r="D387" s="17" t="s">
        <v>2938</v>
      </c>
      <c r="E387" s="13" t="s">
        <v>2939</v>
      </c>
    </row>
    <row r="388" spans="1:5">
      <c r="A388" s="17" t="s">
        <v>2940</v>
      </c>
      <c r="B388" s="17" t="s">
        <v>2941</v>
      </c>
      <c r="C388" s="7" t="s">
        <v>1146</v>
      </c>
      <c r="D388" s="17" t="s">
        <v>1860</v>
      </c>
      <c r="E388" s="13" t="s">
        <v>744</v>
      </c>
    </row>
    <row r="389" spans="1:5">
      <c r="A389" s="17" t="s">
        <v>2942</v>
      </c>
      <c r="B389" s="17" t="s">
        <v>957</v>
      </c>
      <c r="C389" s="7" t="s">
        <v>1148</v>
      </c>
      <c r="D389" s="17" t="s">
        <v>1860</v>
      </c>
      <c r="E389" s="13" t="s">
        <v>744</v>
      </c>
    </row>
    <row r="390" spans="1:5">
      <c r="A390" s="17" t="s">
        <v>2943</v>
      </c>
      <c r="B390" s="17" t="s">
        <v>2944</v>
      </c>
      <c r="C390" s="7" t="s">
        <v>1150</v>
      </c>
      <c r="D390" s="17" t="s">
        <v>1863</v>
      </c>
      <c r="E390" s="13" t="s">
        <v>1864</v>
      </c>
    </row>
    <row r="391" spans="1:5">
      <c r="A391" s="17" t="s">
        <v>2945</v>
      </c>
      <c r="B391" s="17" t="s">
        <v>2946</v>
      </c>
      <c r="C391" s="7" t="s">
        <v>1152</v>
      </c>
      <c r="D391" s="17" t="s">
        <v>1863</v>
      </c>
      <c r="E391" s="13" t="s">
        <v>1864</v>
      </c>
    </row>
    <row r="392" spans="1:5">
      <c r="A392" s="17" t="s">
        <v>2947</v>
      </c>
      <c r="B392" s="17" t="s">
        <v>2948</v>
      </c>
      <c r="C392" s="7" t="s">
        <v>1154</v>
      </c>
      <c r="D392" s="17" t="s">
        <v>1863</v>
      </c>
      <c r="E392" s="13" t="s">
        <v>1864</v>
      </c>
    </row>
    <row r="393" spans="1:5">
      <c r="A393" s="17" t="s">
        <v>2949</v>
      </c>
      <c r="B393" s="17" t="s">
        <v>2950</v>
      </c>
      <c r="C393" s="7" t="s">
        <v>1156</v>
      </c>
      <c r="D393" s="17" t="s">
        <v>1863</v>
      </c>
      <c r="E393" s="13" t="s">
        <v>1864</v>
      </c>
    </row>
    <row r="394" spans="1:5">
      <c r="A394" s="17" t="s">
        <v>2951</v>
      </c>
      <c r="B394" s="17" t="s">
        <v>2952</v>
      </c>
      <c r="C394" s="7" t="s">
        <v>1158</v>
      </c>
      <c r="D394" s="17" t="s">
        <v>1860</v>
      </c>
      <c r="E394" s="13" t="s">
        <v>744</v>
      </c>
    </row>
    <row r="395" spans="1:5">
      <c r="A395" s="17" t="s">
        <v>2953</v>
      </c>
      <c r="B395" s="17" t="s">
        <v>2954</v>
      </c>
      <c r="C395" s="7" t="s">
        <v>1160</v>
      </c>
      <c r="D395" s="17" t="s">
        <v>1863</v>
      </c>
      <c r="E395" s="13" t="s">
        <v>1864</v>
      </c>
    </row>
    <row r="396" spans="1:5">
      <c r="A396" s="17" t="s">
        <v>2955</v>
      </c>
      <c r="B396" s="17" t="s">
        <v>2956</v>
      </c>
      <c r="C396" s="7" t="s">
        <v>2957</v>
      </c>
      <c r="D396" s="17" t="s">
        <v>805</v>
      </c>
      <c r="E396" s="13" t="s">
        <v>744</v>
      </c>
    </row>
    <row r="397" spans="1:5">
      <c r="A397" s="17" t="s">
        <v>205</v>
      </c>
      <c r="B397" s="17" t="s">
        <v>2958</v>
      </c>
      <c r="C397" s="7" t="s">
        <v>2959</v>
      </c>
      <c r="D397" s="17" t="s">
        <v>2906</v>
      </c>
      <c r="E397" s="13" t="s">
        <v>2907</v>
      </c>
    </row>
    <row r="398" spans="1:5">
      <c r="A398" s="17" t="s">
        <v>2960</v>
      </c>
      <c r="B398" s="17" t="s">
        <v>2961</v>
      </c>
      <c r="C398" s="7" t="s">
        <v>2962</v>
      </c>
      <c r="D398" s="17" t="s">
        <v>805</v>
      </c>
      <c r="E398" s="13" t="s">
        <v>744</v>
      </c>
    </row>
    <row r="399" spans="1:5">
      <c r="A399" s="17" t="s">
        <v>207</v>
      </c>
      <c r="B399" s="17" t="s">
        <v>2963</v>
      </c>
      <c r="C399" s="7" t="s">
        <v>2964</v>
      </c>
      <c r="D399" s="17" t="s">
        <v>2906</v>
      </c>
      <c r="E399" s="13" t="s">
        <v>2907</v>
      </c>
    </row>
    <row r="400" spans="1:5">
      <c r="A400" s="17" t="s">
        <v>2965</v>
      </c>
      <c r="B400" s="17" t="s">
        <v>2966</v>
      </c>
      <c r="C400" s="7" t="s">
        <v>2967</v>
      </c>
      <c r="D400" s="17" t="s">
        <v>805</v>
      </c>
      <c r="E400" s="13" t="s">
        <v>744</v>
      </c>
    </row>
    <row r="401" spans="1:5">
      <c r="A401" s="17" t="s">
        <v>209</v>
      </c>
      <c r="B401" s="17" t="s">
        <v>2968</v>
      </c>
      <c r="C401" s="7" t="s">
        <v>2969</v>
      </c>
      <c r="D401" s="17" t="s">
        <v>2906</v>
      </c>
      <c r="E401" s="13" t="s">
        <v>2907</v>
      </c>
    </row>
    <row r="402" spans="1:5">
      <c r="A402" s="17" t="s">
        <v>2970</v>
      </c>
      <c r="B402" s="17" t="s">
        <v>2971</v>
      </c>
      <c r="C402" s="7" t="s">
        <v>2972</v>
      </c>
      <c r="D402" s="17" t="s">
        <v>805</v>
      </c>
      <c r="E402" s="13" t="s">
        <v>744</v>
      </c>
    </row>
    <row r="403" spans="1:5">
      <c r="A403" s="17" t="s">
        <v>2973</v>
      </c>
      <c r="B403" s="17" t="s">
        <v>2974</v>
      </c>
      <c r="C403" s="7" t="s">
        <v>2975</v>
      </c>
      <c r="D403" s="17" t="s">
        <v>805</v>
      </c>
      <c r="E403" s="13" t="s">
        <v>744</v>
      </c>
    </row>
    <row r="404" spans="1:5">
      <c r="A404" s="17" t="s">
        <v>211</v>
      </c>
      <c r="B404" s="17" t="s">
        <v>2976</v>
      </c>
      <c r="C404" s="7" t="s">
        <v>2977</v>
      </c>
      <c r="D404" s="17" t="s">
        <v>2906</v>
      </c>
      <c r="E404" s="13" t="s">
        <v>2907</v>
      </c>
    </row>
    <row r="405" spans="1:5">
      <c r="A405" s="17" t="s">
        <v>2978</v>
      </c>
      <c r="B405" s="17" t="s">
        <v>2979</v>
      </c>
      <c r="C405" s="7" t="s">
        <v>2980</v>
      </c>
      <c r="D405" s="17" t="s">
        <v>805</v>
      </c>
      <c r="E405" s="13" t="s">
        <v>744</v>
      </c>
    </row>
    <row r="406" spans="1:5">
      <c r="A406" s="17" t="s">
        <v>213</v>
      </c>
      <c r="B406" s="17" t="s">
        <v>2981</v>
      </c>
      <c r="C406" s="7" t="s">
        <v>2982</v>
      </c>
      <c r="D406" s="17" t="s">
        <v>2906</v>
      </c>
      <c r="E406" s="13" t="s">
        <v>2907</v>
      </c>
    </row>
    <row r="407" spans="1:5">
      <c r="A407" s="17" t="s">
        <v>2983</v>
      </c>
      <c r="B407" s="17" t="s">
        <v>2984</v>
      </c>
      <c r="C407" s="7" t="s">
        <v>2985</v>
      </c>
      <c r="D407" s="17" t="s">
        <v>805</v>
      </c>
      <c r="E407" s="13" t="s">
        <v>744</v>
      </c>
    </row>
    <row r="408" spans="1:5">
      <c r="A408" s="17" t="s">
        <v>215</v>
      </c>
      <c r="B408" s="17" t="s">
        <v>2986</v>
      </c>
      <c r="C408" s="7" t="s">
        <v>2987</v>
      </c>
      <c r="D408" s="17" t="s">
        <v>2906</v>
      </c>
      <c r="E408" s="13" t="s">
        <v>2907</v>
      </c>
    </row>
    <row r="409" spans="1:5">
      <c r="A409" s="17" t="s">
        <v>2988</v>
      </c>
      <c r="B409" s="17" t="s">
        <v>2989</v>
      </c>
      <c r="C409" s="7" t="s">
        <v>2990</v>
      </c>
      <c r="D409" s="17" t="s">
        <v>805</v>
      </c>
      <c r="E409" s="13" t="s">
        <v>744</v>
      </c>
    </row>
    <row r="410" spans="1:5">
      <c r="A410" s="17" t="s">
        <v>2991</v>
      </c>
      <c r="B410" s="17" t="s">
        <v>2992</v>
      </c>
      <c r="C410" s="7" t="s">
        <v>2993</v>
      </c>
      <c r="D410" s="17" t="s">
        <v>805</v>
      </c>
      <c r="E410" s="13" t="s">
        <v>744</v>
      </c>
    </row>
    <row r="411" spans="1:5">
      <c r="A411" s="17" t="s">
        <v>217</v>
      </c>
      <c r="B411" s="17" t="s">
        <v>2994</v>
      </c>
      <c r="C411" s="7" t="s">
        <v>2995</v>
      </c>
      <c r="D411" s="17" t="s">
        <v>2906</v>
      </c>
      <c r="E411" s="13" t="s">
        <v>2907</v>
      </c>
    </row>
    <row r="412" spans="1:5">
      <c r="A412" s="17" t="s">
        <v>2996</v>
      </c>
      <c r="B412" s="17" t="s">
        <v>2997</v>
      </c>
      <c r="C412" s="7" t="s">
        <v>2998</v>
      </c>
      <c r="D412" s="17" t="s">
        <v>805</v>
      </c>
      <c r="E412" s="13" t="s">
        <v>744</v>
      </c>
    </row>
    <row r="413" spans="1:5">
      <c r="A413" s="17" t="s">
        <v>219</v>
      </c>
      <c r="B413" s="17" t="s">
        <v>2999</v>
      </c>
      <c r="C413" s="7" t="s">
        <v>3000</v>
      </c>
      <c r="D413" s="17" t="s">
        <v>2906</v>
      </c>
      <c r="E413" s="13" t="s">
        <v>2907</v>
      </c>
    </row>
    <row r="414" spans="1:5">
      <c r="A414" s="17" t="s">
        <v>3001</v>
      </c>
      <c r="B414" s="17" t="s">
        <v>3002</v>
      </c>
      <c r="C414" s="7" t="s">
        <v>3003</v>
      </c>
      <c r="D414" s="17" t="s">
        <v>805</v>
      </c>
      <c r="E414" s="13" t="s">
        <v>744</v>
      </c>
    </row>
    <row r="415" spans="1:5">
      <c r="A415" s="17" t="s">
        <v>221</v>
      </c>
      <c r="B415" s="17" t="s">
        <v>3004</v>
      </c>
      <c r="C415" s="7" t="s">
        <v>3005</v>
      </c>
      <c r="D415" s="17" t="s">
        <v>2906</v>
      </c>
      <c r="E415" s="13" t="s">
        <v>2907</v>
      </c>
    </row>
    <row r="416" spans="1:5">
      <c r="A416" s="17" t="s">
        <v>3006</v>
      </c>
      <c r="B416" s="17" t="s">
        <v>3007</v>
      </c>
      <c r="C416" s="7" t="s">
        <v>3008</v>
      </c>
      <c r="D416" s="17" t="s">
        <v>805</v>
      </c>
      <c r="E416" s="13" t="s">
        <v>744</v>
      </c>
    </row>
    <row r="417" spans="1:5">
      <c r="A417" s="17" t="s">
        <v>3009</v>
      </c>
      <c r="B417" s="17" t="s">
        <v>3010</v>
      </c>
      <c r="C417" s="7" t="s">
        <v>3011</v>
      </c>
      <c r="D417" s="17" t="s">
        <v>805</v>
      </c>
      <c r="E417" s="13" t="s">
        <v>744</v>
      </c>
    </row>
    <row r="418" spans="1:5">
      <c r="A418" s="17" t="s">
        <v>223</v>
      </c>
      <c r="B418" s="17" t="s">
        <v>3012</v>
      </c>
      <c r="C418" s="7" t="s">
        <v>3013</v>
      </c>
      <c r="D418" s="17" t="s">
        <v>2906</v>
      </c>
      <c r="E418" s="13" t="s">
        <v>2907</v>
      </c>
    </row>
    <row r="419" spans="1:5">
      <c r="A419" s="17" t="s">
        <v>3014</v>
      </c>
      <c r="B419" s="17" t="s">
        <v>3015</v>
      </c>
      <c r="C419" s="7" t="s">
        <v>3016</v>
      </c>
      <c r="D419" s="17" t="s">
        <v>805</v>
      </c>
      <c r="E419" s="13" t="s">
        <v>744</v>
      </c>
    </row>
    <row r="420" spans="1:5">
      <c r="A420" s="17" t="s">
        <v>225</v>
      </c>
      <c r="B420" s="17" t="s">
        <v>3017</v>
      </c>
      <c r="C420" s="7" t="s">
        <v>3018</v>
      </c>
      <c r="D420" s="17" t="s">
        <v>2906</v>
      </c>
      <c r="E420" s="13" t="s">
        <v>2907</v>
      </c>
    </row>
    <row r="421" spans="1:5">
      <c r="A421" s="17" t="s">
        <v>3019</v>
      </c>
      <c r="B421" s="17" t="s">
        <v>3020</v>
      </c>
      <c r="C421" s="7" t="s">
        <v>3021</v>
      </c>
      <c r="D421" s="17" t="s">
        <v>805</v>
      </c>
      <c r="E421" s="13" t="s">
        <v>744</v>
      </c>
    </row>
    <row r="422" spans="1:5">
      <c r="A422" s="17" t="s">
        <v>227</v>
      </c>
      <c r="B422" s="17" t="s">
        <v>3022</v>
      </c>
      <c r="C422" s="7" t="s">
        <v>3023</v>
      </c>
      <c r="D422" s="17" t="s">
        <v>2906</v>
      </c>
      <c r="E422" s="13" t="s">
        <v>2907</v>
      </c>
    </row>
    <row r="423" spans="1:5">
      <c r="A423" s="17" t="s">
        <v>3024</v>
      </c>
      <c r="B423" s="17" t="s">
        <v>3025</v>
      </c>
      <c r="C423" s="7" t="s">
        <v>3026</v>
      </c>
      <c r="D423" s="17" t="s">
        <v>805</v>
      </c>
      <c r="E423" s="13" t="s">
        <v>744</v>
      </c>
    </row>
    <row r="424" spans="1:5">
      <c r="A424" s="17" t="s">
        <v>3027</v>
      </c>
      <c r="B424" s="17" t="s">
        <v>3028</v>
      </c>
      <c r="C424" s="7" t="s">
        <v>3029</v>
      </c>
      <c r="D424" s="17" t="s">
        <v>805</v>
      </c>
      <c r="E424" s="13" t="s">
        <v>744</v>
      </c>
    </row>
    <row r="425" spans="1:5">
      <c r="A425" s="17" t="s">
        <v>229</v>
      </c>
      <c r="B425" s="17" t="s">
        <v>3030</v>
      </c>
      <c r="C425" s="7" t="s">
        <v>3031</v>
      </c>
      <c r="D425" s="17" t="s">
        <v>2906</v>
      </c>
      <c r="E425" s="13" t="s">
        <v>2907</v>
      </c>
    </row>
    <row r="426" spans="1:5">
      <c r="A426" s="17" t="s">
        <v>3032</v>
      </c>
      <c r="B426" s="17" t="s">
        <v>3033</v>
      </c>
      <c r="C426" s="7" t="s">
        <v>3034</v>
      </c>
      <c r="D426" s="17" t="s">
        <v>805</v>
      </c>
      <c r="E426" s="13" t="s">
        <v>744</v>
      </c>
    </row>
    <row r="427" spans="1:5">
      <c r="A427" s="17" t="s">
        <v>231</v>
      </c>
      <c r="B427" s="17" t="s">
        <v>3035</v>
      </c>
      <c r="C427" s="7" t="s">
        <v>3036</v>
      </c>
      <c r="D427" s="17" t="s">
        <v>2906</v>
      </c>
      <c r="E427" s="13" t="s">
        <v>2907</v>
      </c>
    </row>
    <row r="428" spans="1:5">
      <c r="A428" s="17" t="s">
        <v>3037</v>
      </c>
      <c r="B428" s="17" t="s">
        <v>3038</v>
      </c>
      <c r="C428" s="7" t="s">
        <v>3039</v>
      </c>
      <c r="D428" s="17" t="s">
        <v>805</v>
      </c>
      <c r="E428" s="13" t="s">
        <v>744</v>
      </c>
    </row>
    <row r="429" spans="1:5">
      <c r="A429" s="17" t="s">
        <v>233</v>
      </c>
      <c r="B429" s="17" t="s">
        <v>3040</v>
      </c>
      <c r="C429" s="7" t="s">
        <v>3041</v>
      </c>
      <c r="D429" s="17" t="s">
        <v>2906</v>
      </c>
      <c r="E429" s="13" t="s">
        <v>2907</v>
      </c>
    </row>
    <row r="430" spans="1:5">
      <c r="A430" s="17" t="s">
        <v>3042</v>
      </c>
      <c r="B430" s="17" t="s">
        <v>3043</v>
      </c>
      <c r="C430" s="7" t="s">
        <v>3044</v>
      </c>
      <c r="D430" s="17" t="s">
        <v>805</v>
      </c>
      <c r="E430" s="13" t="s">
        <v>744</v>
      </c>
    </row>
    <row r="431" spans="1:5">
      <c r="A431" s="17" t="s">
        <v>3045</v>
      </c>
      <c r="B431" s="17" t="s">
        <v>3046</v>
      </c>
      <c r="C431" s="7" t="s">
        <v>3047</v>
      </c>
      <c r="D431" s="17" t="s">
        <v>805</v>
      </c>
      <c r="E431" s="13" t="s">
        <v>744</v>
      </c>
    </row>
    <row r="432" spans="1:5">
      <c r="A432" s="17" t="s">
        <v>235</v>
      </c>
      <c r="B432" s="17" t="s">
        <v>3048</v>
      </c>
      <c r="C432" s="7" t="s">
        <v>3049</v>
      </c>
      <c r="D432" s="17" t="s">
        <v>2906</v>
      </c>
      <c r="E432" s="13" t="s">
        <v>2907</v>
      </c>
    </row>
    <row r="433" spans="1:5">
      <c r="A433" s="17" t="s">
        <v>3050</v>
      </c>
      <c r="B433" s="17" t="s">
        <v>3051</v>
      </c>
      <c r="C433" s="7" t="s">
        <v>3052</v>
      </c>
      <c r="D433" s="17" t="s">
        <v>805</v>
      </c>
      <c r="E433" s="13" t="s">
        <v>744</v>
      </c>
    </row>
    <row r="434" spans="1:5">
      <c r="A434" s="17" t="s">
        <v>237</v>
      </c>
      <c r="B434" s="17" t="s">
        <v>3053</v>
      </c>
      <c r="C434" s="7" t="s">
        <v>3054</v>
      </c>
      <c r="D434" s="17" t="s">
        <v>2906</v>
      </c>
      <c r="E434" s="13" t="s">
        <v>2907</v>
      </c>
    </row>
    <row r="435" spans="1:5">
      <c r="A435" s="17" t="s">
        <v>3055</v>
      </c>
      <c r="B435" s="17" t="s">
        <v>3056</v>
      </c>
      <c r="C435" s="7" t="s">
        <v>3057</v>
      </c>
      <c r="D435" s="17" t="s">
        <v>805</v>
      </c>
      <c r="E435" s="13" t="s">
        <v>744</v>
      </c>
    </row>
    <row r="436" spans="1:5">
      <c r="A436" s="17" t="s">
        <v>239</v>
      </c>
      <c r="B436" s="17" t="s">
        <v>3058</v>
      </c>
      <c r="C436" s="7" t="s">
        <v>3059</v>
      </c>
      <c r="D436" s="17" t="s">
        <v>2906</v>
      </c>
      <c r="E436" s="13" t="s">
        <v>2907</v>
      </c>
    </row>
    <row r="437" spans="1:5">
      <c r="A437" s="17" t="s">
        <v>3060</v>
      </c>
      <c r="B437" s="17" t="s">
        <v>3061</v>
      </c>
      <c r="C437" s="7" t="s">
        <v>3062</v>
      </c>
      <c r="D437" s="17" t="s">
        <v>805</v>
      </c>
      <c r="E437" s="13" t="s">
        <v>744</v>
      </c>
    </row>
    <row r="438" spans="1:5">
      <c r="A438" s="17" t="s">
        <v>3063</v>
      </c>
      <c r="B438" s="17" t="s">
        <v>3064</v>
      </c>
      <c r="C438" s="7" t="s">
        <v>3065</v>
      </c>
      <c r="D438" s="17" t="s">
        <v>805</v>
      </c>
      <c r="E438" s="13" t="s">
        <v>744</v>
      </c>
    </row>
    <row r="439" spans="1:5">
      <c r="A439" s="17" t="s">
        <v>241</v>
      </c>
      <c r="B439" s="17" t="s">
        <v>3066</v>
      </c>
      <c r="C439" s="7" t="s">
        <v>3067</v>
      </c>
      <c r="D439" s="17" t="s">
        <v>2906</v>
      </c>
      <c r="E439" s="13" t="s">
        <v>2907</v>
      </c>
    </row>
    <row r="440" spans="1:5">
      <c r="A440" s="17" t="s">
        <v>3068</v>
      </c>
      <c r="B440" s="17" t="s">
        <v>3069</v>
      </c>
      <c r="C440" s="7" t="s">
        <v>3070</v>
      </c>
      <c r="D440" s="17" t="s">
        <v>805</v>
      </c>
      <c r="E440" s="13" t="s">
        <v>744</v>
      </c>
    </row>
    <row r="441" spans="1:5">
      <c r="A441" s="17" t="s">
        <v>243</v>
      </c>
      <c r="B441" s="17" t="s">
        <v>3071</v>
      </c>
      <c r="C441" s="7" t="s">
        <v>3072</v>
      </c>
      <c r="D441" s="17" t="s">
        <v>2906</v>
      </c>
      <c r="E441" s="13" t="s">
        <v>2907</v>
      </c>
    </row>
    <row r="442" spans="1:5">
      <c r="A442" s="17" t="s">
        <v>3073</v>
      </c>
      <c r="B442" s="17" t="s">
        <v>3074</v>
      </c>
      <c r="C442" s="7" t="s">
        <v>3075</v>
      </c>
      <c r="D442" s="17" t="s">
        <v>805</v>
      </c>
      <c r="E442" s="13" t="s">
        <v>744</v>
      </c>
    </row>
    <row r="443" spans="1:5">
      <c r="A443" s="17" t="s">
        <v>245</v>
      </c>
      <c r="B443" s="17" t="s">
        <v>3076</v>
      </c>
      <c r="C443" s="7" t="s">
        <v>3077</v>
      </c>
      <c r="D443" s="17" t="s">
        <v>2906</v>
      </c>
      <c r="E443" s="13" t="s">
        <v>2907</v>
      </c>
    </row>
    <row r="444" spans="1:5">
      <c r="A444" s="17" t="s">
        <v>3078</v>
      </c>
      <c r="B444" s="17" t="s">
        <v>3079</v>
      </c>
      <c r="C444" s="7" t="s">
        <v>3080</v>
      </c>
      <c r="D444" s="17" t="s">
        <v>805</v>
      </c>
      <c r="E444" s="13" t="s">
        <v>744</v>
      </c>
    </row>
    <row r="445" spans="1:5">
      <c r="A445" s="17" t="s">
        <v>3081</v>
      </c>
      <c r="B445" s="17" t="s">
        <v>3082</v>
      </c>
      <c r="C445" s="7" t="s">
        <v>3083</v>
      </c>
      <c r="D445" s="17" t="s">
        <v>805</v>
      </c>
      <c r="E445" s="13" t="s">
        <v>744</v>
      </c>
    </row>
    <row r="446" spans="1:5">
      <c r="A446" s="17" t="s">
        <v>247</v>
      </c>
      <c r="B446" s="17" t="s">
        <v>3084</v>
      </c>
      <c r="C446" s="7" t="s">
        <v>3085</v>
      </c>
      <c r="D446" s="17" t="s">
        <v>2906</v>
      </c>
      <c r="E446" s="13" t="s">
        <v>2907</v>
      </c>
    </row>
    <row r="447" spans="1:5">
      <c r="A447" s="17" t="s">
        <v>3086</v>
      </c>
      <c r="B447" s="17" t="s">
        <v>3087</v>
      </c>
      <c r="C447" s="7" t="s">
        <v>3088</v>
      </c>
      <c r="D447" s="17" t="s">
        <v>805</v>
      </c>
      <c r="E447" s="13" t="s">
        <v>744</v>
      </c>
    </row>
    <row r="448" spans="1:5">
      <c r="A448" s="17" t="s">
        <v>249</v>
      </c>
      <c r="B448" s="17" t="s">
        <v>3089</v>
      </c>
      <c r="C448" s="7" t="s">
        <v>3090</v>
      </c>
      <c r="D448" s="17" t="s">
        <v>2906</v>
      </c>
      <c r="E448" s="13" t="s">
        <v>2907</v>
      </c>
    </row>
    <row r="449" spans="1:5">
      <c r="A449" s="17" t="s">
        <v>3091</v>
      </c>
      <c r="B449" s="17" t="s">
        <v>3092</v>
      </c>
      <c r="C449" s="7" t="s">
        <v>3093</v>
      </c>
      <c r="D449" s="17" t="s">
        <v>805</v>
      </c>
      <c r="E449" s="13" t="s">
        <v>744</v>
      </c>
    </row>
    <row r="450" spans="1:5">
      <c r="A450" s="17" t="s">
        <v>251</v>
      </c>
      <c r="B450" s="17" t="s">
        <v>3094</v>
      </c>
      <c r="C450" s="7" t="s">
        <v>3095</v>
      </c>
      <c r="D450" s="17" t="s">
        <v>2906</v>
      </c>
      <c r="E450" s="13" t="s">
        <v>2907</v>
      </c>
    </row>
    <row r="451" spans="1:5">
      <c r="A451" s="17" t="s">
        <v>3096</v>
      </c>
      <c r="B451" s="17" t="s">
        <v>3097</v>
      </c>
      <c r="C451" s="7" t="s">
        <v>3098</v>
      </c>
      <c r="D451" s="17" t="s">
        <v>805</v>
      </c>
      <c r="E451" s="13" t="s">
        <v>744</v>
      </c>
    </row>
    <row r="452" spans="1:5">
      <c r="A452" s="17" t="s">
        <v>253</v>
      </c>
      <c r="B452" s="17" t="s">
        <v>3099</v>
      </c>
      <c r="C452" s="7" t="s">
        <v>3100</v>
      </c>
      <c r="D452" s="17" t="s">
        <v>2906</v>
      </c>
      <c r="E452" s="13" t="s">
        <v>2907</v>
      </c>
    </row>
    <row r="453" spans="1:5">
      <c r="A453" s="17" t="s">
        <v>3101</v>
      </c>
      <c r="B453" s="17" t="s">
        <v>3102</v>
      </c>
      <c r="C453" s="7" t="s">
        <v>3103</v>
      </c>
      <c r="D453" s="17" t="s">
        <v>805</v>
      </c>
      <c r="E453" s="13" t="s">
        <v>744</v>
      </c>
    </row>
    <row r="454" spans="1:5">
      <c r="A454" s="17" t="s">
        <v>3104</v>
      </c>
      <c r="B454" s="17" t="s">
        <v>3105</v>
      </c>
      <c r="C454" s="7" t="s">
        <v>1164</v>
      </c>
      <c r="D454" s="17" t="s">
        <v>1863</v>
      </c>
      <c r="E454" s="13" t="s">
        <v>1864</v>
      </c>
    </row>
    <row r="455" spans="1:5">
      <c r="A455" s="17" t="s">
        <v>3106</v>
      </c>
      <c r="B455" s="17" t="s">
        <v>3107</v>
      </c>
      <c r="C455" s="7" t="s">
        <v>3108</v>
      </c>
      <c r="D455" s="17" t="s">
        <v>1863</v>
      </c>
      <c r="E455" s="13" t="s">
        <v>1864</v>
      </c>
    </row>
    <row r="456" spans="1:5">
      <c r="A456" s="17" t="s">
        <v>3109</v>
      </c>
      <c r="B456" s="17" t="s">
        <v>3110</v>
      </c>
      <c r="C456" s="7" t="s">
        <v>3111</v>
      </c>
      <c r="D456" s="17" t="s">
        <v>1863</v>
      </c>
      <c r="E456" s="13" t="s">
        <v>1864</v>
      </c>
    </row>
    <row r="457" spans="1:5">
      <c r="A457" s="17" t="s">
        <v>3112</v>
      </c>
      <c r="B457" s="17" t="s">
        <v>3113</v>
      </c>
      <c r="C457" s="7" t="s">
        <v>3114</v>
      </c>
      <c r="D457" s="17" t="s">
        <v>1863</v>
      </c>
      <c r="E457" s="13" t="s">
        <v>1864</v>
      </c>
    </row>
    <row r="458" spans="1:5">
      <c r="A458" s="17" t="s">
        <v>3115</v>
      </c>
      <c r="B458" s="17" t="s">
        <v>3116</v>
      </c>
      <c r="C458" s="7" t="s">
        <v>3117</v>
      </c>
      <c r="D458" s="17" t="s">
        <v>1863</v>
      </c>
      <c r="E458" s="13" t="s">
        <v>1864</v>
      </c>
    </row>
    <row r="459" spans="1:5">
      <c r="A459" s="17" t="s">
        <v>3118</v>
      </c>
      <c r="B459" s="17" t="s">
        <v>3119</v>
      </c>
      <c r="C459" s="7" t="s">
        <v>3120</v>
      </c>
      <c r="D459" s="17" t="s">
        <v>1863</v>
      </c>
      <c r="E459" s="13" t="s">
        <v>1864</v>
      </c>
    </row>
    <row r="460" spans="1:5">
      <c r="A460" s="17" t="s">
        <v>3121</v>
      </c>
      <c r="B460" s="17" t="s">
        <v>3122</v>
      </c>
      <c r="C460" s="7" t="s">
        <v>3123</v>
      </c>
      <c r="D460" s="17" t="s">
        <v>1863</v>
      </c>
      <c r="E460" s="13" t="s">
        <v>1864</v>
      </c>
    </row>
    <row r="461" spans="1:5">
      <c r="A461" s="17" t="s">
        <v>3124</v>
      </c>
      <c r="B461" s="17" t="s">
        <v>3125</v>
      </c>
      <c r="C461" s="7" t="s">
        <v>3126</v>
      </c>
      <c r="D461" s="17" t="s">
        <v>1863</v>
      </c>
      <c r="E461" s="13" t="s">
        <v>1864</v>
      </c>
    </row>
    <row r="462" spans="1:5">
      <c r="A462" s="17" t="s">
        <v>3127</v>
      </c>
      <c r="B462" s="17" t="s">
        <v>3128</v>
      </c>
      <c r="C462" s="7" t="s">
        <v>3129</v>
      </c>
      <c r="D462" s="17" t="s">
        <v>1863</v>
      </c>
      <c r="E462" s="13" t="s">
        <v>1864</v>
      </c>
    </row>
    <row r="463" spans="1:5">
      <c r="A463" s="17" t="s">
        <v>3130</v>
      </c>
      <c r="B463" s="17" t="s">
        <v>3131</v>
      </c>
      <c r="C463" s="7" t="s">
        <v>3132</v>
      </c>
      <c r="D463" s="17" t="s">
        <v>1863</v>
      </c>
      <c r="E463" s="13" t="s">
        <v>1864</v>
      </c>
    </row>
    <row r="464" spans="1:5">
      <c r="A464" s="17" t="s">
        <v>3133</v>
      </c>
      <c r="B464" s="17" t="s">
        <v>3134</v>
      </c>
      <c r="C464" s="7" t="s">
        <v>3135</v>
      </c>
      <c r="D464" s="17" t="s">
        <v>1863</v>
      </c>
      <c r="E464" s="13" t="s">
        <v>1864</v>
      </c>
    </row>
    <row r="465" spans="1:5">
      <c r="A465" s="17" t="s">
        <v>3136</v>
      </c>
      <c r="B465" s="17" t="s">
        <v>3137</v>
      </c>
      <c r="C465" s="7" t="s">
        <v>3138</v>
      </c>
      <c r="D465" s="17" t="s">
        <v>1863</v>
      </c>
      <c r="E465" s="13" t="s">
        <v>1864</v>
      </c>
    </row>
    <row r="466" spans="1:5">
      <c r="A466" s="17" t="s">
        <v>3139</v>
      </c>
      <c r="B466" s="17" t="s">
        <v>3140</v>
      </c>
      <c r="C466" s="7" t="s">
        <v>1166</v>
      </c>
      <c r="D466" s="17" t="s">
        <v>805</v>
      </c>
      <c r="E466" s="13" t="s">
        <v>744</v>
      </c>
    </row>
    <row r="467" spans="1:5">
      <c r="A467" s="17" t="s">
        <v>3141</v>
      </c>
      <c r="B467" s="17" t="s">
        <v>3142</v>
      </c>
      <c r="C467" s="7" t="s">
        <v>3143</v>
      </c>
      <c r="D467" s="17" t="s">
        <v>805</v>
      </c>
      <c r="E467" s="13" t="s">
        <v>744</v>
      </c>
    </row>
    <row r="468" spans="1:5">
      <c r="A468" s="17" t="s">
        <v>3144</v>
      </c>
      <c r="B468" s="17" t="s">
        <v>3145</v>
      </c>
      <c r="C468" s="7" t="s">
        <v>3146</v>
      </c>
      <c r="D468" s="17" t="s">
        <v>805</v>
      </c>
      <c r="E468" s="13" t="s">
        <v>744</v>
      </c>
    </row>
    <row r="469" spans="1:5">
      <c r="A469" s="17" t="s">
        <v>3147</v>
      </c>
      <c r="B469" s="17" t="s">
        <v>3148</v>
      </c>
      <c r="C469" s="7" t="s">
        <v>3149</v>
      </c>
      <c r="D469" s="17" t="s">
        <v>805</v>
      </c>
      <c r="E469" s="13" t="s">
        <v>744</v>
      </c>
    </row>
    <row r="470" spans="1:5">
      <c r="A470" s="17" t="s">
        <v>3150</v>
      </c>
      <c r="B470" s="17" t="s">
        <v>3151</v>
      </c>
      <c r="C470" s="7" t="s">
        <v>1168</v>
      </c>
      <c r="D470" s="17" t="s">
        <v>805</v>
      </c>
      <c r="E470" s="13" t="s">
        <v>744</v>
      </c>
    </row>
    <row r="471" spans="1:5">
      <c r="A471" s="17" t="s">
        <v>3152</v>
      </c>
      <c r="B471" s="17" t="s">
        <v>3153</v>
      </c>
      <c r="C471" s="7" t="s">
        <v>1723</v>
      </c>
      <c r="D471" s="17" t="s">
        <v>3154</v>
      </c>
      <c r="E471" s="13" t="s">
        <v>3155</v>
      </c>
    </row>
    <row r="472" spans="1:5">
      <c r="A472" s="17" t="s">
        <v>3156</v>
      </c>
      <c r="B472" s="17" t="s">
        <v>3157</v>
      </c>
      <c r="C472" s="7" t="s">
        <v>3158</v>
      </c>
      <c r="D472" s="17" t="s">
        <v>805</v>
      </c>
      <c r="E472" s="13" t="s">
        <v>744</v>
      </c>
    </row>
  </sheetData>
  <sheetProtection sheet="1" objects="1" scenarios="1" formatColumns="0" formatRows="0" sort="0" autoFilter="0"/>
  <autoFilter ref="A11:E472"/>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K8"/>
  <sheetViews>
    <sheetView workbookViewId="0">
      <pane ySplit="8" topLeftCell="A9" activePane="bottomLeft" state="frozen"/>
      <selection pane="bottomLeft"/>
    </sheetView>
  </sheetViews>
  <sheetFormatPr defaultRowHeight="15"/>
  <cols>
    <col min="1" max="1" width="20.7109375" customWidth="1"/>
    <col min="2" max="2" width="36.7109375" customWidth="1"/>
    <col min="3" max="3" width="8.7109375" customWidth="1"/>
    <col min="4" max="5" width="30.7109375" customWidth="1"/>
    <col min="6" max="6" width="26.7109375" customWidth="1"/>
    <col min="7" max="7" width="10.7109375" customWidth="1"/>
    <col min="8" max="8" width="12.7109375" customWidth="1"/>
    <col min="9" max="9" width="36.7109375" customWidth="1"/>
    <col min="10" max="11" width="12.7109375" hidden="1" customWidth="1"/>
  </cols>
  <sheetData>
    <row r="1" spans="1:9">
      <c r="A1" s="1" t="s">
        <v>3159</v>
      </c>
    </row>
    <row r="2" spans="1:9">
      <c r="A2" s="2" t="s">
        <v>3160</v>
      </c>
    </row>
    <row r="4" spans="1:9">
      <c r="A4" s="22" t="s">
        <v>3161</v>
      </c>
      <c r="B4" s="13"/>
      <c r="C4" s="13"/>
      <c r="D4" s="13"/>
      <c r="E4" s="13"/>
    </row>
    <row r="5" spans="1:9">
      <c r="A5" s="22" t="s">
        <v>3162</v>
      </c>
      <c r="B5" s="13"/>
      <c r="C5" s="13"/>
      <c r="D5" s="13"/>
      <c r="E5" s="13"/>
    </row>
    <row r="6" spans="1:9">
      <c r="A6" s="22" t="s">
        <v>3163</v>
      </c>
      <c r="B6" s="13"/>
      <c r="C6" s="13"/>
      <c r="D6" s="13"/>
      <c r="E6" s="13"/>
    </row>
    <row r="7" spans="1:9">
      <c r="A7" s="22" t="s">
        <v>3164</v>
      </c>
      <c r="B7" s="13"/>
      <c r="C7" s="13"/>
      <c r="D7" s="13"/>
      <c r="E7" s="13"/>
    </row>
    <row r="8" spans="1:9">
      <c r="A8" s="11" t="s">
        <v>203</v>
      </c>
      <c r="B8" s="11" t="s">
        <v>4</v>
      </c>
      <c r="C8" s="11" t="s">
        <v>1827</v>
      </c>
      <c r="D8" s="11" t="s">
        <v>3165</v>
      </c>
      <c r="E8" s="11" t="s">
        <v>3166</v>
      </c>
      <c r="F8" s="11" t="s">
        <v>3167</v>
      </c>
      <c r="G8" s="11" t="s">
        <v>3168</v>
      </c>
      <c r="H8" s="11" t="s">
        <v>3169</v>
      </c>
      <c r="I8" s="11" t="s">
        <v>3170</v>
      </c>
    </row>
  </sheetData>
  <sheetProtection sheet="1" objects="1" scenarios="1" formatColumns="0" formatRows="0" autoFilter="0"/>
  <mergeCells count="4">
    <mergeCell ref="B4:E4"/>
    <mergeCell ref="B5:E5"/>
    <mergeCell ref="B6:E6"/>
    <mergeCell ref="B7:E7"/>
  </mergeCells>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H55"/>
  <sheetViews>
    <sheetView workbookViewId="0">
      <pane ySplit="4" topLeftCell="A5" activePane="bottomLeft" state="frozen"/>
      <selection pane="bottomLeft"/>
    </sheetView>
  </sheetViews>
  <sheetFormatPr defaultRowHeight="15"/>
  <cols>
    <col min="1" max="1" width="5.7109375" customWidth="1"/>
    <col min="2" max="2" width="16.7109375" customWidth="1"/>
    <col min="3" max="3" width="10.7109375" customWidth="1"/>
    <col min="4" max="4" width="70.7109375" customWidth="1"/>
    <col min="5" max="5" width="60.7109375" customWidth="1"/>
    <col min="6" max="8" width="22.7109375" customWidth="1"/>
  </cols>
  <sheetData>
    <row r="1" spans="1:5">
      <c r="A1" s="1" t="s">
        <v>3264</v>
      </c>
    </row>
    <row r="2" spans="1:5">
      <c r="A2" s="2" t="s">
        <v>3265</v>
      </c>
    </row>
    <row r="4" spans="1:5">
      <c r="A4" s="11" t="s">
        <v>3266</v>
      </c>
      <c r="B4" s="11" t="s">
        <v>3267</v>
      </c>
      <c r="C4" s="11" t="s">
        <v>3268</v>
      </c>
      <c r="D4" s="11" t="s">
        <v>3269</v>
      </c>
      <c r="E4" s="11" t="s">
        <v>3270</v>
      </c>
    </row>
    <row r="5" spans="1:5" ht="58" customHeight="1">
      <c r="A5" s="15">
        <v>1</v>
      </c>
      <c r="B5" s="17" t="s">
        <v>3271</v>
      </c>
      <c r="C5" s="17" t="s">
        <v>3272</v>
      </c>
      <c r="D5" s="13" t="s">
        <v>3273</v>
      </c>
      <c r="E5" s="13" t="s">
        <v>3274</v>
      </c>
    </row>
    <row r="6" spans="1:5" ht="58" customHeight="1">
      <c r="A6" s="15">
        <v>2</v>
      </c>
      <c r="B6" s="17" t="s">
        <v>3271</v>
      </c>
      <c r="C6" s="17" t="s">
        <v>3275</v>
      </c>
      <c r="D6" s="13" t="s">
        <v>3276</v>
      </c>
      <c r="E6" s="13" t="s">
        <v>3277</v>
      </c>
    </row>
    <row r="7" spans="1:5" ht="58" customHeight="1">
      <c r="A7" s="15">
        <v>3</v>
      </c>
      <c r="B7" s="17" t="s">
        <v>3278</v>
      </c>
      <c r="C7" s="17" t="s">
        <v>3272</v>
      </c>
      <c r="D7" s="13" t="s">
        <v>3279</v>
      </c>
      <c r="E7" s="13" t="s">
        <v>3280</v>
      </c>
    </row>
    <row r="8" spans="1:5" ht="58" customHeight="1">
      <c r="A8" s="15">
        <v>4</v>
      </c>
      <c r="B8" s="17" t="s">
        <v>3281</v>
      </c>
      <c r="C8" s="17" t="s">
        <v>3275</v>
      </c>
      <c r="D8" s="13" t="s">
        <v>3282</v>
      </c>
      <c r="E8" s="13" t="s">
        <v>3283</v>
      </c>
    </row>
    <row r="9" spans="1:5" ht="58" customHeight="1">
      <c r="A9" s="15">
        <v>5</v>
      </c>
      <c r="B9" s="17" t="s">
        <v>3281</v>
      </c>
      <c r="C9" s="17" t="s">
        <v>3272</v>
      </c>
      <c r="D9" s="13" t="s">
        <v>3284</v>
      </c>
      <c r="E9" s="13" t="s">
        <v>3285</v>
      </c>
    </row>
    <row r="10" spans="1:5" ht="58" customHeight="1">
      <c r="A10" s="15">
        <v>6</v>
      </c>
      <c r="B10" s="17" t="s">
        <v>3281</v>
      </c>
      <c r="C10" s="17" t="s">
        <v>3275</v>
      </c>
      <c r="D10" s="13" t="s">
        <v>3286</v>
      </c>
      <c r="E10" s="13" t="s">
        <v>3287</v>
      </c>
    </row>
    <row r="11" spans="1:5" ht="58" customHeight="1">
      <c r="A11" s="15">
        <v>7</v>
      </c>
      <c r="B11" s="17" t="s">
        <v>3288</v>
      </c>
      <c r="C11" s="17" t="s">
        <v>102</v>
      </c>
      <c r="D11" s="13" t="s">
        <v>3289</v>
      </c>
      <c r="E11" s="13" t="s">
        <v>3290</v>
      </c>
    </row>
    <row r="12" spans="1:5" ht="58" customHeight="1">
      <c r="A12" s="15">
        <v>8</v>
      </c>
      <c r="B12" s="17" t="s">
        <v>3291</v>
      </c>
      <c r="C12" s="17" t="s">
        <v>3272</v>
      </c>
      <c r="D12" s="13" t="s">
        <v>3292</v>
      </c>
      <c r="E12" s="13" t="s">
        <v>3293</v>
      </c>
    </row>
    <row r="13" spans="1:5" ht="58" customHeight="1">
      <c r="A13" s="15">
        <v>9</v>
      </c>
      <c r="B13" s="17" t="s">
        <v>3294</v>
      </c>
      <c r="C13" s="17" t="s">
        <v>3275</v>
      </c>
      <c r="D13" s="13" t="s">
        <v>3295</v>
      </c>
      <c r="E13" s="13" t="s">
        <v>3296</v>
      </c>
    </row>
    <row r="14" spans="1:5" ht="58" customHeight="1">
      <c r="A14" s="15">
        <v>10</v>
      </c>
      <c r="B14" s="17" t="s">
        <v>3297</v>
      </c>
      <c r="C14" s="17" t="s">
        <v>3275</v>
      </c>
      <c r="D14" s="13" t="s">
        <v>3298</v>
      </c>
      <c r="E14" s="13" t="s">
        <v>3299</v>
      </c>
    </row>
    <row r="15" spans="1:5" ht="58" customHeight="1">
      <c r="A15" s="15">
        <v>11</v>
      </c>
      <c r="B15" s="17" t="s">
        <v>1018</v>
      </c>
      <c r="C15" s="17" t="s">
        <v>3275</v>
      </c>
      <c r="D15" s="13" t="s">
        <v>3300</v>
      </c>
      <c r="E15" s="13" t="s">
        <v>3301</v>
      </c>
    </row>
    <row r="16" spans="1:5" ht="58" customHeight="1">
      <c r="A16" s="15">
        <v>12</v>
      </c>
      <c r="B16" s="17" t="s">
        <v>3181</v>
      </c>
      <c r="C16" s="17" t="s">
        <v>3275</v>
      </c>
      <c r="D16" s="13" t="s">
        <v>3302</v>
      </c>
      <c r="E16" s="13" t="s">
        <v>3303</v>
      </c>
    </row>
    <row r="17" spans="1:8" ht="58" customHeight="1">
      <c r="A17" s="15">
        <v>13</v>
      </c>
      <c r="B17" s="17" t="s">
        <v>3304</v>
      </c>
      <c r="C17" s="17" t="s">
        <v>3305</v>
      </c>
      <c r="D17" s="13" t="s">
        <v>3306</v>
      </c>
      <c r="E17" s="13" t="s">
        <v>3307</v>
      </c>
    </row>
    <row r="18" spans="1:8" ht="58" customHeight="1">
      <c r="A18" s="15">
        <v>14</v>
      </c>
      <c r="B18" s="17" t="s">
        <v>3308</v>
      </c>
      <c r="C18" s="17" t="s">
        <v>3272</v>
      </c>
      <c r="D18" s="13" t="s">
        <v>3309</v>
      </c>
      <c r="E18" s="13" t="s">
        <v>3310</v>
      </c>
    </row>
    <row r="19" spans="1:8" ht="58" customHeight="1">
      <c r="A19" s="15">
        <v>15</v>
      </c>
      <c r="B19" s="17" t="s">
        <v>3311</v>
      </c>
      <c r="C19" s="17" t="s">
        <v>3272</v>
      </c>
      <c r="D19" s="13" t="s">
        <v>3312</v>
      </c>
      <c r="E19" s="13" t="s">
        <v>3313</v>
      </c>
    </row>
    <row r="22" spans="1:8">
      <c r="B22" s="21" t="s">
        <v>3314</v>
      </c>
    </row>
    <row r="23" spans="1:8">
      <c r="B23" s="11" t="s">
        <v>3315</v>
      </c>
      <c r="D23" s="11" t="s">
        <v>3316</v>
      </c>
      <c r="E23" s="11" t="s">
        <v>3317</v>
      </c>
      <c r="F23" s="11" t="s">
        <v>3318</v>
      </c>
      <c r="G23" s="11" t="s">
        <v>3319</v>
      </c>
      <c r="H23" s="11" t="s">
        <v>3320</v>
      </c>
    </row>
    <row r="24" spans="1:8" ht="30" customHeight="1">
      <c r="B24" s="21" t="s">
        <v>132</v>
      </c>
      <c r="D24" s="15">
        <v>9</v>
      </c>
      <c r="E24" s="15">
        <f>IFERROR(INDIRECT("'C1'!B276"),"")</f>
        <v>0</v>
      </c>
      <c r="F24" s="7" t="s">
        <v>1807</v>
      </c>
      <c r="G24" s="7">
        <f>IFERROR(INDIRECT("'C1'!B38"),"")</f>
        <v>0</v>
      </c>
      <c r="H24" s="13">
        <f>IFERROR(INDIRECT("'C1'!B8"),"")</f>
        <v>0</v>
      </c>
    </row>
    <row r="25" spans="1:8" ht="30" customHeight="1">
      <c r="B25" s="21" t="s">
        <v>134</v>
      </c>
      <c r="D25" s="15">
        <v>6</v>
      </c>
      <c r="E25" s="15">
        <f>IFERROR(INDIRECT("'C2'!B276"),"")</f>
        <v>0</v>
      </c>
      <c r="F25" s="7" t="s">
        <v>1804</v>
      </c>
      <c r="G25" s="7">
        <f>IFERROR(INDIRECT("'C2'!B38"),"")</f>
        <v>0</v>
      </c>
      <c r="H25" s="13">
        <f>IFERROR(INDIRECT("'C2'!B8"),"")</f>
        <v>0</v>
      </c>
    </row>
    <row r="26" spans="1:8" ht="30" customHeight="1">
      <c r="B26" s="21" t="s">
        <v>136</v>
      </c>
      <c r="D26" s="15">
        <v>4</v>
      </c>
      <c r="E26" s="15">
        <f>IFERROR(INDIRECT("'C3'!B276"),"")</f>
        <v>0</v>
      </c>
      <c r="F26" s="7" t="s">
        <v>1804</v>
      </c>
      <c r="G26" s="7">
        <f>IFERROR(INDIRECT("'C3'!B38"),"")</f>
        <v>0</v>
      </c>
      <c r="H26" s="13">
        <f>IFERROR(INDIRECT("'C3'!B8"),"")</f>
        <v>0</v>
      </c>
    </row>
    <row r="27" spans="1:8" ht="30" customHeight="1">
      <c r="B27" s="21" t="s">
        <v>1692</v>
      </c>
      <c r="D27" s="15">
        <v>3</v>
      </c>
      <c r="E27" s="15">
        <f>IFERROR(INDIRECT("'C4A'!B276"),"")</f>
        <v>0</v>
      </c>
      <c r="F27" s="7" t="s">
        <v>1807</v>
      </c>
      <c r="G27" s="7">
        <f>IFERROR(INDIRECT("'C4A'!B38"),"")</f>
        <v>0</v>
      </c>
      <c r="H27" s="13">
        <f>IFERROR(INDIRECT("'C4A'!B8"),"")</f>
        <v>0</v>
      </c>
    </row>
    <row r="28" spans="1:8" ht="30" customHeight="1">
      <c r="B28" s="21" t="s">
        <v>1693</v>
      </c>
      <c r="D28" s="15">
        <v>6</v>
      </c>
      <c r="E28" s="15">
        <f>IFERROR(INDIRECT("'C4B'!B276"),"")</f>
        <v>0</v>
      </c>
      <c r="F28" s="7" t="s">
        <v>1807</v>
      </c>
      <c r="G28" s="7">
        <f>IFERROR(INDIRECT("'C4B'!B38"),"")</f>
        <v>0</v>
      </c>
      <c r="H28" s="13">
        <f>IFERROR(INDIRECT("'C4B'!B8"),"")</f>
        <v>0</v>
      </c>
    </row>
    <row r="29" spans="1:8" ht="30" customHeight="1">
      <c r="B29" s="21" t="s">
        <v>140</v>
      </c>
      <c r="D29" s="15">
        <v>6</v>
      </c>
      <c r="E29" s="15">
        <f>IFERROR(INDIRECT("'C5'!B276"),"")</f>
        <v>0</v>
      </c>
      <c r="F29" s="7" t="s">
        <v>1806</v>
      </c>
      <c r="G29" s="7">
        <f>IFERROR(INDIRECT("'C5'!B38"),"")</f>
        <v>0</v>
      </c>
      <c r="H29" s="13">
        <f>IFERROR(INDIRECT("'C5'!B8"),"")</f>
        <v>0</v>
      </c>
    </row>
    <row r="31" spans="1:8" ht="58" customHeight="1">
      <c r="B31" s="4" t="s">
        <v>3321</v>
      </c>
      <c r="C31" s="4"/>
      <c r="D31" s="4"/>
      <c r="E31" s="4"/>
      <c r="F31" s="4"/>
      <c r="G31" s="4"/>
      <c r="H31" s="4"/>
    </row>
    <row r="33" spans="1:5">
      <c r="B33" s="21" t="s">
        <v>3322</v>
      </c>
    </row>
    <row r="34" spans="1:5">
      <c r="A34" s="11" t="s">
        <v>3266</v>
      </c>
      <c r="B34" s="11" t="s">
        <v>3267</v>
      </c>
      <c r="C34" s="11" t="s">
        <v>3268</v>
      </c>
      <c r="D34" s="11" t="s">
        <v>3323</v>
      </c>
      <c r="E34" s="11" t="s">
        <v>3324</v>
      </c>
    </row>
    <row r="35" spans="1:5" ht="58" customHeight="1">
      <c r="A35" s="15">
        <v>1</v>
      </c>
      <c r="B35" s="17" t="s">
        <v>3325</v>
      </c>
      <c r="C35" s="17" t="s">
        <v>3275</v>
      </c>
      <c r="D35" s="13" t="s">
        <v>3326</v>
      </c>
      <c r="E35" s="13" t="s">
        <v>3327</v>
      </c>
    </row>
    <row r="36" spans="1:5" ht="58" customHeight="1">
      <c r="A36" s="15">
        <v>2</v>
      </c>
      <c r="B36" s="17" t="s">
        <v>3271</v>
      </c>
      <c r="C36" s="17" t="s">
        <v>3275</v>
      </c>
      <c r="D36" s="13" t="s">
        <v>3328</v>
      </c>
      <c r="E36" s="13" t="s">
        <v>3329</v>
      </c>
    </row>
    <row r="37" spans="1:5" ht="58" customHeight="1">
      <c r="A37" s="15">
        <v>3</v>
      </c>
      <c r="B37" s="17" t="s">
        <v>3281</v>
      </c>
      <c r="C37" s="17" t="s">
        <v>3272</v>
      </c>
      <c r="D37" s="13" t="s">
        <v>3330</v>
      </c>
      <c r="E37" s="13" t="s">
        <v>3331</v>
      </c>
    </row>
    <row r="38" spans="1:5" ht="58" customHeight="1">
      <c r="A38" s="15">
        <v>4</v>
      </c>
      <c r="B38" s="17" t="s">
        <v>3288</v>
      </c>
      <c r="C38" s="17" t="s">
        <v>3305</v>
      </c>
      <c r="D38" s="13" t="s">
        <v>3332</v>
      </c>
      <c r="E38" s="13" t="s">
        <v>3333</v>
      </c>
    </row>
    <row r="39" spans="1:5" ht="58" customHeight="1">
      <c r="A39" s="15">
        <v>5</v>
      </c>
      <c r="B39" s="17" t="s">
        <v>1018</v>
      </c>
      <c r="C39" s="17" t="s">
        <v>3272</v>
      </c>
      <c r="D39" s="13" t="s">
        <v>3334</v>
      </c>
      <c r="E39" s="13" t="s">
        <v>3335</v>
      </c>
    </row>
    <row r="40" spans="1:5" ht="58" customHeight="1">
      <c r="A40" s="15">
        <v>6</v>
      </c>
      <c r="B40" s="17" t="s">
        <v>1018</v>
      </c>
      <c r="C40" s="17" t="s">
        <v>3275</v>
      </c>
      <c r="D40" s="13" t="s">
        <v>3336</v>
      </c>
      <c r="E40" s="13" t="s">
        <v>3337</v>
      </c>
    </row>
    <row r="41" spans="1:5" ht="58" customHeight="1">
      <c r="A41" s="15">
        <v>7</v>
      </c>
      <c r="B41" s="17" t="s">
        <v>3338</v>
      </c>
      <c r="C41" s="17" t="s">
        <v>3275</v>
      </c>
      <c r="D41" s="13" t="s">
        <v>3339</v>
      </c>
      <c r="E41" s="13" t="s">
        <v>3340</v>
      </c>
    </row>
    <row r="42" spans="1:5" ht="58" customHeight="1">
      <c r="A42" s="15">
        <v>8</v>
      </c>
      <c r="B42" s="17" t="s">
        <v>3338</v>
      </c>
      <c r="C42" s="17" t="s">
        <v>3305</v>
      </c>
      <c r="D42" s="13" t="s">
        <v>3341</v>
      </c>
      <c r="E42" s="13" t="s">
        <v>3342</v>
      </c>
    </row>
    <row r="43" spans="1:5" ht="58" customHeight="1">
      <c r="A43" s="15">
        <v>9</v>
      </c>
      <c r="B43" s="17" t="s">
        <v>3338</v>
      </c>
      <c r="C43" s="17" t="s">
        <v>3305</v>
      </c>
      <c r="D43" s="13" t="s">
        <v>3343</v>
      </c>
      <c r="E43" s="13" t="s">
        <v>3344</v>
      </c>
    </row>
    <row r="44" spans="1:5" ht="58" customHeight="1">
      <c r="A44" s="15">
        <v>10</v>
      </c>
      <c r="B44" s="17" t="s">
        <v>3345</v>
      </c>
      <c r="C44" s="17" t="s">
        <v>3346</v>
      </c>
      <c r="D44" s="13" t="s">
        <v>3347</v>
      </c>
      <c r="E44" s="13" t="s">
        <v>3348</v>
      </c>
    </row>
    <row r="46" spans="1:5">
      <c r="B46" s="21" t="s">
        <v>3349</v>
      </c>
    </row>
    <row r="47" spans="1:5">
      <c r="A47" s="11" t="s">
        <v>3266</v>
      </c>
      <c r="B47" s="11" t="s">
        <v>3267</v>
      </c>
      <c r="C47" s="11" t="s">
        <v>3268</v>
      </c>
      <c r="D47" s="11" t="s">
        <v>3350</v>
      </c>
      <c r="E47" s="11" t="s">
        <v>3351</v>
      </c>
    </row>
    <row r="48" spans="1:5" ht="58" customHeight="1">
      <c r="A48" s="15">
        <v>1</v>
      </c>
      <c r="B48" s="17" t="s">
        <v>3352</v>
      </c>
      <c r="C48" s="17" t="s">
        <v>3275</v>
      </c>
      <c r="D48" s="13" t="s">
        <v>3353</v>
      </c>
      <c r="E48" s="13" t="s">
        <v>3354</v>
      </c>
    </row>
    <row r="49" spans="1:5" ht="58" customHeight="1">
      <c r="A49" s="15">
        <v>2</v>
      </c>
      <c r="B49" s="17" t="s">
        <v>3288</v>
      </c>
      <c r="C49" s="17" t="s">
        <v>3305</v>
      </c>
      <c r="D49" s="13" t="s">
        <v>3355</v>
      </c>
      <c r="E49" s="13" t="s">
        <v>3356</v>
      </c>
    </row>
    <row r="50" spans="1:5" ht="58" customHeight="1">
      <c r="A50" s="15">
        <v>3</v>
      </c>
      <c r="B50" s="17" t="s">
        <v>1018</v>
      </c>
      <c r="C50" s="17" t="s">
        <v>3275</v>
      </c>
      <c r="D50" s="13" t="s">
        <v>3357</v>
      </c>
      <c r="E50" s="13" t="s">
        <v>3358</v>
      </c>
    </row>
    <row r="51" spans="1:5" ht="58" customHeight="1">
      <c r="A51" s="15">
        <v>4</v>
      </c>
      <c r="B51" s="17" t="s">
        <v>1018</v>
      </c>
      <c r="C51" s="17" t="s">
        <v>3275</v>
      </c>
      <c r="D51" s="13" t="s">
        <v>3359</v>
      </c>
      <c r="E51" s="13" t="s">
        <v>3360</v>
      </c>
    </row>
    <row r="52" spans="1:5" ht="58" customHeight="1">
      <c r="A52" s="15">
        <v>5</v>
      </c>
      <c r="B52" s="17" t="s">
        <v>3361</v>
      </c>
      <c r="C52" s="17" t="s">
        <v>3272</v>
      </c>
      <c r="D52" s="13" t="s">
        <v>3362</v>
      </c>
      <c r="E52" s="13" t="s">
        <v>3363</v>
      </c>
    </row>
    <row r="53" spans="1:5" ht="58" customHeight="1">
      <c r="A53" s="15">
        <v>6</v>
      </c>
      <c r="B53" s="17" t="s">
        <v>19</v>
      </c>
      <c r="C53" s="17" t="s">
        <v>3275</v>
      </c>
      <c r="D53" s="13" t="s">
        <v>3364</v>
      </c>
      <c r="E53" s="13" t="s">
        <v>3365</v>
      </c>
    </row>
    <row r="54" spans="1:5" ht="58" customHeight="1">
      <c r="A54" s="15">
        <v>7</v>
      </c>
      <c r="B54" s="17" t="s">
        <v>3366</v>
      </c>
      <c r="C54" s="17" t="s">
        <v>3275</v>
      </c>
      <c r="D54" s="13" t="s">
        <v>3367</v>
      </c>
      <c r="E54" s="13" t="s">
        <v>3368</v>
      </c>
    </row>
    <row r="55" spans="1:5" ht="58" customHeight="1">
      <c r="A55" s="15">
        <v>8</v>
      </c>
      <c r="B55" s="17" t="s">
        <v>3271</v>
      </c>
      <c r="C55" s="17" t="s">
        <v>3305</v>
      </c>
      <c r="D55" s="13" t="s">
        <v>3369</v>
      </c>
      <c r="E55" s="13" t="s">
        <v>3370</v>
      </c>
    </row>
  </sheetData>
  <sheetProtection sheet="1" objects="1" scenarios="1" formatColumns="0" formatRows="0"/>
  <mergeCells count="1">
    <mergeCell ref="B31:H31"/>
  </mergeCells>
  <conditionalFormatting sqref="C35:C44">
    <cfRule type="cellIs" dxfId="3" priority="3" operator="equal">
      <formula>"Élevée"</formula>
    </cfRule>
  </conditionalFormatting>
  <conditionalFormatting sqref="C48:C55">
    <cfRule type="cellIs" dxfId="3" priority="4" operator="equal">
      <formula>"Élevée"</formula>
    </cfRule>
  </conditionalFormatting>
  <conditionalFormatting sqref="C5:C20">
    <cfRule type="cellIs" dxfId="0" priority="1" operator="equal">
      <formula>"Critique"</formula>
    </cfRule>
    <cfRule type="cellIs" dxfId="3" priority="2" operator="equal">
      <formula>"Élevée"</formula>
    </cfRule>
  </conditionalFormatting>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F4"/>
  <sheetViews>
    <sheetView workbookViewId="0">
      <pane ySplit="4" topLeftCell="A5" activePane="bottomLeft" state="frozen"/>
      <selection pane="bottomLeft"/>
    </sheetView>
  </sheetViews>
  <sheetFormatPr defaultRowHeight="15"/>
  <cols>
    <col min="1" max="1" width="18.7109375" customWidth="1"/>
    <col min="2" max="2" width="20.7109375" customWidth="1"/>
    <col min="3" max="3" width="22.7109375" customWidth="1"/>
    <col min="4" max="4" width="14.7109375" customWidth="1"/>
    <col min="5" max="5" width="16.7109375" customWidth="1"/>
    <col min="6" max="6" width="80.7109375" customWidth="1"/>
  </cols>
  <sheetData>
    <row r="1" spans="1:6">
      <c r="A1" s="1" t="s">
        <v>3371</v>
      </c>
    </row>
    <row r="2" spans="1:6">
      <c r="A2" s="2" t="s">
        <v>3372</v>
      </c>
    </row>
    <row r="4" spans="1:6">
      <c r="A4" s="11" t="s">
        <v>3373</v>
      </c>
      <c r="B4" s="11" t="s">
        <v>3374</v>
      </c>
      <c r="C4" s="11" t="s">
        <v>3375</v>
      </c>
      <c r="D4" s="11" t="s">
        <v>3376</v>
      </c>
      <c r="E4" s="11" t="s">
        <v>835</v>
      </c>
      <c r="F4" s="11" t="s">
        <v>3377</v>
      </c>
    </row>
  </sheetData>
  <sheetProtection sheet="1" objects="1" scenarios="1" formatColumns="0" formatRows="0" sort="0" autoFilter="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107</vt:i4>
      </vt:variant>
    </vt:vector>
  </HeadingPairs>
  <TitlesOfParts>
    <vt:vector size="137" baseType="lpstr">
      <vt:lpstr>Accueil</vt:lpstr>
      <vt:lpstr>Synthèse</vt:lpstr>
      <vt:lpstr>Fiche comité</vt:lpstr>
      <vt:lpstr>Comparaison</vt:lpstr>
      <vt:lpstr>C1</vt:lpstr>
      <vt:lpstr>C2</vt:lpstr>
      <vt:lpstr>C3</vt:lpstr>
      <vt:lpstr>C4A</vt:lpstr>
      <vt:lpstr>C4B</vt:lpstr>
      <vt:lpstr>C5</vt:lpstr>
      <vt:lpstr>ENR</vt:lpstr>
      <vt:lpstr>EAU</vt:lpstr>
      <vt:lpstr>TEL</vt:lpstr>
      <vt:lpstr>TRA</vt:lpstr>
      <vt:lpstr>POR</vt:lpstr>
      <vt:lpstr>SAN</vt:lpstr>
      <vt:lpstr>ETH</vt:lpstr>
      <vt:lpstr>IMMO</vt:lpstr>
      <vt:lpstr>IND</vt:lpstr>
      <vt:lpstr>AGR</vt:lpstr>
      <vt:lpstr>TOU</vt:lpstr>
      <vt:lpstr>MIN</vt:lpstr>
      <vt:lpstr>Modèle</vt:lpstr>
      <vt:lpstr>Référentiel des niveaux</vt:lpstr>
      <vt:lpstr>Paramètres</vt:lpstr>
      <vt:lpstr>Concordance</vt:lpstr>
      <vt:lpstr>Champs IA</vt:lpstr>
      <vt:lpstr>Revue IA</vt:lpstr>
      <vt:lpstr>Diagnostic</vt:lpstr>
      <vt:lpstr>Journal</vt:lpstr>
      <vt:lpstr>IA_Champs</vt:lpstr>
      <vt:lpstr>L_Avis</vt:lpstr>
      <vt:lpstr>L_Decision</vt:lpstr>
      <vt:lpstr>L_Devise</vt:lpstr>
      <vt:lpstr>L_Nature</vt:lpstr>
      <vt:lpstr>L_NatureCredit</vt:lpstr>
      <vt:lpstr>L_Notes</vt:lpstr>
      <vt:lpstr>L_OuiNon</vt:lpstr>
      <vt:lpstr>L_Periodicite</vt:lpstr>
      <vt:lpstr>L_QualAch</vt:lpstr>
      <vt:lpstr>P_Ancre_C</vt:lpstr>
      <vt:lpstr>P_Ancre_F</vt:lpstr>
      <vt:lpstr>P_Ancre_TF</vt:lpstr>
      <vt:lpstr>P_Ancre_V</vt:lpstr>
      <vt:lpstr>P_C10</vt:lpstr>
      <vt:lpstr>P_C13</vt:lpstr>
      <vt:lpstr>P_C1</vt:lpstr>
      <vt:lpstr>P_C3</vt:lpstr>
      <vt:lpstr>P_C4</vt:lpstr>
      <vt:lpstr>P_C6</vt:lpstr>
      <vt:lpstr>P_C7</vt:lpstr>
      <vt:lpstr>P_C8</vt:lpstr>
      <vt:lpstr>P_C9</vt:lpstr>
      <vt:lpstr>P_ConvLib</vt:lpstr>
      <vt:lpstr>P_ConvNote</vt:lpstr>
      <vt:lpstr>P_ConvOrient</vt:lpstr>
      <vt:lpstr>P_ConvSeuil</vt:lpstr>
      <vt:lpstr>P_COUV</vt:lpstr>
      <vt:lpstr>P_Crit</vt:lpstr>
      <vt:lpstr>P_DomCodes</vt:lpstr>
      <vt:lpstr>P_DomLib</vt:lpstr>
      <vt:lpstr>P_Fav</vt:lpstr>
      <vt:lpstr>P_InfoInsuff</vt:lpstr>
      <vt:lpstr>P_L_CAPEX</vt:lpstr>
      <vt:lpstr>P_L_EXPO</vt:lpstr>
      <vt:lpstr>P_L_NBCP</vt:lpstr>
      <vt:lpstr>P_N3_F</vt:lpstr>
      <vt:lpstr>P_N3_TF</vt:lpstr>
      <vt:lpstr>P_N3_V</vt:lpstr>
      <vt:lpstr>P_PhaseCodes</vt:lpstr>
      <vt:lpstr>P_PhaseLib</vt:lpstr>
      <vt:lpstr>P_PhaseMaj</vt:lpstr>
      <vt:lpstr>P_PlafCode</vt:lpstr>
      <vt:lpstr>P_PlafFait</vt:lpstr>
      <vt:lpstr>P_PlafNiv</vt:lpstr>
      <vt:lpstr>P_PoidsDom</vt:lpstr>
      <vt:lpstr>P_PoidsHdr</vt:lpstr>
      <vt:lpstr>P_PoidsN</vt:lpstr>
      <vt:lpstr>P_Regimes</vt:lpstr>
      <vt:lpstr>P_RegLib</vt:lpstr>
      <vt:lpstr>P_S_CAPEX</vt:lpstr>
      <vt:lpstr>P_S_DUREE</vt:lpstr>
      <vt:lpstr>P_S_EXPO</vt:lpstr>
      <vt:lpstr>P_SCCle</vt:lpstr>
      <vt:lpstr>P_SCPoids</vt:lpstr>
      <vt:lpstr>P_SecCodes</vt:lpstr>
      <vt:lpstr>P_SecDelta</vt:lpstr>
      <vt:lpstr>P_SecLib</vt:lpstr>
      <vt:lpstr>P_Vig</vt:lpstr>
      <vt:lpstr>AGR!Print_Area</vt:lpstr>
      <vt:lpstr>'C1'!Print_Area</vt:lpstr>
      <vt:lpstr>'C2'!Print_Area</vt:lpstr>
      <vt:lpstr>'C3'!Print_Area</vt:lpstr>
      <vt:lpstr>'C4A'!Print_Area</vt:lpstr>
      <vt:lpstr>'C4B'!Print_Area</vt:lpstr>
      <vt:lpstr>'C5'!Print_Area</vt:lpstr>
      <vt:lpstr>Comparaison!Print_Area</vt:lpstr>
      <vt:lpstr>EAU!Print_Area</vt:lpstr>
      <vt:lpstr>ENR!Print_Area</vt:lpstr>
      <vt:lpstr>ETH!Print_Area</vt:lpstr>
      <vt:lpstr>'Fiche comité'!Print_Area</vt:lpstr>
      <vt:lpstr>IMMO!Print_Area</vt:lpstr>
      <vt:lpstr>IND!Print_Area</vt:lpstr>
      <vt:lpstr>MIN!Print_Area</vt:lpstr>
      <vt:lpstr>Modèle!Print_Area</vt:lpstr>
      <vt:lpstr>POR!Print_Area</vt:lpstr>
      <vt:lpstr>SAN!Print_Area</vt:lpstr>
      <vt:lpstr>Synthèse!Print_Area</vt:lpstr>
      <vt:lpstr>TEL!Print_Area</vt:lpstr>
      <vt:lpstr>TOU!Print_Area</vt:lpstr>
      <vt:lpstr>TRA!Print_Area</vt:lpstr>
      <vt:lpstr>AGR!Print_Titles</vt:lpstr>
      <vt:lpstr>'C1'!Print_Titles</vt:lpstr>
      <vt:lpstr>'C2'!Print_Titles</vt:lpstr>
      <vt:lpstr>'C3'!Print_Titles</vt:lpstr>
      <vt:lpstr>'C4A'!Print_Titles</vt:lpstr>
      <vt:lpstr>'C4B'!Print_Titles</vt:lpstr>
      <vt:lpstr>'C5'!Print_Titles</vt:lpstr>
      <vt:lpstr>EAU!Print_Titles</vt:lpstr>
      <vt:lpstr>ENR!Print_Titles</vt:lpstr>
      <vt:lpstr>ETH!Print_Titles</vt:lpstr>
      <vt:lpstr>IMMO!Print_Titles</vt:lpstr>
      <vt:lpstr>IND!Print_Titles</vt:lpstr>
      <vt:lpstr>MIN!Print_Titles</vt:lpstr>
      <vt:lpstr>Modèle!Print_Titles</vt:lpstr>
      <vt:lpstr>POR!Print_Titles</vt:lpstr>
      <vt:lpstr>'Référentiel des niveaux'!Print_Titles</vt:lpstr>
      <vt:lpstr>SAN!Print_Titles</vt:lpstr>
      <vt:lpstr>TEL!Print_Titles</vt:lpstr>
      <vt:lpstr>TOU!Print_Titles</vt:lpstr>
      <vt:lpstr>TRA!Print_Titles</vt:lpstr>
      <vt:lpstr>R_Cles</vt:lpstr>
      <vt:lpstr>R_Opt1</vt:lpstr>
      <vt:lpstr>R_Opts</vt:lpstr>
      <vt:lpstr>R_SecChamps</vt:lpstr>
      <vt:lpstr>R_SecCodes</vt:lpstr>
      <vt:lpstr>R_SecUnites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Outil de scoring Project Finance V8 — version 3</dc:title>
  <dc:subject>Scoring PF — Maroc</dc:subject>
  <dc:creator/>
  <dc:description>Dossiers d'étude fictifs. Paramètres candidats non approuvés.</dc:description>
  <cp:lastModifiedBy/>
  <dcterms:created xsi:type="dcterms:W3CDTF">2026-10-18T13:43:46Z</dcterms:created>
  <dcterms:modified xsi:type="dcterms:W3CDTF">2026-10-18T13:43:46Z</dcterms:modified>
</cp:coreProperties>
</file>