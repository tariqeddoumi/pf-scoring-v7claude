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cueil" sheetId="1" r:id="rId1"/>
    <sheet name="Synthèse" sheetId="2" r:id="rId2"/>
    <sheet name="Fiche comité" sheetId="3" r:id="rId3"/>
    <sheet name="C1" sheetId="4" r:id="rId4"/>
    <sheet name="C2" sheetId="5" r:id="rId5"/>
    <sheet name="C3" sheetId="6" r:id="rId6"/>
    <sheet name="C4A" sheetId="7" r:id="rId7"/>
    <sheet name="C4B" sheetId="8" r:id="rId8"/>
    <sheet name="C5" sheetId="9" r:id="rId9"/>
    <sheet name="Modèle" sheetId="10" state="hidden" r:id="rId10"/>
    <sheet name="Paramètres" sheetId="11" r:id="rId11"/>
    <sheet name="Diagnostic" sheetId="12" r:id="rId12"/>
    <sheet name="Journal" sheetId="13" r:id="rId13"/>
  </sheets>
  <definedNames>
    <definedName name="L_Nature">'Paramètres'!$D$70:$D$77</definedName>
    <definedName name="L_Notes">'Paramètres'!$B$70:$B$74</definedName>
    <definedName name="L_OuiNon">'Paramètres'!$A$70:$A$71</definedName>
    <definedName name="L_Periodicite">'Paramètres'!$C$70:$C$72</definedName>
    <definedName name="L_QualAch">'Paramètres'!$E$70:$E$72</definedName>
    <definedName name="P_Ancre_C">'Paramètres'!$C$63</definedName>
    <definedName name="P_Ancre_F">'Paramètres'!$C$61</definedName>
    <definedName name="P_Ancre_TF">'Paramètres'!$C$60</definedName>
    <definedName name="P_Ancre_V">'Paramètres'!$C$62</definedName>
    <definedName name="P_C10">'Paramètres'!$J$55</definedName>
    <definedName name="P_C13">'Paramètres'!$J$56</definedName>
    <definedName name="P_C1">'Paramètres'!$J$48</definedName>
    <definedName name="P_C3">'Paramètres'!$J$49</definedName>
    <definedName name="P_C4">'Paramètres'!$J$50</definedName>
    <definedName name="P_C6">'Paramètres'!$J$51</definedName>
    <definedName name="P_C7">'Paramètres'!$J$52</definedName>
    <definedName name="P_C8">'Paramètres'!$J$53</definedName>
    <definedName name="P_C9">'Paramètres'!$J$54</definedName>
    <definedName name="P_ConvLib">'Paramètres'!$J$6:$J$15</definedName>
    <definedName name="P_ConvNote">'Paramètres'!$I$6:$I$15</definedName>
    <definedName name="P_ConvOrient">'Paramètres'!$K$6:$K$15</definedName>
    <definedName name="P_ConvSeuil">'Paramètres'!$H$6:$H$15</definedName>
    <definedName name="P_COUV">'Paramètres'!$J$57</definedName>
    <definedName name="P_Crit">'Paramètres'!$C$6:$C$9</definedName>
    <definedName name="P_DomCodes">'Paramètres'!$A$37:$A$45</definedName>
    <definedName name="P_DomLib">'Paramètres'!$B$37:$B$45</definedName>
    <definedName name="P_Fav">'Paramètres'!$E$6:$E$9</definedName>
    <definedName name="P_InfoInsuff">'Paramètres'!$C$64</definedName>
    <definedName name="P_L_CAPEX">'Paramètres'!$J$42</definedName>
    <definedName name="P_L_EXPO">'Paramètres'!$J$43</definedName>
    <definedName name="P_L_NBCP">'Paramètres'!$J$44</definedName>
    <definedName name="P_N3_F">'Paramètres'!$J$46</definedName>
    <definedName name="P_N3_TF">'Paramètres'!$J$45</definedName>
    <definedName name="P_N3_V">'Paramètres'!$J$47</definedName>
    <definedName name="P_PhaseCodes">'Paramètres'!$A$30:$A$32</definedName>
    <definedName name="P_PhaseLib">'Paramètres'!$B$30:$B$32</definedName>
    <definedName name="P_PhaseMaj">'Paramètres'!$C$30:$C$32</definedName>
    <definedName name="P_PlafCode">'Paramètres'!$H$20:$H$34</definedName>
    <definedName name="P_PlafFait">'Paramètres'!$I$20:$I$34</definedName>
    <definedName name="P_PlafNiv">'Paramètres'!$J$20:$J$34</definedName>
    <definedName name="P_PoidsDom">'Paramètres'!$C$37:$E$45</definedName>
    <definedName name="P_PoidsHdr">'Paramètres'!$C$36:$E$36</definedName>
    <definedName name="P_PoidsN">'Paramètres'!$C$50:$C$55</definedName>
    <definedName name="P_Regimes">'Paramètres'!$A$6:$A$9</definedName>
    <definedName name="P_RegLib">'Paramètres'!$B$6:$B$9</definedName>
    <definedName name="P_S_CAPEX">'Paramètres'!$J$39</definedName>
    <definedName name="P_S_DUREE">'Paramètres'!$J$41</definedName>
    <definedName name="P_S_EXPO">'Paramètres'!$J$40</definedName>
    <definedName name="P_SCCle">'Paramètres'!$H$62:$H$86</definedName>
    <definedName name="P_SCPoids">'Paramètres'!$J$62:$J$86</definedName>
    <definedName name="P_SecCodes">'Paramètres'!$A$14:$A$25</definedName>
    <definedName name="P_SecDelta">'Paramètres'!$C$14:$C$25</definedName>
    <definedName name="P_SecLib">'Paramètres'!$B$14:$B$25</definedName>
    <definedName name="P_Vig">'Paramètres'!$D$6:$D$9</definedName>
    <definedName name="_xlnm.Print_Area" localSheetId="3">'C1'!$A$1:$H$260</definedName>
    <definedName name="_xlnm.Print_Area" localSheetId="4">'C2'!$A$1:$H$260</definedName>
    <definedName name="_xlnm.Print_Area" localSheetId="5">'C3'!$A$1:$H$260</definedName>
    <definedName name="_xlnm.Print_Area" localSheetId="6">'C4A'!$A$1:$H$260</definedName>
    <definedName name="_xlnm.Print_Area" localSheetId="7">'C4B'!$A$1:$H$260</definedName>
    <definedName name="_xlnm.Print_Area" localSheetId="8">'C5'!$A$1:$H$260</definedName>
    <definedName name="_xlnm.Print_Area" localSheetId="2">'Fiche comité'!$A$1:$F$59</definedName>
    <definedName name="_xlnm.Print_Area" localSheetId="9">Modèle!$A$1:$H$260</definedName>
    <definedName name="_xlnm.Print_Area" localSheetId="1">Synthèse!$A$1:$H$24</definedName>
    <definedName name="_xlnm.Print_Titles" localSheetId="3">'C1'!$1:$11</definedName>
    <definedName name="_xlnm.Print_Titles" localSheetId="4">'C2'!$1:$11</definedName>
    <definedName name="_xlnm.Print_Titles" localSheetId="5">'C3'!$1:$11</definedName>
    <definedName name="_xlnm.Print_Titles" localSheetId="6">'C4A'!$1:$11</definedName>
    <definedName name="_xlnm.Print_Titles" localSheetId="7">'C4B'!$1:$11</definedName>
    <definedName name="_xlnm.Print_Titles" localSheetId="8">'C5'!$1:$11</definedName>
    <definedName name="_xlnm.Print_Titles" localSheetId="9">Modèle!$1:$11</definedName>
  </definedNames>
  <calcPr calcId="124519" fullCalcOnLoad="1"/>
</workbook>
</file>

<file path=xl/comments1.xml><?xml version="1.0" encoding="utf-8"?>
<comments xmlns="http://schemas.openxmlformats.org/spreadsheetml/2006/main">
  <authors>
    <author/>
  </authors>
  <commentList>
    <comment ref="C28" authorId="0">
      <text>
        <r>
          <rPr>
            <sz val="8"/>
            <color indexed="81"/>
            <rFont val="Tahoma"/>
            <family val="2"/>
          </rPr>
          <t>Repère du DSCR : seuil critique applicable (régime + secteur + phase).</t>
        </r>
      </text>
    </comment>
  </commentList>
</comments>
</file>

<file path=xl/comments2.xml><?xml version="1.0" encoding="utf-8"?>
<comments xmlns="http://schemas.openxmlformats.org/spreadsheetml/2006/main">
  <authors>
    <author/>
  </authors>
  <commentList>
    <comment ref="B23" authorId="0">
      <text>
        <r>
          <rPr>
            <sz val="8"/>
            <color indexed="81"/>
            <rFont val="Tahoma"/>
            <family val="2"/>
          </rPr>
          <t>Valeur reconstituée à partir du récit du cas (champ absent du classeur d'origine) — à confirmer.</t>
        </r>
      </text>
    </comment>
    <comment ref="B26" authorId="0">
      <text>
        <r>
          <rPr>
            <sz val="8"/>
            <color indexed="81"/>
            <rFont val="Tahoma"/>
            <family val="2"/>
          </rPr>
          <t>Valeur reconstituée à partir du récit du cas (champ absent du classeur d'origine) — à confirmer.</t>
        </r>
      </text>
    </comment>
    <comment ref="B27"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70" authorId="0">
      <text>
        <r>
          <rPr>
            <sz val="8"/>
            <color indexed="81"/>
            <rFont val="Tahoma"/>
            <family val="2"/>
          </rPr>
          <t>Choc calibré pour reproduire le DSCR stressé du modèle de flux de l'analyste (1,117), saisi en dur dans le classeur d'origine.</t>
        </r>
      </text>
    </comment>
    <comment ref="B162" authorId="0">
      <text>
        <r>
          <rPr>
            <sz val="8"/>
            <color indexed="81"/>
            <rFont val="Tahoma"/>
            <family val="2"/>
          </rPr>
          <t>Valeur reconstituée à partir du récit du cas (champ absent du classeur d'origine) — à confirmer.</t>
        </r>
      </text>
    </comment>
    <comment ref="B163" authorId="0">
      <text>
        <r>
          <rPr>
            <sz val="8"/>
            <color indexed="81"/>
            <rFont val="Tahoma"/>
            <family val="2"/>
          </rPr>
          <t>Valeur reconstituée à partir du récit du cas (champ absent du classeur d'origine) — à confirmer.</t>
        </r>
      </text>
    </comment>
    <comment ref="B165" authorId="0">
      <text>
        <r>
          <rPr>
            <sz val="8"/>
            <color indexed="81"/>
            <rFont val="Tahoma"/>
            <family val="2"/>
          </rPr>
          <t>Valeur reconstituée à partir du récit du cas (champ absent du classeur d'origine) — à confirmer.</t>
        </r>
      </text>
    </comment>
    <comment ref="B231" authorId="0">
      <text>
        <r>
          <rPr>
            <sz val="8"/>
            <color indexed="81"/>
            <rFont val="Tahoma"/>
            <family val="2"/>
          </rPr>
          <t>Pour B6, la saisie répond à la question « modèle de flux complet et rapproché ? » : « Non » déclenche le blocage.</t>
        </r>
      </text>
    </comment>
    <comment ref="E231" authorId="0">
      <text>
        <r>
          <rPr>
            <sz val="8"/>
            <color indexed="81"/>
            <rFont val="Tahoma"/>
            <family val="2"/>
          </rPr>
          <t>Les cas d'étude ne présentent qu'un échéancier représentatif (4 à 6 périodes). En production, l'échéancier complet est exigé ; à défaut, saisir « Non » : le blocage B6 s'applique.</t>
        </r>
      </text>
    </comment>
  </commentList>
</comments>
</file>

<file path=xl/comments3.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7"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70" authorId="0">
      <text>
        <r>
          <rPr>
            <sz val="8"/>
            <color indexed="81"/>
            <rFont val="Tahoma"/>
            <family val="2"/>
          </rPr>
          <t>Choc calibré pour reproduire le DSCR stressé du modèle de flux de l'analyste (1,094), saisi en dur dans le classeur d'origine.</t>
        </r>
      </text>
    </comment>
    <comment ref="B157" authorId="0">
      <text>
        <r>
          <rPr>
            <sz val="8"/>
            <color indexed="81"/>
            <rFont val="Tahoma"/>
            <family val="2"/>
          </rPr>
          <t>Valeur reconstituée à partir du récit du cas (champ absent du classeur d'origine) — à confirmer.</t>
        </r>
      </text>
    </comment>
    <comment ref="B162" authorId="0">
      <text>
        <r>
          <rPr>
            <sz val="8"/>
            <color indexed="81"/>
            <rFont val="Tahoma"/>
            <family val="2"/>
          </rPr>
          <t>Valeur reconstituée à partir du récit du cas (champ absent du classeur d'origine) — à confirmer.</t>
        </r>
      </text>
    </comment>
    <comment ref="B163" authorId="0">
      <text>
        <r>
          <rPr>
            <sz val="8"/>
            <color indexed="81"/>
            <rFont val="Tahoma"/>
            <family val="2"/>
          </rPr>
          <t>Valeur reconstituée à partir du récit du cas (champ absent du classeur d'origine) — à confirmer.</t>
        </r>
      </text>
    </comment>
    <comment ref="B165" authorId="0">
      <text>
        <r>
          <rPr>
            <sz val="8"/>
            <color indexed="81"/>
            <rFont val="Tahoma"/>
            <family val="2"/>
          </rPr>
          <t>Valeur reconstituée à partir du récit du cas (champ absent du classeur d'origine) — à confirmer.</t>
        </r>
      </text>
    </comment>
    <comment ref="B231" authorId="0">
      <text>
        <r>
          <rPr>
            <sz val="8"/>
            <color indexed="81"/>
            <rFont val="Tahoma"/>
            <family val="2"/>
          </rPr>
          <t>Pour B6, la saisie répond à la question « modèle de flux complet et rapproché ? » : « Non » déclenche le blocage.</t>
        </r>
      </text>
    </comment>
    <comment ref="E231" authorId="0">
      <text>
        <r>
          <rPr>
            <sz val="8"/>
            <color indexed="81"/>
            <rFont val="Tahoma"/>
            <family val="2"/>
          </rPr>
          <t>Les cas d'étude ne présentent qu'un échéancier représentatif (4 à 6 périodes). En production, l'échéancier complet est exigé ; à défaut, saisir « Non » : le blocage B6 s'applique.</t>
        </r>
      </text>
    </comment>
  </commentList>
</comments>
</file>

<file path=xl/comments4.xml><?xml version="1.0" encoding="utf-8"?>
<comments xmlns="http://schemas.openxmlformats.org/spreadsheetml/2006/main">
  <authors>
    <author/>
  </authors>
  <commentList>
    <comment ref="B23" authorId="0">
      <text>
        <r>
          <rPr>
            <sz val="8"/>
            <color indexed="81"/>
            <rFont val="Tahoma"/>
            <family val="2"/>
          </rPr>
          <t>Valeur reconstituée à partir du récit du cas (champ absent du classeur d'origine) — à confirmer.</t>
        </r>
      </text>
    </comment>
    <comment ref="B26" authorId="0">
      <text>
        <r>
          <rPr>
            <sz val="8"/>
            <color indexed="81"/>
            <rFont val="Tahoma"/>
            <family val="2"/>
          </rPr>
          <t>Valeur reconstituée à partir du récit du cas (champ absent du classeur d'origine) — à confirmer.</t>
        </r>
      </text>
    </comment>
    <comment ref="B27" authorId="0">
      <text>
        <r>
          <rPr>
            <sz val="8"/>
            <color indexed="81"/>
            <rFont val="Tahoma"/>
            <family val="2"/>
          </rPr>
          <t>Valeur reconstituée à partir du récit du cas (champ absent du classeur d'origine) — à confirmer.</t>
        </r>
      </text>
    </comment>
    <comment ref="B28"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70" authorId="0">
      <text>
        <r>
          <rPr>
            <sz val="8"/>
            <color indexed="81"/>
            <rFont val="Tahoma"/>
            <family val="2"/>
          </rPr>
          <t>Choc calibré pour reproduire le DSCR stressé du modèle de flux de l'analyste (0,752), saisi en dur dans le classeur d'origine.</t>
        </r>
      </text>
    </comment>
    <comment ref="B156" authorId="0">
      <text>
        <r>
          <rPr>
            <sz val="8"/>
            <color indexed="81"/>
            <rFont val="Tahoma"/>
            <family val="2"/>
          </rPr>
          <t>Valeur reconstituée à partir du récit du cas (champ absent du classeur d'origine) — à confirmer.</t>
        </r>
      </text>
    </comment>
    <comment ref="B157" authorId="0">
      <text>
        <r>
          <rPr>
            <sz val="8"/>
            <color indexed="81"/>
            <rFont val="Tahoma"/>
            <family val="2"/>
          </rPr>
          <t>Valeur reconstituée à partir du récit du cas (champ absent du classeur d'origine) — à confirmer.</t>
        </r>
      </text>
    </comment>
    <comment ref="B162" authorId="0">
      <text>
        <r>
          <rPr>
            <sz val="8"/>
            <color indexed="81"/>
            <rFont val="Tahoma"/>
            <family val="2"/>
          </rPr>
          <t>Valeur reconstituée à partir du récit du cas (champ absent du classeur d'origine) — à confirmer.</t>
        </r>
      </text>
    </comment>
    <comment ref="B163" authorId="0">
      <text>
        <r>
          <rPr>
            <sz val="8"/>
            <color indexed="81"/>
            <rFont val="Tahoma"/>
            <family val="2"/>
          </rPr>
          <t>Valeur reconstituée à partir du récit du cas (champ absent du classeur d'origine) — à confirmer.</t>
        </r>
      </text>
    </comment>
    <comment ref="B165" authorId="0">
      <text>
        <r>
          <rPr>
            <sz val="8"/>
            <color indexed="81"/>
            <rFont val="Tahoma"/>
            <family val="2"/>
          </rPr>
          <t>Valeur reconstituée à partir du récit du cas (champ absent du classeur d'origine) — à confirmer.</t>
        </r>
      </text>
    </comment>
    <comment ref="B231" authorId="0">
      <text>
        <r>
          <rPr>
            <sz val="8"/>
            <color indexed="81"/>
            <rFont val="Tahoma"/>
            <family val="2"/>
          </rPr>
          <t>Pour B6, la saisie répond à la question « modèle de flux complet et rapproché ? » : « Non » déclenche le blocage.</t>
        </r>
      </text>
    </comment>
    <comment ref="E231" authorId="0">
      <text>
        <r>
          <rPr>
            <sz val="8"/>
            <color indexed="81"/>
            <rFont val="Tahoma"/>
            <family val="2"/>
          </rPr>
          <t>Les cas d'étude ne présentent qu'un échéancier représentatif (4 à 6 périodes). En production, l'échéancier complet est exigé ; à défaut, saisir « Non » : le blocage B6 s'applique.</t>
        </r>
      </text>
    </comment>
  </commentList>
</comments>
</file>

<file path=xl/comments5.xml><?xml version="1.0" encoding="utf-8"?>
<comments xmlns="http://schemas.openxmlformats.org/spreadsheetml/2006/main">
  <authors>
    <author/>
  </authors>
  <commentList>
    <comment ref="B23" authorId="0">
      <text>
        <r>
          <rPr>
            <sz val="8"/>
            <color indexed="81"/>
            <rFont val="Tahoma"/>
            <family val="2"/>
          </rPr>
          <t>Valeur reconstituée à partir du récit du cas (champ absent du classeur d'origine) — à confirmer.</t>
        </r>
      </text>
    </comment>
    <comment ref="B26" authorId="0">
      <text>
        <r>
          <rPr>
            <sz val="8"/>
            <color indexed="81"/>
            <rFont val="Tahoma"/>
            <family val="2"/>
          </rPr>
          <t>Valeur reconstituée à partir du récit du cas (champ absent du classeur d'origine) — à confirmer.</t>
        </r>
      </text>
    </comment>
    <comment ref="B27" authorId="0">
      <text>
        <r>
          <rPr>
            <sz val="8"/>
            <color indexed="81"/>
            <rFont val="Tahoma"/>
            <family val="2"/>
          </rPr>
          <t>Valeur reconstituée à partir du récit du cas (champ absent du classeur d'origine) — à confirmer.</t>
        </r>
      </text>
    </comment>
    <comment ref="B28"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70" authorId="0">
      <text>
        <r>
          <rPr>
            <sz val="8"/>
            <color indexed="81"/>
            <rFont val="Tahoma"/>
            <family val="2"/>
          </rPr>
          <t>Choc calibré pour reproduire le DSCR stressé du modèle de flux de l'analyste (0,395), saisi en dur dans le classeur d'origine.</t>
        </r>
      </text>
    </comment>
    <comment ref="B156" authorId="0">
      <text>
        <r>
          <rPr>
            <sz val="8"/>
            <color indexed="81"/>
            <rFont val="Tahoma"/>
            <family val="2"/>
          </rPr>
          <t>Valeur reconstituée à partir du récit du cas (champ absent du classeur d'origine) — à confirmer.</t>
        </r>
      </text>
    </comment>
    <comment ref="B157" authorId="0">
      <text>
        <r>
          <rPr>
            <sz val="8"/>
            <color indexed="81"/>
            <rFont val="Tahoma"/>
            <family val="2"/>
          </rPr>
          <t>Valeur reconstituée à partir du récit du cas (champ absent du classeur d'origine) — à confirmer.</t>
        </r>
      </text>
    </comment>
    <comment ref="B162" authorId="0">
      <text>
        <r>
          <rPr>
            <sz val="8"/>
            <color indexed="81"/>
            <rFont val="Tahoma"/>
            <family val="2"/>
          </rPr>
          <t>Valeur reconstituée à partir du récit du cas (champ absent du classeur d'origine) — à confirmer.</t>
        </r>
      </text>
    </comment>
    <comment ref="B163" authorId="0">
      <text>
        <r>
          <rPr>
            <sz val="8"/>
            <color indexed="81"/>
            <rFont val="Tahoma"/>
            <family val="2"/>
          </rPr>
          <t>Valeur reconstituée à partir du récit du cas (champ absent du classeur d'origine) — à confirmer.</t>
        </r>
      </text>
    </comment>
    <comment ref="B165" authorId="0">
      <text>
        <r>
          <rPr>
            <sz val="8"/>
            <color indexed="81"/>
            <rFont val="Tahoma"/>
            <family val="2"/>
          </rPr>
          <t>Valeur reconstituée à partir du récit du cas (champ absent du classeur d'origine) — à confirmer.</t>
        </r>
      </text>
    </comment>
    <comment ref="B231" authorId="0">
      <text>
        <r>
          <rPr>
            <sz val="8"/>
            <color indexed="81"/>
            <rFont val="Tahoma"/>
            <family val="2"/>
          </rPr>
          <t>Pour B6, la saisie répond à la question « modèle de flux complet et rapproché ? » : « Non » déclenche le blocage.</t>
        </r>
      </text>
    </comment>
    <comment ref="E231" authorId="0">
      <text>
        <r>
          <rPr>
            <sz val="8"/>
            <color indexed="81"/>
            <rFont val="Tahoma"/>
            <family val="2"/>
          </rPr>
          <t>Les cas d'étude ne présentent qu'un échéancier représentatif (4 à 6 périodes). En production, l'échéancier complet est exigé ; à défaut, saisir « Non » : le blocage B6 s'applique.</t>
        </r>
      </text>
    </comment>
  </commentList>
</comments>
</file>

<file path=xl/comments6.xml><?xml version="1.0" encoding="utf-8"?>
<comments xmlns="http://schemas.openxmlformats.org/spreadsheetml/2006/main">
  <authors>
    <author/>
  </authors>
  <commentList>
    <comment ref="B23" authorId="0">
      <text>
        <r>
          <rPr>
            <sz val="8"/>
            <color indexed="81"/>
            <rFont val="Tahoma"/>
            <family val="2"/>
          </rPr>
          <t>Valeur reconstituée à partir du récit du cas (champ absent du classeur d'origine) — à confirmer.</t>
        </r>
      </text>
    </comment>
    <comment ref="B26" authorId="0">
      <text>
        <r>
          <rPr>
            <sz val="8"/>
            <color indexed="81"/>
            <rFont val="Tahoma"/>
            <family val="2"/>
          </rPr>
          <t>Valeur reconstituée à partir du récit du cas (champ absent du classeur d'origine) — à confirmer.</t>
        </r>
      </text>
    </comment>
    <comment ref="B27" authorId="0">
      <text>
        <r>
          <rPr>
            <sz val="8"/>
            <color indexed="81"/>
            <rFont val="Tahoma"/>
            <family val="2"/>
          </rPr>
          <t>Valeur reconstituée à partir du récit du cas (champ absent du classeur d'origine) — à confirmer.</t>
        </r>
      </text>
    </comment>
    <comment ref="B28"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70" authorId="0">
      <text>
        <r>
          <rPr>
            <sz val="8"/>
            <color indexed="81"/>
            <rFont val="Tahoma"/>
            <family val="2"/>
          </rPr>
          <t>Choc calibré pour reproduire le DSCR stressé du modèle de flux de l'analyste (1,132), saisi en dur dans le classeur d'origine.</t>
        </r>
      </text>
    </comment>
    <comment ref="B156" authorId="0">
      <text>
        <r>
          <rPr>
            <sz val="8"/>
            <color indexed="81"/>
            <rFont val="Tahoma"/>
            <family val="2"/>
          </rPr>
          <t>Valeur reconstituée à partir du récit du cas (champ absent du classeur d'origine) — à confirmer.</t>
        </r>
      </text>
    </comment>
    <comment ref="B157" authorId="0">
      <text>
        <r>
          <rPr>
            <sz val="8"/>
            <color indexed="81"/>
            <rFont val="Tahoma"/>
            <family val="2"/>
          </rPr>
          <t>Valeur reconstituée à partir du récit du cas (champ absent du classeur d'origine) — à confirmer.</t>
        </r>
      </text>
    </comment>
    <comment ref="B162" authorId="0">
      <text>
        <r>
          <rPr>
            <sz val="8"/>
            <color indexed="81"/>
            <rFont val="Tahoma"/>
            <family val="2"/>
          </rPr>
          <t>Valeur reconstituée à partir du récit du cas (champ absent du classeur d'origine) — à confirmer.</t>
        </r>
      </text>
    </comment>
    <comment ref="B163" authorId="0">
      <text>
        <r>
          <rPr>
            <sz val="8"/>
            <color indexed="81"/>
            <rFont val="Tahoma"/>
            <family val="2"/>
          </rPr>
          <t>Valeur reconstituée à partir du récit du cas (champ absent du classeur d'origine) — à confirmer.</t>
        </r>
      </text>
    </comment>
    <comment ref="B165" authorId="0">
      <text>
        <r>
          <rPr>
            <sz val="8"/>
            <color indexed="81"/>
            <rFont val="Tahoma"/>
            <family val="2"/>
          </rPr>
          <t>Valeur reconstituée à partir du récit du cas (champ absent du classeur d'origine) — à confirmer.</t>
        </r>
      </text>
    </comment>
    <comment ref="B231" authorId="0">
      <text>
        <r>
          <rPr>
            <sz val="8"/>
            <color indexed="81"/>
            <rFont val="Tahoma"/>
            <family val="2"/>
          </rPr>
          <t>Pour B6, la saisie répond à la question « modèle de flux complet et rapproché ? » : « Non » déclenche le blocage.</t>
        </r>
      </text>
    </comment>
    <comment ref="E231" authorId="0">
      <text>
        <r>
          <rPr>
            <sz val="8"/>
            <color indexed="81"/>
            <rFont val="Tahoma"/>
            <family val="2"/>
          </rPr>
          <t>Les cas d'étude ne présentent qu'un échéancier représentatif (4 à 6 périodes). En production, l'échéancier complet est exigé ; à défaut, saisir « Non » : le blocage B6 s'applique.</t>
        </r>
      </text>
    </comment>
  </commentList>
</comments>
</file>

<file path=xl/comments7.xml><?xml version="1.0" encoding="utf-8"?>
<comments xmlns="http://schemas.openxmlformats.org/spreadsheetml/2006/main">
  <authors>
    <author/>
  </authors>
  <commentList>
    <comment ref="B23" authorId="0">
      <text>
        <r>
          <rPr>
            <sz val="8"/>
            <color indexed="81"/>
            <rFont val="Tahoma"/>
            <family val="2"/>
          </rPr>
          <t>Valeur reconstituée à partir du récit du cas (champ absent du classeur d'origine) — à confirmer.</t>
        </r>
      </text>
    </comment>
    <comment ref="B27"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70" authorId="0">
      <text>
        <r>
          <rPr>
            <sz val="8"/>
            <color indexed="81"/>
            <rFont val="Tahoma"/>
            <family val="2"/>
          </rPr>
          <t>Choc calibré pour reproduire le DSCR stressé du modèle de flux de l'analyste (1,564), saisi en dur dans le classeur d'origine.</t>
        </r>
      </text>
    </comment>
    <comment ref="B162" authorId="0">
      <text>
        <r>
          <rPr>
            <sz val="8"/>
            <color indexed="81"/>
            <rFont val="Tahoma"/>
            <family val="2"/>
          </rPr>
          <t>Valeur reconstituée à partir du récit du cas (champ absent du classeur d'origine) — à confirmer.</t>
        </r>
      </text>
    </comment>
    <comment ref="B163" authorId="0">
      <text>
        <r>
          <rPr>
            <sz val="8"/>
            <color indexed="81"/>
            <rFont val="Tahoma"/>
            <family val="2"/>
          </rPr>
          <t>Valeur reconstituée à partir du récit du cas (champ absent du classeur d'origine) — à confirmer.</t>
        </r>
      </text>
    </comment>
    <comment ref="B165" authorId="0">
      <text>
        <r>
          <rPr>
            <sz val="8"/>
            <color indexed="81"/>
            <rFont val="Tahoma"/>
            <family val="2"/>
          </rPr>
          <t>Valeur reconstituée à partir du récit du cas (champ absent du classeur d'origine) — à confirmer.</t>
        </r>
      </text>
    </comment>
    <comment ref="B231" authorId="0">
      <text>
        <r>
          <rPr>
            <sz val="8"/>
            <color indexed="81"/>
            <rFont val="Tahoma"/>
            <family val="2"/>
          </rPr>
          <t>Pour B6, la saisie répond à la question « modèle de flux complet et rapproché ? » : « Non » déclenche le blocage.</t>
        </r>
      </text>
    </comment>
    <comment ref="E231" authorId="0">
      <text>
        <r>
          <rPr>
            <sz val="8"/>
            <color indexed="81"/>
            <rFont val="Tahoma"/>
            <family val="2"/>
          </rPr>
          <t>Les cas d'étude ne présentent qu'un échéancier représentatif (4 à 6 périodes). En production, l'échéancier complet est exigé ; à défaut, saisir « Non » : le blocage B6 s'applique.</t>
        </r>
      </text>
    </comment>
  </commentList>
</comments>
</file>

<file path=xl/comments8.xml><?xml version="1.0" encoding="utf-8"?>
<comments xmlns="http://schemas.openxmlformats.org/spreadsheetml/2006/main">
  <authors>
    <author/>
  </authors>
  <commentList>
    <comment ref="B231" authorId="0">
      <text>
        <r>
          <rPr>
            <sz val="8"/>
            <color indexed="81"/>
            <rFont val="Tahoma"/>
            <family val="2"/>
          </rPr>
          <t>Pour B6, la saisie répond à la question « modèle de flux complet et rapproché ? » : « Non » déclenche le blocage.</t>
        </r>
      </text>
    </comment>
  </commentList>
</comments>
</file>

<file path=xl/sharedStrings.xml><?xml version="1.0" encoding="utf-8"?>
<sst xmlns="http://schemas.openxmlformats.org/spreadsheetml/2006/main" count="3805" uniqueCount="915">
  <si>
    <t>Paramètres du modèle V8</t>
  </si>
  <si>
    <t>Paramètres CANDIDATS, non approuvés par le Comité de validation. Tous les onglets de dossier lisent ces cellules : une modification s'applique immédiatement à tous les dossiers.</t>
  </si>
  <si>
    <t>Seuils DSCR de base par régime de revenus (phase stabilisée)</t>
  </si>
  <si>
    <t>Régime</t>
  </si>
  <si>
    <t>Libellé</t>
  </si>
  <si>
    <t>Critique &lt;</t>
  </si>
  <si>
    <t>Vigilance &lt;</t>
  </si>
  <si>
    <t>Favorable &lt;</t>
  </si>
  <si>
    <t>R1</t>
  </si>
  <si>
    <t>Contrat ferme à quantité garantie (take-or-pay)</t>
  </si>
  <si>
    <t>R2</t>
  </si>
  <si>
    <t>Paiement à la disponibilité</t>
  </si>
  <si>
    <t>R3</t>
  </si>
  <si>
    <t>Contrat à risque de volume</t>
  </si>
  <si>
    <t>R4</t>
  </si>
  <si>
    <t>Exposition au marché</t>
  </si>
  <si>
    <t>R5 (vente d'actifs) : hors périmètre de cet outil — LTC, LTV et encaissements sécurisés.</t>
  </si>
  <si>
    <t>Écart sectoriel Δ ajouté au seuil du régime</t>
  </si>
  <si>
    <t>Code</t>
  </si>
  <si>
    <t>Secteur</t>
  </si>
  <si>
    <t>Δ</t>
  </si>
  <si>
    <t>ENR</t>
  </si>
  <si>
    <t>Énergies renouvelables</t>
  </si>
  <si>
    <t>EAU</t>
  </si>
  <si>
    <t>Eau et dessalement</t>
  </si>
  <si>
    <t>TEL</t>
  </si>
  <si>
    <t>Télécom et data centers</t>
  </si>
  <si>
    <t>TRA</t>
  </si>
  <si>
    <t>Transport</t>
  </si>
  <si>
    <t>POR</t>
  </si>
  <si>
    <t>Ports et logistique</t>
  </si>
  <si>
    <t>SAN</t>
  </si>
  <si>
    <t>Santé</t>
  </si>
  <si>
    <t>ETH</t>
  </si>
  <si>
    <t>Thermique et gaz</t>
  </si>
  <si>
    <t>IMMO-REND</t>
  </si>
  <si>
    <t>Immobilier de rendement</t>
  </si>
  <si>
    <t>IND</t>
  </si>
  <si>
    <t>Industrie</t>
  </si>
  <si>
    <t>AGR</t>
  </si>
  <si>
    <t>Agro-industrie</t>
  </si>
  <si>
    <t>TOU</t>
  </si>
  <si>
    <t>Tourisme et hôtellerie</t>
  </si>
  <si>
    <t>MIN</t>
  </si>
  <si>
    <t>Mines et extraction</t>
  </si>
  <si>
    <t>Phases et majoration du seuil</t>
  </si>
  <si>
    <t>Phase</t>
  </si>
  <si>
    <t>Majoration</t>
  </si>
  <si>
    <t>P1</t>
  </si>
  <si>
    <t>Construction</t>
  </si>
  <si>
    <t>P2</t>
  </si>
  <si>
    <t>Montée en charge</t>
  </si>
  <si>
    <t>P3</t>
  </si>
  <si>
    <t>Exploitation</t>
  </si>
  <si>
    <t>Poids des domaines par phase</t>
  </si>
  <si>
    <t>Domaine</t>
  </si>
  <si>
    <t>D1</t>
  </si>
  <si>
    <t>Sponsors et actionnariat</t>
  </si>
  <si>
    <t>D2</t>
  </si>
  <si>
    <t>Projet, site, technologie</t>
  </si>
  <si>
    <t>D3</t>
  </si>
  <si>
    <t>Construction et achèvement</t>
  </si>
  <si>
    <t>D4</t>
  </si>
  <si>
    <t>Mécanisme des recettes</t>
  </si>
  <si>
    <t>D5</t>
  </si>
  <si>
    <t>Exploitation et maintenance</t>
  </si>
  <si>
    <t>D6</t>
  </si>
  <si>
    <t>Contreparties et consortium</t>
  </si>
  <si>
    <t>D7</t>
  </si>
  <si>
    <t>Finance et trésorerie (noyau)</t>
  </si>
  <si>
    <t>D8</t>
  </si>
  <si>
    <t>Juridique, sûretés, continuité</t>
  </si>
  <si>
    <t>D9</t>
  </si>
  <si>
    <t>ESG et climat résiduel</t>
  </si>
  <si>
    <t>Total (doit valoir 100 %)</t>
  </si>
  <si>
    <t>Poids des indicateurs du noyau financier (D7)</t>
  </si>
  <si>
    <t>Indicateur</t>
  </si>
  <si>
    <t>Poids</t>
  </si>
  <si>
    <t>N1</t>
  </si>
  <si>
    <t>DSCR minimum, scénario central</t>
  </si>
  <si>
    <t>N2</t>
  </si>
  <si>
    <t>DSCR minimum, scénario défavorable</t>
  </si>
  <si>
    <t>N3</t>
  </si>
  <si>
    <t>LLCR / financement à terminaison (P1)</t>
  </si>
  <si>
    <t>N4</t>
  </si>
  <si>
    <t>Liquidité (DSRA, lignes, cascade)</t>
  </si>
  <si>
    <t>N5</t>
  </si>
  <si>
    <t>Levier et fonds propres à risque</t>
  </si>
  <si>
    <t>N6</t>
  </si>
  <si>
    <t>Exposition résiduelle taux / change / refinancement</t>
  </si>
  <si>
    <t>Total</t>
  </si>
  <si>
    <t>Ancres de notation (échelle 0-100)</t>
  </si>
  <si>
    <t>Nom</t>
  </si>
  <si>
    <t>Appréciation</t>
  </si>
  <si>
    <t>Valeur</t>
  </si>
  <si>
    <t>P_Ancre_TF</t>
  </si>
  <si>
    <t>Très favorable</t>
  </si>
  <si>
    <t>P_Ancre_F</t>
  </si>
  <si>
    <t>Favorable</t>
  </si>
  <si>
    <t>P_Ancre_V</t>
  </si>
  <si>
    <t>Vigilance</t>
  </si>
  <si>
    <t>P_Ancre_C</t>
  </si>
  <si>
    <t>Critique</t>
  </si>
  <si>
    <t>P_InfoInsuff</t>
  </si>
  <si>
    <t>Valeur retenue pour une information insuffisante (conservatrice)</t>
  </si>
  <si>
    <t>La doctrine V8 interdit la renormalisation libre : une information insuffisante est comptée à la valeur ci-dessus et déclenche le plafond C15 (paramètre candidat).</t>
  </si>
  <si>
    <t>Conversion du score en note</t>
  </si>
  <si>
    <t>Score à partir de</t>
  </si>
  <si>
    <t>Note</t>
  </si>
  <si>
    <t>Orientation</t>
  </si>
  <si>
    <t>Très critique</t>
  </si>
  <si>
    <t>Refus ou restructuration complète</t>
  </si>
  <si>
    <t>Refus en l'état</t>
  </si>
  <si>
    <t>Préoccupant</t>
  </si>
  <si>
    <t>Révision de fond</t>
  </si>
  <si>
    <t>Fragile</t>
  </si>
  <si>
    <t>Restructuration à examiner</t>
  </si>
  <si>
    <t>Moyen</t>
  </si>
  <si>
    <t>Sous surveillance</t>
  </si>
  <si>
    <t>Acceptable</t>
  </si>
  <si>
    <t>Conditions et mitigants</t>
  </si>
  <si>
    <t>Satisfaisant</t>
  </si>
  <si>
    <t>Conditions légères</t>
  </si>
  <si>
    <t>Solide</t>
  </si>
  <si>
    <t>Réserves mineures à documenter</t>
  </si>
  <si>
    <t>Très solide</t>
  </si>
  <si>
    <t>Conditions minimales</t>
  </si>
  <si>
    <t>Excellent</t>
  </si>
  <si>
    <t>Profil de référence</t>
  </si>
  <si>
    <t>Plafonds de note C1 à C15</t>
  </si>
  <si>
    <t>Fait générateur</t>
  </si>
  <si>
    <t>Plafond</t>
  </si>
  <si>
    <t>C1</t>
  </si>
  <si>
    <t>DSCR minimum de base inférieur à 1,05x sur une échéance</t>
  </si>
  <si>
    <t>C2</t>
  </si>
  <si>
    <t>DSCR minimum de base sous le seuil critique du couple régime × secteur</t>
  </si>
  <si>
    <t>C3</t>
  </si>
  <si>
    <t>DSCR minimum sous scénario défavorable inférieur à 1,00x</t>
  </si>
  <si>
    <t>C4</t>
  </si>
  <si>
    <t>LLCR inférieur à 1,10x</t>
  </si>
  <si>
    <t>C5</t>
  </si>
  <si>
    <t>Contrat de revenus expirant avant la dernière échéance de dette, sans solution documentée</t>
  </si>
  <si>
    <t>C6</t>
  </si>
  <si>
    <t>Exposition nette en devises non couverte supérieure à 25 % du service de dette annuel</t>
  </si>
  <si>
    <t>C7</t>
  </si>
  <si>
    <t>DSRA absente ou inférieure à 3 mois de service de dette</t>
  </si>
  <si>
    <t>C8</t>
  </si>
  <si>
    <t>Dette à refinancer à maturité supérieure à 30 % du nominal, sans stratégie approuvée</t>
  </si>
  <si>
    <t>C9</t>
  </si>
  <si>
    <t>Quote-part de dette supérieure à 85 % du plan de financement</t>
  </si>
  <si>
    <t>C10</t>
  </si>
  <si>
    <t>Acheteur portant plus de 85 % des recettes et de qualité interne inférieure à BBB−</t>
  </si>
  <si>
    <t>C11</t>
  </si>
  <si>
    <t>Risque climatique physique élevé au site sans plan d'adaptation financé</t>
  </si>
  <si>
    <t>C12</t>
  </si>
  <si>
    <t>Capacité résiduelle du sponsor insuffisante pour l'appel d'equity restant</t>
  </si>
  <si>
    <t>C13</t>
  </si>
  <si>
    <t>Opérateur non remplaçable et contrat O&amp;M expirant plus de 5 ans avant la dette</t>
  </si>
  <si>
    <t>C14</t>
  </si>
  <si>
    <t>Exposition du groupe bancaire sur un facteur commun au-delà de la limite interne</t>
  </si>
  <si>
    <t>C15</t>
  </si>
  <si>
    <t>Note issue d'une évaluation partielle (statut provisoire)</t>
  </si>
  <si>
    <t>Seuils des règles (proportionnalité, N3, plafonds)</t>
  </si>
  <si>
    <t>Paramètre</t>
  </si>
  <si>
    <t>P_S_CAPEX</t>
  </si>
  <si>
    <t>Régime S — CAPEX maximal (MMAD)</t>
  </si>
  <si>
    <t>P_S_EXPO</t>
  </si>
  <si>
    <t>Régime S — exposition maximale de la banque (MMAD)</t>
  </si>
  <si>
    <t>P_S_DUREE</t>
  </si>
  <si>
    <t>Régime S — durée de financement maximale (ans)</t>
  </si>
  <si>
    <t>P_L_CAPEX</t>
  </si>
  <si>
    <t>Régime L — CAPEX au-delà duquel on escalade (MMAD)</t>
  </si>
  <si>
    <t>P_L_EXPO</t>
  </si>
  <si>
    <t>Régime L — exposition au-delà de laquelle on escalade (MMAD)</t>
  </si>
  <si>
    <t>P_L_NBCP</t>
  </si>
  <si>
    <t>Régime L — nombre de contreparties clés au-delà duquel on escalade</t>
  </si>
  <si>
    <t>P_N3_TF</t>
  </si>
  <si>
    <t>N3 (P1) — couverture à terminaison pour Très favorable</t>
  </si>
  <si>
    <t>P_N3_F</t>
  </si>
  <si>
    <t>N3 (P1) — couverture à terminaison pour Favorable</t>
  </si>
  <si>
    <t>P_N3_V</t>
  </si>
  <si>
    <t>N3 (P1) — couverture minimale avec plan approuvé (Vigilance) ; en deçà Critique et B3</t>
  </si>
  <si>
    <t>P_C1</t>
  </si>
  <si>
    <t>C1 — DSCR minimum de base</t>
  </si>
  <si>
    <t>P_C3</t>
  </si>
  <si>
    <t>C3 — DSCR minimum sous stress</t>
  </si>
  <si>
    <t>P_C4</t>
  </si>
  <si>
    <t>C4 — LLCR minimum</t>
  </si>
  <si>
    <t>P_C6</t>
  </si>
  <si>
    <t>C6 — exposition nette en devises maximale (part du service annuel)</t>
  </si>
  <si>
    <t>P_C7</t>
  </si>
  <si>
    <t>C7 — DSRA minimale (mois de service)</t>
  </si>
  <si>
    <t>P_C8</t>
  </si>
  <si>
    <t>C8 — dette à refinancer maximale (part du nominal)</t>
  </si>
  <si>
    <t>P_C9</t>
  </si>
  <si>
    <t>C9 — quote-part de dette maximale</t>
  </si>
  <si>
    <t>P_C10</t>
  </si>
  <si>
    <t>C10 — part des recettes de l'acheteur principal au-delà de laquelle on teste sa qualité</t>
  </si>
  <si>
    <t>P_C13</t>
  </si>
  <si>
    <t>C13 — écart maximal entre fin du contrat O&amp;M et fin de la dette (ans)</t>
  </si>
  <si>
    <t>P_COUV</t>
  </si>
  <si>
    <t>Couverture pondérée minimale d'une note validée (sinon C15)</t>
  </si>
  <si>
    <t>Poids des sous-critères (indépendants de la phase)</t>
  </si>
  <si>
    <t>Clé</t>
  </si>
  <si>
    <t>Sous-critère</t>
  </si>
  <si>
    <t>D1.1</t>
  </si>
  <si>
    <t>Capacité financière du sponsor</t>
  </si>
  <si>
    <t>D1.2</t>
  </si>
  <si>
    <t>Obligation juridique de soutien</t>
  </si>
  <si>
    <t>D1.3</t>
  </si>
  <si>
    <t>Structure actionnariale et gouvernance</t>
  </si>
  <si>
    <t>D2.1</t>
  </si>
  <si>
    <t>Technologie et performance</t>
  </si>
  <si>
    <t>D2.2</t>
  </si>
  <si>
    <t>Site, foncier physique et accès</t>
  </si>
  <si>
    <t>D2.3</t>
  </si>
  <si>
    <t>Planning et complexité d'exécution</t>
  </si>
  <si>
    <t>D3.1</t>
  </si>
  <si>
    <t>Contrat EPC et constructeur</t>
  </si>
  <si>
    <t>D3.2</t>
  </si>
  <si>
    <t>Interfaces et gouvernance de chantier</t>
  </si>
  <si>
    <t>D3.3</t>
  </si>
  <si>
    <t>Assurances et garanties mobilisables</t>
  </si>
  <si>
    <t>D4.1</t>
  </si>
  <si>
    <t>Structure contractuelle des recettes</t>
  </si>
  <si>
    <t>D4.2</t>
  </si>
  <si>
    <t>Mécanisme de prix et indexation</t>
  </si>
  <si>
    <t>D4.3</t>
  </si>
  <si>
    <t>Marché et concurrence</t>
  </si>
  <si>
    <t>D5.1</t>
  </si>
  <si>
    <t>Opérateur et contrat O&amp;M</t>
  </si>
  <si>
    <t>D5.2</t>
  </si>
  <si>
    <t>Performance technique et disponibilité</t>
  </si>
  <si>
    <t>D5.3</t>
  </si>
  <si>
    <t>Coûts, gros entretien et dépendances</t>
  </si>
  <si>
    <t>D6.1</t>
  </si>
  <si>
    <t>Acheteur ou payeur principal</t>
  </si>
  <si>
    <t>D6.2</t>
  </si>
  <si>
    <t>Fournisseurs critiques</t>
  </si>
  <si>
    <t>D6.3</t>
  </si>
  <si>
    <t>Prêteurs et consortium</t>
  </si>
  <si>
    <t>D8.1</t>
  </si>
  <si>
    <t>Documentation contractuelle et droits directs</t>
  </si>
  <si>
    <t>D8.2</t>
  </si>
  <si>
    <t>Sûretés et opposabilité</t>
  </si>
  <si>
    <t>D8.3</t>
  </si>
  <si>
    <t>Autorisations, cadre réglementaire, litiges</t>
  </si>
  <si>
    <t>D9.1</t>
  </si>
  <si>
    <t>Environnement et ressources</t>
  </si>
  <si>
    <t>D9.2</t>
  </si>
  <si>
    <t>Social et acceptabilité</t>
  </si>
  <si>
    <t>D9.3</t>
  </si>
  <si>
    <t>Gouvernance ESG et exécution</t>
  </si>
  <si>
    <t>D9.4</t>
  </si>
  <si>
    <t>Climat résiduel</t>
  </si>
  <si>
    <t>Listes de choix</t>
  </si>
  <si>
    <t>L_OuiNon</t>
  </si>
  <si>
    <t>Oui</t>
  </si>
  <si>
    <t>Non</t>
  </si>
  <si>
    <t>L_Notes</t>
  </si>
  <si>
    <t>Info. insuffisante</t>
  </si>
  <si>
    <t>L_Periodicite</t>
  </si>
  <si>
    <t>Semestrielle</t>
  </si>
  <si>
    <t>Trimestrielle</t>
  </si>
  <si>
    <t>Mensuelle</t>
  </si>
  <si>
    <t>L_Nature</t>
  </si>
  <si>
    <t>Dette senior</t>
  </si>
  <si>
    <t>Dette subordonnée</t>
  </si>
  <si>
    <t>Fonds propres</t>
  </si>
  <si>
    <t>Quasi-fonds propres</t>
  </si>
  <si>
    <t>Engagement sponsor</t>
  </si>
  <si>
    <t>Ligne dédiée engagée</t>
  </si>
  <si>
    <t>Subvention encaissée</t>
  </si>
  <si>
    <t>Autre ressource</t>
  </si>
  <si>
    <t>L_QualAch</t>
  </si>
  <si>
    <t>≥ BBB−</t>
  </si>
  <si>
    <t>&lt; BBB−</t>
  </si>
  <si>
    <t>Non noté</t>
  </si>
  <si>
    <t>DOSSIER_V8</t>
  </si>
  <si>
    <t>CAS 1 · Centrale solaire photovoltaïque 80 MWc</t>
  </si>
  <si>
    <t>SPV « Solaris Drâa » SA (fictive) — Région de Drâa-Tafilalet</t>
  </si>
  <si>
    <t>Centrale PV vendant sa production à l'acheteur public national sous contrat d'achat de 25 ans à quantité garantie et tarif indexé. Financement en dirhams, EPC clé-en-main forfaitaire.</t>
  </si>
  <si>
    <t>À SAISIR (cellules orange)</t>
  </si>
  <si>
    <t>Aller à la section :</t>
  </si>
  <si>
    <t>TABLEAU DE BORD — se met à jour à chaque saisie</t>
  </si>
  <si>
    <t>NOTE APPROUVÉE (1 à 10)</t>
  </si>
  <si>
    <t>Statut</t>
  </si>
  <si>
    <t>Score global (sur 100)</t>
  </si>
  <si>
    <t>Note calculée</t>
  </si>
  <si>
    <t>Plafond applicable</t>
  </si>
  <si>
    <t>Plafonds actifs</t>
  </si>
  <si>
    <t>Verrous actifs (exclusions X, blocages B)</t>
  </si>
  <si>
    <t>Régime de proportionnalité retenu</t>
  </si>
  <si>
    <t>DSCR minimum</t>
  </si>
  <si>
    <t>DSCR stressé min.</t>
  </si>
  <si>
    <t>Complétude (noyau N1-N6 et grille)</t>
  </si>
  <si>
    <t>Noyau financier D7</t>
  </si>
  <si>
    <t>1 · ROUTAGE — pilote les seuils DSCR et les poids de domaine</t>
  </si>
  <si>
    <t>Axe</t>
  </si>
  <si>
    <t>C — Régime de revenus</t>
  </si>
  <si>
    <t>D — Secteur du projet</t>
  </si>
  <si>
    <t>B — Phase</t>
  </si>
  <si>
    <t>Périodicité du service de la dette</t>
  </si>
  <si>
    <t>Jamais annuelle : le DSCR se mesure échéance par échéance.</t>
  </si>
  <si>
    <t>A — Famille de financement</t>
  </si>
  <si>
    <t>PF-FLUX</t>
  </si>
  <si>
    <t>SPV dédiée, remboursement par les flux du projet (R5 vente d'actifs : hors outil).</t>
  </si>
  <si>
    <t>2 · RÉGIME DE PROPORTIONNALITÉ — calculé, jamais choisi</t>
  </si>
  <si>
    <t>CAPEX du projet économique complet (MMAD)</t>
  </si>
  <si>
    <t>Repris du total des emplois (section 3).</t>
  </si>
  <si>
    <t>Exposition de la banque (MMAD)</t>
  </si>
  <si>
    <t>Recettes, coûts et dette intégralement en dirhams</t>
  </si>
  <si>
    <t>Durée du financement (ans)</t>
  </si>
  <si>
    <t>Technologie : ≥ 3 références industrielles de plus de 3 ans</t>
  </si>
  <si>
    <t>En P1 : EPC clé-en-main forfaitaire, prix et délai garantis, &lt; 18 mois</t>
  </si>
  <si>
    <t>Acheteur principal unique et identifié</t>
  </si>
  <si>
    <t>Technologie constituant une première référence dans la juridiction</t>
  </si>
  <si>
    <t>Opération consortiale relevant de la directive 3/W/2025</t>
  </si>
  <si>
    <t>Concession ou contrat de revenus de plus de 20 ans</t>
  </si>
  <si>
    <t>Site classé à risque climatique physique élevé</t>
  </si>
  <si>
    <t>Nombre de contreparties clés</t>
  </si>
  <si>
    <t>Régime calculé (avant escalade)</t>
  </si>
  <si>
    <t>RÉGIME RETENU (après escalade automatique)</t>
  </si>
  <si>
    <t>3 · SOURCES ET EMPLOIS (MMAD) — test de financement à terminaison</t>
  </si>
  <si>
    <t>Emplois</t>
  </si>
  <si>
    <t>Montant</t>
  </si>
  <si>
    <t>Ressources</t>
  </si>
  <si>
    <t>Nature</t>
  </si>
  <si>
    <t>Contrat EPC (modules, structures, postes)</t>
  </si>
  <si>
    <t>Dette senior (20 ans, 5,5 %)</t>
  </si>
  <si>
    <t>Raccordement au réseau</t>
  </si>
  <si>
    <t>Fonds propres et quasi-fonds propres</t>
  </si>
  <si>
    <t>Développement, frais et assurances</t>
  </si>
  <si>
    <t>Engagement sponsor de dépassement (engagé, non tiré)</t>
  </si>
  <si>
    <t>Contingence</t>
  </si>
  <si>
    <t>Intérêts intercalaires</t>
  </si>
  <si>
    <t>Dotation initiale DSRA</t>
  </si>
  <si>
    <t>BFR de démarrage</t>
  </si>
  <si>
    <t>Total emplois (besoin à terminaison)</t>
  </si>
  <si>
    <t>Total ressources engagées</t>
  </si>
  <si>
    <t>Couverture du besoin à terminaison (ressources / emplois)</t>
  </si>
  <si>
    <t>Quote-part de dette (dette / besoin à terminaison)</t>
  </si>
  <si>
    <t>Plan de remédiation approuvé (couverture entre 95 % et 100 %)</t>
  </si>
  <si>
    <t>4 · HYPOTHÈSES D'EXPLOITATION (information, non calculées)</t>
  </si>
  <si>
    <t>Production nette P50</t>
  </si>
  <si>
    <t>152 GWh/an</t>
  </si>
  <si>
    <t>Tarif du contrat d'achat</t>
  </si>
  <si>
    <t>0,48 MAD/kWh, indexé</t>
  </si>
  <si>
    <t>Chiffre d'affaires</t>
  </si>
  <si>
    <t>73 MMAD/an</t>
  </si>
  <si>
    <t>Charges d'exploitation</t>
  </si>
  <si>
    <t>11 MMAD/an</t>
  </si>
  <si>
    <t>EBITDA</t>
  </si>
  <si>
    <t>62 MMAD/an</t>
  </si>
  <si>
    <t>CFADS de référence</t>
  </si>
  <si>
    <t>54 MMAD/an</t>
  </si>
  <si>
    <t>Service de la dette</t>
  </si>
  <si>
    <t>38,9 MMAD/an, semestriel</t>
  </si>
  <si>
    <t>5 · SEUILS DSCR APPLICABLES = base du régime + Δ secteur + majoration de phase</t>
  </si>
  <si>
    <t>Seuil critique de base du régime</t>
  </si>
  <si>
    <t>Écart sectoriel Δ</t>
  </si>
  <si>
    <t>Majoration de phase</t>
  </si>
  <si>
    <t>Seuils applicables</t>
  </si>
  <si>
    <t>Très favorable ≥</t>
  </si>
  <si>
    <t>Seuil = base + Δ + majoration</t>
  </si>
  <si>
    <t>6 · ÉCHÉANCIER DATÉ ET DSCR PAR ÉCHÉANCE (jusqu'à 60 périodes)</t>
  </si>
  <si>
    <t>Scénario défavorable : baisse du CFADS appliquée à chaque période</t>
  </si>
  <si>
    <t>Production P90 (− 8 %) et charges d’exploitation + 10 %</t>
  </si>
  <si>
    <t>Période</t>
  </si>
  <si>
    <t>CFADS central</t>
  </si>
  <si>
    <t>DSCR</t>
  </si>
  <si>
    <t>Classement</t>
  </si>
  <si>
    <t>CFADS stressé (saisie facultative)</t>
  </si>
  <si>
    <t>DSCR stressé</t>
  </si>
  <si>
    <t>DSCR annuel (paire de semestres)</t>
  </si>
  <si>
    <t>An 1 · S1</t>
  </si>
  <si>
    <t>An 1 · S2</t>
  </si>
  <si>
    <t>An 10 · S1</t>
  </si>
  <si>
    <t>An 10 · S2</t>
  </si>
  <si>
    <t>An 20 · S1</t>
  </si>
  <si>
    <t>An 20 · S2</t>
  </si>
  <si>
    <t>DSCR MINIMUM sur toutes les échéances (mesure retenue)</t>
  </si>
  <si>
    <t>DSCR minimum sous scénario défavorable</t>
  </si>
  <si>
    <t>DSCR moyen sur l'horizon (indicatif — jamais retenu)</t>
  </si>
  <si>
    <t>DSCR annuel minimum, semestres agrégés (indicatif — le piège du ratio annuel)</t>
  </si>
  <si>
    <t>Nombre de périodes renseignées</t>
  </si>
  <si>
    <t>7 · NOYAU FINANCIER (D7) — N1 à N3 calculés, N4 à N6 notés sur pièces</t>
  </si>
  <si>
    <t>Contribution</t>
  </si>
  <si>
    <t>Mesure et justification</t>
  </si>
  <si>
    <t>N1 — DSCR minimum, scénario central</t>
  </si>
  <si>
    <t>N2 — DSCR minimum, scénario défavorable</t>
  </si>
  <si>
    <t>N3 — LLCR / financement à terminaison (P1)</t>
  </si>
  <si>
    <t>N4 — Liquidité (DSRA, lignes, cascade)</t>
  </si>
  <si>
    <t>DSRA 6 mois de service, MRA doté, cascade de paiement signée</t>
  </si>
  <si>
    <t>N5 — Levier et fonds propres à risque</t>
  </si>
  <si>
    <t>Quote-part de dette 65,8 %, gearing 1,92, fonds propres à risque 34,2 %</t>
  </si>
  <si>
    <t>N6 — Exposition résiduelle taux / change / refinancement</t>
  </si>
  <si>
    <t>Intégralement en dirhams, taux fixe, amortissement complet sans ballon</t>
  </si>
  <si>
    <t>D7 — SCORE DU NOYAU FINANCIER</t>
  </si>
  <si>
    <t>Données du noyau et des plafonds (alimentent N3 hors P1 et les plafonds C4 à C14)</t>
  </si>
  <si>
    <t>N3 hors phase P1 : note fondée sur le LLCR (100, 80, 50, 20)</t>
  </si>
  <si>
    <t>LLCR (x) — plafond C4</t>
  </si>
  <si>
    <t>DSRA en mois de service de dette — plafond C7</t>
  </si>
  <si>
    <t>Exposition nette en devises non couverte, en % du service annuel — C6</t>
  </si>
  <si>
    <t>Dette à refinancer à maturité, en % du nominal — C8</t>
  </si>
  <si>
    <t>Stratégie de refinancement approuvée</t>
  </si>
  <si>
    <t>Part des recettes portée par l'acheteur principal — C10</t>
  </si>
  <si>
    <t>Qualité de crédit interne de l'acheteur principal</t>
  </si>
  <si>
    <t>Durée résiduelle du contrat de revenus (ans) — C5</t>
  </si>
  <si>
    <t>Durée résiduelle de la dette (ans)</t>
  </si>
  <si>
    <t>Solution documentée si le contrat expire avant la dette</t>
  </si>
  <si>
    <t>Plan d'adaptation climatique financé — C11</t>
  </si>
  <si>
    <t>Capacité résiduelle du sponsor suffisante pour l'appel d'equity restant — C12</t>
  </si>
  <si>
    <t>Opérateur remplaçable — C13</t>
  </si>
  <si>
    <t>Écart entre la fin du contrat O&amp;M et la fin de la dette (ans)</t>
  </si>
  <si>
    <t>Exposition du groupe sur un facteur commun au-delà de la limite interne — C14</t>
  </si>
  <si>
    <t>8 · GRILLE QUALITATIVE — notes 100 / 80 / 50 / 20 ou « Info. insuffisante »</t>
  </si>
  <si>
    <t>Domaine et sous-critère</t>
  </si>
  <si>
    <t>Score domaine</t>
  </si>
  <si>
    <t>Commentaire</t>
  </si>
  <si>
    <t>D1 — Sponsors et actionnariat</t>
  </si>
  <si>
    <t>Développeur international associé à un institutionnel marocain. Lettre d'engagement de fonds propres et engagement de dépassement signés : l'obligation juridique de soutien est établie, pas seulement la capacité.</t>
  </si>
  <si>
    <t>DOM</t>
  </si>
  <si>
    <t xml:space="preserve">      Capacité financière du sponsor</t>
  </si>
  <si>
    <t>SC</t>
  </si>
  <si>
    <t xml:space="preserve">      Obligation juridique de soutien</t>
  </si>
  <si>
    <t xml:space="preserve">      Structure actionnariale et gouvernance</t>
  </si>
  <si>
    <t>D2 — Projet, site, technologie</t>
  </si>
  <si>
    <t xml:space="preserve">      Technologie et performance</t>
  </si>
  <si>
    <t xml:space="preserve">      Site, foncier physique et accès</t>
  </si>
  <si>
    <t xml:space="preserve">      Planning et complexité d'exécution</t>
  </si>
  <si>
    <t>D3 — Construction et achèvement</t>
  </si>
  <si>
    <t>EPC clé-en-main forfaitaire à prix et délai garantis, pénalités de retard plafonnées à 15 % du contrat. Interface unique restante : le raccordement, porté par un tiers.</t>
  </si>
  <si>
    <t xml:space="preserve">      Contrat EPC et constructeur</t>
  </si>
  <si>
    <t xml:space="preserve">      Interfaces et gouvernance de chantier</t>
  </si>
  <si>
    <t xml:space="preserve">      Assurances et garanties mobilisables</t>
  </si>
  <si>
    <t>D4 — Mécanisme des recettes</t>
  </si>
  <si>
    <t>Contrat de 25 ans couvrant intégralement la durée de la dette (20 ans). Indexation portant sur 70 % du tarif seulement : le mécanisme de prix est noté Favorable et non Très favorable.</t>
  </si>
  <si>
    <t xml:space="preserve">      Structure contractuelle des recettes</t>
  </si>
  <si>
    <t xml:space="preserve">      Mécanisme de prix et indexation</t>
  </si>
  <si>
    <t xml:space="preserve">      Marché et concurrence</t>
  </si>
  <si>
    <t>D5 — Exploitation et maintenance</t>
  </si>
  <si>
    <t xml:space="preserve">      Opérateur et contrat O&amp;M</t>
  </si>
  <si>
    <t xml:space="preserve">      Performance technique et disponibilité</t>
  </si>
  <si>
    <t xml:space="preserve">      Coûts, gros entretien et dépendances</t>
  </si>
  <si>
    <t>D6 — Contreparties et consortium</t>
  </si>
  <si>
    <t>Acheteur public national, qualité de crédit interne équivalente BBB−, historique de paiement satisfaisant mais délais constatés de 60 à 90 jours. Concentration des fournisseurs de modules notée Vigilance.</t>
  </si>
  <si>
    <t xml:space="preserve">      Acheteur ou payeur principal</t>
  </si>
  <si>
    <t xml:space="preserve">      Fournisseurs critiques</t>
  </si>
  <si>
    <t xml:space="preserve">      Prêteurs et consortium</t>
  </si>
  <si>
    <t>D8 — Juridique, sûretés, continuité</t>
  </si>
  <si>
    <t xml:space="preserve">      Documentation contractuelle et droits directs</t>
  </si>
  <si>
    <t xml:space="preserve">      Sûretés et opposabilité</t>
  </si>
  <si>
    <t xml:space="preserve">      Autorisations, cadre réglementaire, litiges</t>
  </si>
  <si>
    <t>D9 — ESG et climat résiduel</t>
  </si>
  <si>
    <t xml:space="preserve">      Environnement et ressources</t>
  </si>
  <si>
    <t xml:space="preserve">      Social et acceptabilité</t>
  </si>
  <si>
    <t xml:space="preserve">      Gouvernance ESG et exécution</t>
  </si>
  <si>
    <t xml:space="preserve">      Climat résiduel</t>
  </si>
  <si>
    <t>Couverture pondérée de la grille (minimum 95 % pour une note validée)</t>
  </si>
  <si>
    <t>Complétude des critères requis : N1 à N6 et sous-critères de la phase (100 % exigé)</t>
  </si>
  <si>
    <t>9 · AGRÉGATION ET NOTE CALCULÉE</t>
  </si>
  <si>
    <t>Score</t>
  </si>
  <si>
    <t>Poids de la phase</t>
  </si>
  <si>
    <t>D7 — Finance et trésorerie (noyau)</t>
  </si>
  <si>
    <t>SCORE GLOBAL (sur 100)</t>
  </si>
  <si>
    <t>Note calculée (table de conversion)</t>
  </si>
  <si>
    <t>10 · VERROUS — exclusions X (aucune note) et blocages B (note provisoire)</t>
  </si>
  <si>
    <t>Saisie</t>
  </si>
  <si>
    <t>Actif</t>
  </si>
  <si>
    <t>Stade bloqué</t>
  </si>
  <si>
    <t>Détection automatique</t>
  </si>
  <si>
    <t>X1</t>
  </si>
  <si>
    <t>Activité interdite par la loi marocaine ou par la politique d'exclusion de la banque</t>
  </si>
  <si>
    <t>Aucune note</t>
  </si>
  <si>
    <t>X2</t>
  </si>
  <si>
    <t>Autorisation légalement indispensable juridiquement impossible à obtenir</t>
  </si>
  <si>
    <t>X3</t>
  </si>
  <si>
    <t>Contrepartie clé sous sanctions ou signalée au titre du dispositif LBC-FT</t>
  </si>
  <si>
    <t>X4</t>
  </si>
  <si>
    <t>Contrepartie clé en défaut avéré non régularisé</t>
  </si>
  <si>
    <t>B1</t>
  </si>
  <si>
    <t>Contrat de revenus principal non signé (régimes R1 à R3)</t>
  </si>
  <si>
    <t>Octroi</t>
  </si>
  <si>
    <t>B2</t>
  </si>
  <si>
    <t>Contrat EPC non signé en phase P1</t>
  </si>
  <si>
    <t>B3</t>
  </si>
  <si>
    <t>Besoin à terminaison supérieur aux ressources engagées (couverture &lt; 95 % en P1)</t>
  </si>
  <si>
    <t>Décaissement</t>
  </si>
  <si>
    <t>B4</t>
  </si>
  <si>
    <t>Droit d'occupation du site non établi, ou durée &lt; dette + 24 mois</t>
  </si>
  <si>
    <t>B5</t>
  </si>
  <si>
    <t>Avis juridique d'opposabilité des sûretés absent ou avec réserve substantielle</t>
  </si>
  <si>
    <t>B6</t>
  </si>
  <si>
    <t>Modèle de flux datés absent ou non rapproché des états financiers</t>
  </si>
  <si>
    <t>Notation validée</t>
  </si>
  <si>
    <t>B7</t>
  </si>
  <si>
    <t>Complétude des critères critiques inférieure à 100 %</t>
  </si>
  <si>
    <t>B8</t>
  </si>
  <si>
    <t>Acceptabilité environnementale non obtenue au stade requis</t>
  </si>
  <si>
    <t>11 · PLAFONDS DE NOTE C1 À C15 — déclenchés par les données, jamais saisis</t>
  </si>
  <si>
    <t>Donnée observée</t>
  </si>
  <si>
    <t>Seuil</t>
  </si>
  <si>
    <t>Plafond effectif</t>
  </si>
  <si>
    <t>PLAFOND LE PLUS CONTRAIGNANT (10 = aucun)</t>
  </si>
  <si>
    <t>12 · NOTE APPROUVÉE = min(note calculée ; plafonds actifs) — ordre X, B, score, C</t>
  </si>
  <si>
    <t>NOTE APPROUVÉE</t>
  </si>
  <si>
    <t>13 · CE QUE CE CAS ENSEIGNE</t>
  </si>
  <si>
    <t>Cas de référence. Deux points méritent attention malgré la note élevée : le test de financement à terminaison ne donne que 5,7 % de marge, ce qui vaut 8 et non 10 sur N3 ; et le DSCR sous stress P90 tombe à 1,12, soit Vigilance. Un dossier solide n'obtient pas 10 partout.</t>
  </si>
  <si>
    <t>1 · Régime de revenus</t>
  </si>
  <si>
    <t>B15</t>
  </si>
  <si>
    <t>1 · Secteur du projet</t>
  </si>
  <si>
    <t>B16</t>
  </si>
  <si>
    <t>1 · Phase du projet</t>
  </si>
  <si>
    <t>B17</t>
  </si>
  <si>
    <t>1 · Périodicité des échéances</t>
  </si>
  <si>
    <t>B18</t>
  </si>
  <si>
    <t>2 · Exposition de la banque (MMAD)</t>
  </si>
  <si>
    <t>B23</t>
  </si>
  <si>
    <t>2 · Recettes, coûts et dette en dirhams ?</t>
  </si>
  <si>
    <t>B24</t>
  </si>
  <si>
    <t>2 · Durée du financement (ans)</t>
  </si>
  <si>
    <t>B25</t>
  </si>
  <si>
    <t>2 · Technologie éprouvée ?</t>
  </si>
  <si>
    <t>B26</t>
  </si>
  <si>
    <t>2 · EPC clé-en-main de moins de 18 mois ? (phase P1)</t>
  </si>
  <si>
    <t>B27</t>
  </si>
  <si>
    <t>2 · Acheteur principal unique ?</t>
  </si>
  <si>
    <t>B28</t>
  </si>
  <si>
    <t>2 · Première référence technologique ?</t>
  </si>
  <si>
    <t>B29</t>
  </si>
  <si>
    <t>2 · Opération consortiale ?</t>
  </si>
  <si>
    <t>B30</t>
  </si>
  <si>
    <t>2 · Contrat de revenus de plus de 20 ans ?</t>
  </si>
  <si>
    <t>B31</t>
  </si>
  <si>
    <t>2 · Site à risque climatique élevé ?</t>
  </si>
  <si>
    <t>B32</t>
  </si>
  <si>
    <t>2 · Nombre de contreparties clés</t>
  </si>
  <si>
    <t>B33</t>
  </si>
  <si>
    <t>3 · Emplois : montants du besoin à terminaison</t>
  </si>
  <si>
    <t>B39</t>
  </si>
  <si>
    <t>3 · Ressources engagées : montants</t>
  </si>
  <si>
    <t>E39</t>
  </si>
  <si>
    <t>3 · Nature de chaque ressource</t>
  </si>
  <si>
    <t>F39</t>
  </si>
  <si>
    <t>3 · Plan de remédiation (couverture entre 95 et 100 %)</t>
  </si>
  <si>
    <t>B50</t>
  </si>
  <si>
    <t>6 · Choc du scénario défavorable (%)</t>
  </si>
  <si>
    <t>B70</t>
  </si>
  <si>
    <t>6 · Échéancier : CFADS d'au moins deux périodes</t>
  </si>
  <si>
    <t>B72</t>
  </si>
  <si>
    <t>6 · Service de la dette de chaque période</t>
  </si>
  <si>
    <t>C72</t>
  </si>
  <si>
    <t>7 · N4 — Liquidité (DSRA, lignes, cascade)</t>
  </si>
  <si>
    <t>B145</t>
  </si>
  <si>
    <t>7 · N5 — Levier et fonds propres à risque</t>
  </si>
  <si>
    <t>B146</t>
  </si>
  <si>
    <t>7 · N6 — Exposition résiduelle taux, change, refinancement</t>
  </si>
  <si>
    <t>B147</t>
  </si>
  <si>
    <t>7 · N3 hors phase P1 : note LLCR</t>
  </si>
  <si>
    <t>B150</t>
  </si>
  <si>
    <t>7 · LLCR (plafond C4)</t>
  </si>
  <si>
    <t>B151</t>
  </si>
  <si>
    <t>7 · DSRA en mois (plafond C7)</t>
  </si>
  <si>
    <t>B152</t>
  </si>
  <si>
    <t>7 · Exposition nette en devises (plafond C6)</t>
  </si>
  <si>
    <t>B153</t>
  </si>
  <si>
    <t>7 · Dette à refinancer à maturité (plafond C8)</t>
  </si>
  <si>
    <t>B154</t>
  </si>
  <si>
    <t>7 · Stratégie de refinancement approuvée ?</t>
  </si>
  <si>
    <t>B155</t>
  </si>
  <si>
    <t>7 · Part des recettes de l'acheteur principal (C10)</t>
  </si>
  <si>
    <t>B156</t>
  </si>
  <si>
    <t>7 · Qualité de crédit de l'acheteur principal</t>
  </si>
  <si>
    <t>B157</t>
  </si>
  <si>
    <t>7 · Durée résiduelle du contrat de revenus (C5)</t>
  </si>
  <si>
    <t>B158</t>
  </si>
  <si>
    <t>7 · Durée résiduelle de la dette</t>
  </si>
  <si>
    <t>B159</t>
  </si>
  <si>
    <t>7 · Solution documentée (contrat plus court que la dette) ?</t>
  </si>
  <si>
    <t>B160</t>
  </si>
  <si>
    <t>7 · Plan d'adaptation climatique financé ? (C11)</t>
  </si>
  <si>
    <t>B161</t>
  </si>
  <si>
    <t>7 · Capacité résiduelle du sponsor (C12)</t>
  </si>
  <si>
    <t>B162</t>
  </si>
  <si>
    <t>7 · Opérateur remplaçable ? (C13)</t>
  </si>
  <si>
    <t>B163</t>
  </si>
  <si>
    <t>7 · Écart fin O&amp;M / fin de dette (opérateur non remplaçable)</t>
  </si>
  <si>
    <t>B164</t>
  </si>
  <si>
    <t>7 · Facteur commun au-delà de la limite interne (C14)</t>
  </si>
  <si>
    <t>B165</t>
  </si>
  <si>
    <t>8 · Grille : sous-critère requis non noté</t>
  </si>
  <si>
    <t>10 · Verrous X1 à B8 : répondre Oui ou Non</t>
  </si>
  <si>
    <t>E222</t>
  </si>
  <si>
    <t>CAS 2 · Usine de dessalement 100 000 m³/jour</t>
  </si>
  <si>
    <t>SPV « Aqua Souss » SA (fictive) — Littoral de Souss-Massa</t>
  </si>
  <si>
    <t>Usine d'osmose inverse rémunérée par une redevance de capacité versée par l'acheteur public, assortie d'une redevance variable répercutant le coût de l'énergie dans une limite plafonnée.</t>
  </si>
  <si>
    <t>Contrat EPC (prise d’eau, osmose inverse, rejet)</t>
  </si>
  <si>
    <t>Dette senior (20 ans, 6,0 %), dont 35 % en euros</t>
  </si>
  <si>
    <t>Canalisations et raccordement électrique</t>
  </si>
  <si>
    <t>Capacité contractuelle</t>
  </si>
  <si>
    <t>100 000 m³/jour</t>
  </si>
  <si>
    <t>Redevance de capacité</t>
  </si>
  <si>
    <t>290 MMAD/an</t>
  </si>
  <si>
    <t>Redevance variable énergie</t>
  </si>
  <si>
    <t>Répercutée à 60 % seulement au-delà d’un plafond</t>
  </si>
  <si>
    <t>Charges hors énergie</t>
  </si>
  <si>
    <t>60 MMAD/an</t>
  </si>
  <si>
    <t>230 MMAD/an</t>
  </si>
  <si>
    <t>CFADS à régime établi</t>
  </si>
  <si>
    <t>196 MMAD/an</t>
  </si>
  <si>
    <t>146,5 MMAD/an, semestriel</t>
  </si>
  <si>
    <t>Coût de l’énergie + 15 % répercuté à 60 % seulement, disponibilité ramenée à 92 %</t>
  </si>
  <si>
    <t>An 1 · S1 (disponibilité 94 %)</t>
  </si>
  <si>
    <t>An 1 · S2 (disponibilité 95 %)</t>
  </si>
  <si>
    <t>An 3 · S1 (régime établi)</t>
  </si>
  <si>
    <t>An 3 · S2 (régime établi)</t>
  </si>
  <si>
    <t>DSRA 4 mois de service ; pas de ligne de secours dédiée</t>
  </si>
  <si>
    <t>Quote-part de dette 70 %, gearing 2,33</t>
  </si>
  <si>
    <t>35 % de la dette en euros, couverte à 60 % : exposition nette 14 % du service</t>
  </si>
  <si>
    <t>Technologie d'osmose inverse largement éprouvée, notée Très favorable. Le site concentre le risque : prise d'eau en mer, exutoire de saumure, autorisation d'occupation du domaine public maritime — noté Vigilance.</t>
  </si>
  <si>
    <t>La redevance de capacité couvre 25 ans. Le mécanisme de prix est noté Vigilance : le plafond de répercussion du coût de l'énergie laisse au projet une exposition résiduelle sur son principal poste de charges.</t>
  </si>
  <si>
    <t>Disponibilité constatée de 94 % contre 97 % contractuels : des déductions s'appliquent. En régime R2, la performance technique est portée par le projet, non par l'acheteur.</t>
  </si>
  <si>
    <t>Sûretés constituées, mais la substitution du prêteur dans l'autorisation d'occupation du domaine public maritime reste à confirmer auprès de l'autorité concédante.</t>
  </si>
  <si>
    <t>Un paiement à la disponibilité n'est pas un take-or-pay. L'acheteur porte le risque de demande ; le projet porte le risque de performance et, ici, une part du risque énergie. La phase de montée en charge relève le seuil de 0,05, et le stress énergie fait tomber N2 à 20, ce qui suffit à ramener le noyau à 57,5.</t>
  </si>
  <si>
    <t>CAS 3 · Hôtel 4 étoiles, 220 clés</t>
  </si>
  <si>
    <t>SPV « Atlas Hospitality » SA (fictive) — Marrakech</t>
  </si>
  <si>
    <t>Hôtel exploité sous contrat de gestion par un groupe international. Aucun contrat de revenus : prix et volume sont intégralement portés par le projet.</t>
  </si>
  <si>
    <t>Construction et second œuvre</t>
  </si>
  <si>
    <t>Dette senior (15 ans, 6,5 %)</t>
  </si>
  <si>
    <t>Terrain</t>
  </si>
  <si>
    <t>Mobilier et équipements</t>
  </si>
  <si>
    <t>Frais, intérêts intercalaires et pré-ouverture</t>
  </si>
  <si>
    <t>Taux d’occupation retenu</t>
  </si>
  <si>
    <t>65 %</t>
  </si>
  <si>
    <t>Prix moyen (ADR)</t>
  </si>
  <si>
    <t>1 350 MAD</t>
  </si>
  <si>
    <t>Chiffre d’affaires</t>
  </si>
  <si>
    <t>98 MMAD/an</t>
  </si>
  <si>
    <t>Charges d’exploitation</t>
  </si>
  <si>
    <t>EBITDA (GOP après loyer de gestion)</t>
  </si>
  <si>
    <t>36 MMAD/an</t>
  </si>
  <si>
    <t>CFADS</t>
  </si>
  <si>
    <t>30 MMAD/an</t>
  </si>
  <si>
    <t>25,5 MMAD/an, semestriel</t>
  </si>
  <si>
    <t>Saisonnalité</t>
  </si>
  <si>
    <t>S1 55 % du CFADS annuel, S2 45 %</t>
  </si>
  <si>
    <t>Occupation ramenée de 65 % à 55 %, soit un chiffre d’affaires en recul de 15 %</t>
  </si>
  <si>
    <t>An 2 · S1 (haute saison)</t>
  </si>
  <si>
    <t>An 2 · S2 (creux estival)</t>
  </si>
  <si>
    <t>An 5 · S1</t>
  </si>
  <si>
    <t>An 5 · S2</t>
  </si>
  <si>
    <t>DSRA 6 mois de service, pas de ligne saisonnière dédiée</t>
  </si>
  <si>
    <t>Quote-part de dette 50 %, gearing 1,00 — structure très capitalisée</t>
  </si>
  <si>
    <t>Dirhams, taux fixe ; amortissement complet sur 15 ans</t>
  </si>
  <si>
    <t>Sponsor de premier rang, fonds propres intégralement libérés, gouvernance exemplaire : le domaine est noté 100.</t>
  </si>
  <si>
    <t>Aucun contrat de revenus. Prix et volume sont exposés au marché, la concurrence marrakchie est intense : le domaine est noté 50 sur ses trois sous-critères.</t>
  </si>
  <si>
    <t>Documentation, sûretés et autorisations sans réserve : le domaine est noté 100.</t>
  </si>
  <si>
    <t>Consommation d'eau en zone de stress hydrique : le climat résiduel est noté Vigilance malgré un dossier social et environnemental de bonne facture.</t>
  </si>
  <si>
    <t>C'est la démonstration centrale du modèle. Le dossier est excellent presque partout : D1 et D8 à 100, D3 à 95, D2 à 95. Le score calculé atteint 73,7, soit la note 7. Mais le DSCR minimum tombe à 1,06 sur le creux estival, très en dessous du seuil critique de 1,60 applicable à un hôtel exposé au marché, et le DSCR sous stress passe sous 1,00. Les plafonds C2 et C3 ramènent la note approuvée à 4. Aucune qualité de sponsor ne compense une trésorerie qui ne couvre pas une échéance.</t>
  </si>
  <si>
    <t>CAS 4 — variante A · Unité agro-industrielle de trituration et conditionnement</t>
  </si>
  <si>
    <t>SPV « Doukkala Agro » SA (fictive) — Région de Doukkala-Abda</t>
  </si>
  <si>
    <t>Unité transformant une production agricole locale sous contrats d'enlèvement à prix convenu mais volume exposé. Structure initiale : amortissement semestriel linéaire, change non couvert.</t>
  </si>
  <si>
    <t>Ligne de production et bâtiments</t>
  </si>
  <si>
    <t>Dette senior (10 ans, 6,0 %), amortissement linéaire</t>
  </si>
  <si>
    <t>Stockage et froid</t>
  </si>
  <si>
    <t>Terrain et aménagements</t>
  </si>
  <si>
    <t>Frais et intérêts intercalaires</t>
  </si>
  <si>
    <t>Dotation DSRA</t>
  </si>
  <si>
    <t>380 MMAD/an</t>
  </si>
  <si>
    <t>320 MMAD/an</t>
  </si>
  <si>
    <t>52 MMAD/an</t>
  </si>
  <si>
    <t>Campagne concentrée sur le premier semestre : 42 MMAD contre 10 MMAD</t>
  </si>
  <si>
    <t>34 MMAD/an, soit 17 MMAD par semestre</t>
  </si>
  <si>
    <t>Achats importés non couverts</t>
  </si>
  <si>
    <t>45 MMAD/an nets des recettes à l’export</t>
  </si>
  <si>
    <t>Récolte en recul de 20 % sous stress hydrique, soit un chiffre d’affaires en baisse de 15 %</t>
  </si>
  <si>
    <t>An 3 · S1 (campagne)</t>
  </si>
  <si>
    <t>An 3 · S2 (intercampagne)</t>
  </si>
  <si>
    <t>An 6 · S1 (campagne)</t>
  </si>
  <si>
    <t>An 6 · S2 (intercampagne)</t>
  </si>
  <si>
    <t>DSRA 3 mois ; aucune ligne de campagne dédiée au creux d’intercampagne</t>
  </si>
  <si>
    <t>Quote-part de dette 59,5 %, gearing 1,47</t>
  </si>
  <si>
    <t>Exposition nette en devises de 45 MMAD non couverte, soit 132 % du service annuel</t>
  </si>
  <si>
    <t>Contrats d'enlèvement à prix convenu mais sans quantité garantie : la structure des recettes, le mécanisme de prix et le marché sont tous notés Vigilance.</t>
  </si>
  <si>
    <t>Le climat résiduel est noté Critique : la ressource en eau du bassin conditionne directement le volume d'intrants, sans plan d'adaptation financé.</t>
  </si>
  <si>
    <t>Le piège du ratio annuel. Le DSCR annuel ressort à 1,53, ce qui aurait été lu comme Favorable sur l'ancienne ligne sectorielle agro-industrie. Le DSCR minimum par échéance est de 0,59 sur le semestre d'intercampagne : l'échéance n'est pas payable sans trésorerie externe. Le plafond C1 s'applique, le stress hydrique fait passer le DSCR stressé sous 1,00 (C3) et l'exposition de change non couverte déclenche C6.</t>
  </si>
  <si>
    <t>CAS 4 — variante B · Unité agro-industrielle — structure restructurée</t>
  </si>
  <si>
    <t>Même actif, même marché, même grille qualitative. Trois corrections de montage : amortissement sculpté sur la campagne, apport complémentaire de 40 MMAD, couverture de change portée à 90 %.</t>
  </si>
  <si>
    <t>Dette senior (10 ans, 6,0 %), amortissement sculpté</t>
  </si>
  <si>
    <t>Ligne de campagne dédiée (engagée)</t>
  </si>
  <si>
    <t>380 MMAD/an — inchangé</t>
  </si>
  <si>
    <t>52 MMAD/an — inchangé</t>
  </si>
  <si>
    <t>Service sculpté</t>
  </si>
  <si>
    <t>25 MMAD en campagne, 3,5 MMAD en intercampagne</t>
  </si>
  <si>
    <t>Couverture de change</t>
  </si>
  <si>
    <t>90 % des achats importés</t>
  </si>
  <si>
    <t>Exposition nette résiduelle</t>
  </si>
  <si>
    <t>4,5 MMAD, soit 16 % du service annuel</t>
  </si>
  <si>
    <t>Même choc : récolte en recul de 20 % sous stress hydrique</t>
  </si>
  <si>
    <t>DSRA 6 mois et ligne de campagne engagée de 25 MMAD</t>
  </si>
  <si>
    <t>Quote-part de dette 50 %, gearing 1,00</t>
  </si>
  <si>
    <t>Couverture de change portée à 90 % : exposition nette ramenée à 16 % du service</t>
  </si>
  <si>
    <t>Trois corrections de montage, aucun changement de marché ni de grille qualitative, et la note passe de 3 à 6. Le modèle n'a pas seulement sanctionné : il a désigné précisément quoi corriger — le profil d'amortissement, le niveau de dette et la couverture de change.</t>
  </si>
  <si>
    <t>CAS 5 · Centrale PV d’autoproduction 12 MWc</t>
  </si>
  <si>
    <t>SPV « Gharb Énergie » SARL (fictive) — Zone industrielle de Kénitra</t>
  </si>
  <si>
    <t>Centrale vendant sa production à un industriel privé voisin sous contrat ferme de 15 ans. Petit ticket éligible au régime d'instruction simplifié.</t>
  </si>
  <si>
    <t>Contrat EPC clé-en-main</t>
  </si>
  <si>
    <t>Dette senior (12 ans, 6,0 %)</t>
  </si>
  <si>
    <t>Raccordement et poste de livraison</t>
  </si>
  <si>
    <t>Frais et contingence</t>
  </si>
  <si>
    <t>Production nette</t>
  </si>
  <si>
    <t>21,6 GWh/an</t>
  </si>
  <si>
    <t>Tarif contractuel</t>
  </si>
  <si>
    <t>0,80 MAD/kWh</t>
  </si>
  <si>
    <t>17,3 MMAD/an</t>
  </si>
  <si>
    <t>2,3 MMAD/an</t>
  </si>
  <si>
    <t>13,2 MMAD/an</t>
  </si>
  <si>
    <t>7,16 MMAD/an, semestriel</t>
  </si>
  <si>
    <t>Production P90 (− 8 %) et retard de paiement de l’acheteur de 90 jours</t>
  </si>
  <si>
    <t>An 12 · S1</t>
  </si>
  <si>
    <t>An 12 · S2</t>
  </si>
  <si>
    <t>DSRA 6 mois de service</t>
  </si>
  <si>
    <t>Quote-part de dette 56,8 %, gearing 1,25</t>
  </si>
  <si>
    <t>Dirhams, taux fixe, amortissement complet</t>
  </si>
  <si>
    <t>L'acheteur est un industriel privé non noté, qui porte 100 % des recettes du projet. L'analyse interne le situe en catégorie spéculative. Aucun preneur de substitution n'est identifié à ce tarif.</t>
  </si>
  <si>
    <t>Le régime simplifié en action : 25 notes de sous-critère au lieu de 75, aucune revue externe imposée. Le noyau financier reste complet et ressort à 97, ce qui est excellent. Mais la concentration sur un acheteur unique non noté déclenche le plafond C10, et la note approuvée tombe de 8 à 6. Alléger la grille de jugement n'allège jamais les plafonds.</t>
  </si>
  <si>
    <t>MODELE</t>
  </si>
  <si>
    <t>Nouveau dossier — intitulé du projet</t>
  </si>
  <si>
    <t>SPV — localisation</t>
  </si>
  <si>
    <t>Résumé du projet : objet, contrat de recettes, financement.</t>
  </si>
  <si>
    <t>Description du scénario défavorable</t>
  </si>
  <si>
    <t>13 · CONCLUSION DE L'ANALYSTE</t>
  </si>
  <si>
    <t>Synthèse des dossiers</t>
  </si>
  <si>
    <t>Une colonne par onglet de dossier, lue en direct. Les dossiers créés par « Nouveau dossier » sont ajoutés automatiquement ; sans macros, tapez le nom de l'onglet en ligne 4.</t>
  </si>
  <si>
    <t>Onglet</t>
  </si>
  <si>
    <t>C4A</t>
  </si>
  <si>
    <t>C4B</t>
  </si>
  <si>
    <t>Intitulé du dossier</t>
  </si>
  <si>
    <t>A1</t>
  </si>
  <si>
    <t>Régime de revenus</t>
  </si>
  <si>
    <t>B35</t>
  </si>
  <si>
    <t>Seuil DSCR critique applicable</t>
  </si>
  <si>
    <t>B67</t>
  </si>
  <si>
    <t>DSCR minimum par échéance</t>
  </si>
  <si>
    <t>D133</t>
  </si>
  <si>
    <t>DSCR minimum sous stress</t>
  </si>
  <si>
    <t>D134</t>
  </si>
  <si>
    <t>DSCR moyen (indicatif)</t>
  </si>
  <si>
    <t>D135</t>
  </si>
  <si>
    <t>DSCR annuel minimum (indicatif)</t>
  </si>
  <si>
    <t>D136</t>
  </si>
  <si>
    <t>D7 — noyau financier</t>
  </si>
  <si>
    <t>D148</t>
  </si>
  <si>
    <t>Score global sur 100</t>
  </si>
  <si>
    <t>B217</t>
  </si>
  <si>
    <t>B218</t>
  </si>
  <si>
    <t>Plafond le plus contraignant</t>
  </si>
  <si>
    <t>B252</t>
  </si>
  <si>
    <t>B255</t>
  </si>
  <si>
    <t>B256</t>
  </si>
  <si>
    <t>Saisies obligatoires manquantes</t>
  </si>
  <si>
    <t>Prochaine saisie</t>
  </si>
  <si>
    <t>Les trois démonstrations à retenir</t>
  </si>
  <si>
    <t>CAS 3 — Anti-compensation : un score de 73,7 (note 7) ramené à 4 par les plafonds C2 et C3. Un sponsor à 100 et une documentation à 100 ne compensent pas un DSCR de 1,06 sur le creux estival.</t>
  </si>
  <si>
    <t>CAS 4A vs 4B — Le ratio annuel trompe : 1,53 en annuel, 0,59 par échéance. Après sculpture de l'amortissement, apport complémentaire et couverture de change, la note passe de 3 à 6 sans que le marché ait changé.</t>
  </si>
  <si>
    <t>CAS 5 — Proportionnalité : le régime simplifié allège la grille de jugement, jamais les plafonds. Un noyau financier à 97 reste plafonné à 6 par la concentration sur un acheteur unique non noté.</t>
  </si>
  <si>
    <t>Fiche comité — notation Project Finance (modèle V8)</t>
  </si>
  <si>
    <t>Choisissez le dossier dans la cellule jaune. Tout est lu dans l'onglet du dossier ; imprimez la page ou utilisez « Exporter en PDF ».</t>
  </si>
  <si>
    <t>Dossier (nom de l'onglet)</t>
  </si>
  <si>
    <t>Édité le</t>
  </si>
  <si>
    <t>IDENTIFICATION</t>
  </si>
  <si>
    <t>Intitulé</t>
  </si>
  <si>
    <t>Société de projet — localisation</t>
  </si>
  <si>
    <t>Résumé</t>
  </si>
  <si>
    <t>NOTATION</t>
  </si>
  <si>
    <t>Verrous actifs (X, B)</t>
  </si>
  <si>
    <t>ROUTAGE ET PROPORTIONNALITÉ</t>
  </si>
  <si>
    <t>Régime de proportionnalité (S / M / L)</t>
  </si>
  <si>
    <t>INDICATEURS FINANCIERS</t>
  </si>
  <si>
    <t>Repère</t>
  </si>
  <si>
    <t>DSCR minimum par échéance (retenu)</t>
  </si>
  <si>
    <t>Couverture du besoin à terminaison</t>
  </si>
  <si>
    <t>Quote-part de dette</t>
  </si>
  <si>
    <t>LLCR</t>
  </si>
  <si>
    <t>DSRA (mois de service)</t>
  </si>
  <si>
    <t>CAPEX du projet (MMAD)</t>
  </si>
  <si>
    <t>SCORES PAR DOMAINE</t>
  </si>
  <si>
    <t>Score / 100</t>
  </si>
  <si>
    <t>Poids (phase)</t>
  </si>
  <si>
    <t>SCORE GLOBAL</t>
  </si>
  <si>
    <t>CE QUE LE DOSSIER ENSEIGNE / CONCLUSION DE L'ANALYSTE</t>
  </si>
  <si>
    <t>AVIS ET DÉCISION DU COMITÉ (à compléter à la main)</t>
  </si>
  <si>
    <t>Décision</t>
  </si>
  <si>
    <t>Conditions et réserves</t>
  </si>
  <si>
    <t>Date du comité</t>
  </si>
  <si>
    <t>Signatures</t>
  </si>
  <si>
    <t>Outil de scoring Project Finance — modèle V8</t>
  </si>
  <si>
    <t>Version 2 de l'outil · notes calculées par formules, macros pour créer, contrôler, imprimer et tracer.</t>
  </si>
  <si>
    <t>SCORER UN PROJET EN 5 ÉTAPES</t>
  </si>
  <si>
    <t>1. Cliquez « Nouveau dossier » (à droite) et donnez un nom court à l'onglet, par exemple PORT-NADOR.</t>
  </si>
  <si>
    <t>2. Remplissez les cellules ORANGE : ce sont les saisies obligatoires encore vides. Elles deviennent jaunes une fois remplies. Sélectionnez une cellule pour lire l'aide qui s'affiche ; les listes déroulantes évitent les fautes de frappe.</t>
  </si>
  <si>
    <t>3. Suivez la ligne « À SAISIR » en haut du dossier : elle compte ce qui manque et donne un lien vers la prochaine cellule à remplir. La barre « Aller à la section » permet de circuler dans le dossier.</t>
  </si>
  <si>
    <t>4. Lisez le tableau de bord : note approuvée, plafonds et verrous actifs, statut. La note se recalcule à chaque saisie.</t>
  </si>
  <si>
    <t>5. Cliquez « Contrôler la saisie », puis « Fiche comité » pour imprimer la page de synthèse ou l'exporter en PDF.</t>
  </si>
  <si>
    <t>LÉGENDE</t>
  </si>
  <si>
    <t>Saisie obligatoire manquante</t>
  </si>
  <si>
    <t>Calcul</t>
  </si>
  <si>
    <t>Note ≥ 8</t>
  </si>
  <si>
    <t>Note 6 ou 7 — Vigilance</t>
  </si>
  <si>
    <t>Note ≤ 5</t>
  </si>
  <si>
    <t>Les cellules de calcul sont protégées (sans mot de passe) pour éviter d'écraser une formule par erreur. Pour modifier la structure : onglet Révision › Ôter la protection de la feuille.</t>
  </si>
  <si>
    <t>VOS DOSSIERS — cliquez sur un nom pour ouvrir le dossier</t>
  </si>
  <si>
    <t>Note approuvée</t>
  </si>
  <si>
    <t>Saisies manquantes</t>
  </si>
  <si>
    <t>BON À SAVOIR</t>
  </si>
  <si>
    <t>Les six dossiers fournis (C1 à C5) sont FICTIFS et pédagogiques. Les seuils, poids et plafonds de l'onglet Paramètres sont des paramètres CANDIDATS, non approuvés par le Comité de validation : ne pas les utiliser en production avant validation.</t>
  </si>
  <si>
    <t>Macros : activez-les à l'ouverture (bandeau « Activer le contenu »). Sans macros, tout se calcule quand même ; seuls les boutons sont inactifs. Pour créer un dossier sans macros : clic droit sur un onglet › Afficher › Modèle, puis clic droit sur Modèle › Déplacer ou copier › Créer une copie ; renommez la copie et tapez son nom en ligne 4 de la Synthèse.</t>
  </si>
  <si>
    <t>Automatique : seuils DSCR (régime + secteur + phase), DSCR par échéance et stressé, N1 à N3, plafonds C1 à C15, verrous B3 et B7, régime de proportionnalité S / M / L avec escalade, poids des domaines selon la phase.</t>
  </si>
  <si>
    <t>Onglet Diagnostic : anomalies du classeur d'origine et corrections de la version 2. Onglet Journal : trace des créations, contrôles, exports et changements de routage.</t>
  </si>
  <si>
    <t>Diagnostic du classeur d'origine « Cas_Etude_PF_Maroc_V8.xlsx »</t>
  </si>
  <si>
    <t>Chaque constat est vérifié par recalcul des formules d'origine ; la colonne de droite décrit la correction apportée dans cet outil.</t>
  </si>
  <si>
    <t>N°</t>
  </si>
  <si>
    <t>Zone</t>
  </si>
  <si>
    <t>Gravité</t>
  </si>
  <si>
    <t>Constat</t>
  </si>
  <si>
    <t>Correction dans l'outil</t>
  </si>
  <si>
    <t>Synthèse</t>
  </si>
  <si>
    <t>Élevée</t>
  </si>
  <si>
    <t>L'onglet Synthèse ne contient aucune formule : ses 84 valeurs sont saisies en dur. Modifier un cas ne change rien à la synthèse.</t>
  </si>
  <si>
    <t>Synthèse lue dans les dossiers par formule (INDIRECT sur l'onglet et l'adresse) ; colonnes ajoutées automatiquement par la macro.</t>
  </si>
  <si>
    <t>Moyenne</t>
  </si>
  <si>
    <t>« DSCR annuel agrégé » porte deux définitions différentes : l'onglet de cas calcule un ratio sur toutes les périodes (1,368 pour C1), la synthèse affiche le minimum des ratios annuels (1,347). Écart dans les 6 cas.</t>
  </si>
  <si>
    <t>Deux lignes distinctes et nommées : « DSCR moyen sur l'horizon » et « DSCR annuel minimum, semestres agrégés », toutes deux indicatives.</t>
  </si>
  <si>
    <t>Routage</t>
  </si>
  <si>
    <t>Régime, secteur et phase sont du texte : les seuils pointent sur des cellules fixes du barème (ex. =Barèmes!B6) choisies à la main pour chaque cas. Changer le régime ou la phase ne change ni les seuils ni les poids de domaine.</t>
  </si>
  <si>
    <t>Listes déroulantes ; seuils et poids retrouvés par INDEX/EQUIV sur le code choisi.</t>
  </si>
  <si>
    <t>Noyau financier</t>
  </si>
  <si>
    <t>Les poids N1 à N6 sont recopiés en dur dans chaque cas au lieu de pointer sur le barème ; les ancres 20/50/80/100 sont écrites dans les formules.</t>
  </si>
  <si>
    <t>Poids et ancres lus dans Paramètres (plages nommées) : un changement s'applique à tous les dossiers.</t>
  </si>
  <si>
    <t>Le DSCR sous scénario défavorable est une constante saisie (ex. 1,117) : il ne dépend pas de l'échéancier. Modifier un CFADS ne change pas N2.</t>
  </si>
  <si>
    <t>DSCR stressé recalculé à chaque période à partir d'un choc sur le CFADS, ou d'un CFADS stressé saisi. Choc des cas calibré pour reproduire la valeur d'origine.</t>
  </si>
  <si>
    <t>N3 est saisi même en phase de construction, alors que la couverture à terminaison est calculée juste au-dessus et que la doctrine fixe le barème (≥ 110 % → 10 ; 100-110 % → 8 ; 95-100 % avec plan → 5 ; sinon 2 et B3).</t>
  </si>
  <si>
    <t>N3 calculé en P1 à partir de la couverture ; saisi hors P1 (LLCR), le barème LLCR n'étant pas publié par la doctrine.</t>
  </si>
  <si>
    <t>Plafonds</t>
  </si>
  <si>
    <t>Les plafonds sont tapés à la main dans chaque cas. Aucune règle ne se déclenche seule : baisser un CFADS sous le seuil critique ne plafonne pas la note. C2 n'est pas listé pour le cas 4A alors que son DSCR (0,59) est sous le seuil critique (1,35).</t>
  </si>
  <si>
    <t>Les quinze plafonds C1 à C15 sont évalués par formule à partir des données ; « n.r. » signale une donnée manquante.</t>
  </si>
  <si>
    <t>Verrous</t>
  </si>
  <si>
    <t>Les exclusions X1-X4 et les blocages B1-B8 de la doctrine sont absents du classeur.</t>
  </si>
  <si>
    <t>Section Verrous : saisie Oui/Non, détection automatique de B3 (couverture) et B7 (complétude), statut de la note.</t>
  </si>
  <si>
    <t>Complétude</t>
  </si>
  <si>
    <t>Aucun contrôle de complétude ni plafond C15 : une grille partiellement remplie produit une note normale.</t>
  </si>
  <si>
    <t>Couverture pondérée et complétude calculées ; C15 et B7 déclenchés en dessous des seuils ; information insuffisante comptée à 20, sans renormalisation.</t>
  </si>
  <si>
    <t>Proportionnalité</t>
  </si>
  <si>
    <t>Le régime S/M/L est saisi. Trois cas contredisent la doctrine : C1 (contrat de 25 ans &gt; 20 ans), C4A (devises non couvertes, plafonds actifs) et C4B (exposition de change résiduelle de 16 %) relèvent du régime L, non M.</t>
  </si>
  <si>
    <t>Régime calculé à partir des conditions S et d'escalade L, puis escalade automatique (verrou : S → M ; plafond : M → L).</t>
  </si>
  <si>
    <t>Aucune liste de validation : une note de 75 ou 90 est acceptée alors que l'échelle ne connaît que 100, 80, 50 et 20.</t>
  </si>
  <si>
    <t>Listes déroulantes sur toutes les notes, codes et réponses Oui/Non.</t>
  </si>
  <si>
    <t>Pas de garde : un service de la dette nul (différé) produit #DIV/0!, un CFADS négatif est classé comme un ratio ordinaire.</t>
  </si>
  <si>
    <t>Différé signalé comme tel ; CFADS négatif noté Critique d'office sur N1, conformément à la doctrine.</t>
  </si>
  <si>
    <t>Justifications</t>
  </si>
  <si>
    <t>Faible</t>
  </si>
  <si>
    <t>Les justifications contiennent des chiffres figés (« DSCR minimum 1.296 », avec un point) qui deviennent faux dès qu'une saisie change.</t>
  </si>
  <si>
    <t>Mesures N1 à N3 rédigées par formule à partir des valeurs calculées, au format français.</t>
  </si>
  <si>
    <t>Échéancier</t>
  </si>
  <si>
    <t>Chaque cas ne comporte que 4 à 6 périodes représentatives : le « DSCR minimum » est le minimum d'un échantillon, non de toutes les échéances, ce que la doctrine exige (blocage B6).</t>
  </si>
  <si>
    <t>Échéancier de 60 périodes. Les cas conservent leurs périodes d'origine ; B6 est renseigné « Oui » avec un commentaire rappelant la limite.</t>
  </si>
  <si>
    <t>Outil</t>
  </si>
  <si>
    <t>Aucune macro : ajouter un dossier suppose de recopier un onglet à la main et de réécrire la synthèse.</t>
  </si>
  <si>
    <t>Macros : nouveau dossier, duplication, suppression, contrôle de saisie, recalcul, export PDF, synthèse et journal.</t>
  </si>
  <si>
    <t>Résultats : classeur d'origine face à l'outil corrigé (colonnes « Outil » lues en direct dans les dossiers)</t>
  </si>
  <si>
    <t>Cas</t>
  </si>
  <si>
    <t>Note approuvée d'origine</t>
  </si>
  <si>
    <t>Note approuvée — outil</t>
  </si>
  <si>
    <t>Régime d'origine</t>
  </si>
  <si>
    <t>Régime — outil</t>
  </si>
  <si>
    <t>Plafonds — outil</t>
  </si>
  <si>
    <t>M</t>
  </si>
  <si>
    <t>L</t>
  </si>
  <si>
    <t>S</t>
  </si>
  <si>
    <t>Les notes approuvées sont inchangées : les corrections portent sur la mécanique (routage, plafonds, stress, synthèse), pas sur le jugement des cas. Le régime de proportionnalité change pour C1, C4A et C4B, en application de la doctrine. Les nouveaux champs (exposition bancaire, qualité de l'acheteur, etc.) sont reconstitués à partir du récit : leurs cellules portent un commentaire « à confirmer ».</t>
  </si>
  <si>
    <t>Version 2 de l'outil : défauts de la première version corrigés</t>
  </si>
  <si>
    <t>Défaut constaté (version 1)</t>
  </si>
  <si>
    <t>Correction (version 2)</t>
  </si>
  <si>
    <t>Tableau de bord</t>
  </si>
  <si>
    <t>Couleur de la note : la règle « valeur ≥ 8 » classe un texte au-dessus de tout nombre. Un dossier hors périmètre (« — ») ou vide s'affichait en vert, comme une bonne note.</t>
  </si>
  <si>
    <t>Règles sur formule (ESTNUM) : vert, ambre ou rouge seulement pour une note numérique ; « — » en rouge.</t>
  </si>
  <si>
    <t>Même défaut sur la ligne NOTE APPROUVÉE : les colonnes sans dossier apparaissaient en vert.</t>
  </si>
  <si>
    <t>Même correction, appliquée aussi à l'accueil et à la fiche comité.</t>
  </si>
  <si>
    <t>Un indicateur N4 à N6 laissé vide ou noté « Info. insuffisante » comptait 0 sans rendre la note provisoire : le dossier restait « validable » avec un noyau incomplet.</t>
  </si>
  <si>
    <t>Complétude étendue à N1-N6 (B7 et C15 se déclenchent) ; indicateur non noté compté à 20, comme dans la grille.</t>
  </si>
  <si>
    <t>C5 (contrat de revenus plus court que la dette) restait « non évalué » en régime R4, où il n'existe pas de contrat de revenus.</t>
  </si>
  <si>
    <t>C5 indiqué « n.a. » (sans objet) en régime R4.</t>
  </si>
  <si>
    <t>Aucune protection : une frappe dans une cellule de formule l'écrasait sans alerte et faussait la note.</t>
  </si>
  <si>
    <t>Feuilles protégées sans mot de passe : seules les cellules jaunes acceptent une saisie.</t>
  </si>
  <si>
    <t>Rien n'indiquait ce qui restait à saisir ; montants et pourcentages acceptaient n'importe quelle valeur (15 au lieu de 15 %).</t>
  </si>
  <si>
    <t>Saisies obligatoires vides en orange, ligne « À SAISIR » avec lien vers la prochaine cellule, info-bulles, contrôles numériques avec message en français.</t>
  </si>
  <si>
    <t>Macros</t>
  </si>
  <si>
    <t>L'export PDF échouait pour un classeur ouvert depuis OneDrive ou SharePoint (chemin web) et imposait le dossier du classeur.</t>
  </si>
  <si>
    <t>Fenêtre « Enregistrer sous » pour choisir l'emplacement ; message explicite en cas d'échec.</t>
  </si>
  <si>
    <t>Un onglet copié à la main depuis le Modèle (sans macros) n'était pas reconnu par la synthèse ; le Modèle visible pouvait être rempli par erreur.</t>
  </si>
  <si>
    <t>Copies du Modèle reconnues ; Modèle masqué.</t>
  </si>
  <si>
    <t>Le contrôle de saisie s'interrompait sur une erreur d'exécution si une cellule contenait une valeur d'erreur (#N/A).</t>
  </si>
  <si>
    <t>Lecture des cellules protégée contre les valeurs d'erreur ; contrôle fondé sur la même check-list que la ligne « À SAISIR ».</t>
  </si>
  <si>
    <t>Ergonomie</t>
  </si>
  <si>
    <t>Amélioration</t>
  </si>
  <si>
    <t>Pas de page de présentation au comité ; libellés de l'échéancier à taper un par un.</t>
  </si>
  <si>
    <t>Onglet « Fiche comité » imprimable avec graphique des domaines ; boutons « Préparer l'échéancier » et « Effacer l'échéancier ».</t>
  </si>
  <si>
    <t>Journal des actions</t>
  </si>
  <si>
    <t>Alimenté automatiquement par les macros. Ne pas modifier.</t>
  </si>
  <si>
    <t>Date</t>
  </si>
  <si>
    <t>Utilisateur</t>
  </si>
  <si>
    <t>Action</t>
  </si>
  <si>
    <t>Dossier</t>
  </si>
  <si>
    <t>Détail</t>
  </si>
</sst>
</file>

<file path=xl/styles.xml><?xml version="1.0" encoding="utf-8"?>
<styleSheet xmlns="http://schemas.openxmlformats.org/spreadsheetml/2006/main">
  <numFmts count="7">
    <numFmt numFmtId="164" formatCode="0.0"/>
    <numFmt numFmtId="165" formatCode="0.00"/>
    <numFmt numFmtId="166" formatCode="0.000"/>
    <numFmt numFmtId="167" formatCode="dd/mm/yyyy"/>
    <numFmt numFmtId="168" formatCode="0.0%"/>
    <numFmt numFmtId="169" formatCode="#,##0.0"/>
    <numFmt numFmtId="170" formatCode="0%"/>
  </numFmts>
  <fonts count="21">
    <font>
      <sz val="11"/>
      <color theme="1"/>
      <name val="Calibri"/>
      <family val="2"/>
      <scheme val="minor"/>
    </font>
    <font>
      <b/>
      <sz val="16"/>
      <color rgb="FF1F4E3D"/>
      <name val="Arial"/>
      <family val="2"/>
    </font>
    <font>
      <i/>
      <sz val="10"/>
      <color rgb="FF555555"/>
      <name val="Arial"/>
      <family val="2"/>
    </font>
    <font>
      <b/>
      <sz val="11"/>
      <color rgb="FFFFFFFF"/>
      <name val="Arial"/>
      <family val="2"/>
    </font>
    <font>
      <sz val="10"/>
      <color theme="1"/>
      <name val="Arial"/>
      <family val="2"/>
    </font>
    <font>
      <sz val="10"/>
      <color rgb="FF0000FF"/>
      <name val="Arial"/>
      <family val="2"/>
    </font>
    <font>
      <sz val="10"/>
      <color rgb="FF006100"/>
      <name val="Arial"/>
      <family val="2"/>
    </font>
    <font>
      <sz val="10"/>
      <color rgb="FF7F6000"/>
      <name val="Arial"/>
      <family val="2"/>
    </font>
    <font>
      <sz val="10"/>
      <color rgb="FF9C0006"/>
      <name val="Arial"/>
      <family val="2"/>
    </font>
    <font>
      <b/>
      <sz val="10"/>
      <color theme="1"/>
      <name val="Arial"/>
      <family val="2"/>
    </font>
    <font>
      <b/>
      <u/>
      <sz val="10"/>
      <color rgb="FF0563C1"/>
      <name val="Arial"/>
      <family val="2"/>
    </font>
    <font>
      <b/>
      <sz val="10"/>
      <color rgb="FF0000FF"/>
      <name val="Arial"/>
      <family val="2"/>
    </font>
    <font>
      <b/>
      <sz val="12"/>
      <color rgb="FF0000FF"/>
      <name val="Arial"/>
      <family val="2"/>
    </font>
    <font>
      <b/>
      <sz val="20"/>
      <color theme="1"/>
      <name val="Arial"/>
      <family val="2"/>
    </font>
    <font>
      <b/>
      <sz val="12"/>
      <color theme="1"/>
      <name val="Arial"/>
      <family val="2"/>
    </font>
    <font>
      <b/>
      <sz val="16"/>
      <color rgb="FF0000FF"/>
      <name val="Arial"/>
      <family val="2"/>
    </font>
    <font>
      <sz val="10"/>
      <color rgb="FFFFFFFF"/>
      <name val="Arial"/>
      <family val="2"/>
    </font>
    <font>
      <i/>
      <sz val="10"/>
      <color rgb="FF0000FF"/>
      <name val="Arial"/>
      <family val="2"/>
    </font>
    <font>
      <u/>
      <sz val="10"/>
      <color rgb="FF0563C1"/>
      <name val="Arial"/>
      <family val="2"/>
    </font>
    <font>
      <i/>
      <sz val="8"/>
      <color rgb="FF7F7F7F"/>
      <name val="Arial"/>
      <family val="2"/>
    </font>
    <font>
      <sz val="8"/>
      <color indexed="81"/>
      <name val="Tahoma"/>
      <family val="2"/>
    </font>
  </fonts>
  <fills count="10">
    <fill>
      <patternFill patternType="none"/>
    </fill>
    <fill>
      <patternFill patternType="gray125"/>
    </fill>
    <fill>
      <patternFill patternType="solid">
        <fgColor rgb="FF1F4E3D"/>
        <bgColor indexed="64"/>
      </patternFill>
    </fill>
    <fill>
      <patternFill patternType="solid">
        <fgColor rgb="FFFFF2CC"/>
        <bgColor indexed="64"/>
      </patternFill>
    </fill>
    <fill>
      <patternFill patternType="solid">
        <fgColor rgb="FFF8CBAD"/>
        <bgColor indexed="64"/>
      </patternFill>
    </fill>
    <fill>
      <patternFill patternType="solid">
        <fgColor rgb="FFC6EFCE"/>
        <bgColor indexed="64"/>
      </patternFill>
    </fill>
    <fill>
      <patternFill patternType="solid">
        <fgColor rgb="FFFFE699"/>
        <bgColor indexed="64"/>
      </patternFill>
    </fill>
    <fill>
      <patternFill patternType="solid">
        <fgColor rgb="FFDDE8E3"/>
        <bgColor indexed="64"/>
      </patternFill>
    </fill>
    <fill>
      <patternFill patternType="solid">
        <fgColor rgb="FFF2F2F2"/>
        <bgColor indexed="64"/>
      </patternFill>
    </fill>
    <fill>
      <patternFill patternType="solid">
        <fgColor rgb="FFEEF3F1"/>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s>
  <cellStyleXfs count="1">
    <xf numFmtId="0" fontId="0" fillId="0" borderId="0"/>
  </cellStyleXfs>
  <cellXfs count="48">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5" fillId="3" borderId="1" xfId="0" applyFont="1" applyFill="1" applyBorder="1" applyAlignment="1" applyProtection="1">
      <alignment horizontal="center" vertical="center"/>
      <protection locked="0"/>
    </xf>
    <xf numFmtId="0" fontId="5" fillId="4" borderId="1" xfId="0" applyFont="1" applyFill="1" applyBorder="1" applyAlignment="1">
      <alignment horizontal="center" vertical="center"/>
    </xf>
    <xf numFmtId="0" fontId="4" fillId="0" borderId="1" xfId="0" applyFont="1" applyBorder="1" applyAlignment="1">
      <alignment horizontal="center" vertical="center"/>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7" borderId="1" xfId="0" applyFont="1" applyFill="1" applyBorder="1" applyAlignment="1">
      <alignment vertical="center" wrapText="1"/>
    </xf>
    <xf numFmtId="0" fontId="10" fillId="0" borderId="1" xfId="0" applyFont="1" applyBorder="1" applyAlignment="1">
      <alignment vertical="center"/>
    </xf>
    <xf numFmtId="0" fontId="4" fillId="0" borderId="1" xfId="0" applyFont="1" applyBorder="1" applyAlignment="1">
      <alignment vertical="center" wrapText="1"/>
    </xf>
    <xf numFmtId="164" fontId="9"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0" fontId="11" fillId="3" borderId="1" xfId="0" applyFont="1" applyFill="1" applyBorder="1" applyAlignment="1" applyProtection="1">
      <alignment vertical="center" wrapText="1"/>
      <protection locked="0"/>
    </xf>
    <xf numFmtId="0" fontId="4" fillId="0" borderId="1" xfId="0" applyFont="1" applyBorder="1" applyAlignment="1">
      <alignment vertical="center"/>
    </xf>
    <xf numFmtId="165" fontId="4" fillId="0" borderId="1" xfId="0" applyNumberFormat="1" applyFont="1" applyBorder="1" applyAlignment="1">
      <alignment vertical="center"/>
    </xf>
    <xf numFmtId="166" fontId="4" fillId="0" borderId="1" xfId="0" applyNumberFormat="1" applyFont="1" applyBorder="1" applyAlignment="1">
      <alignment vertical="center"/>
    </xf>
    <xf numFmtId="164" fontId="4" fillId="0" borderId="1" xfId="0" applyNumberFormat="1" applyFont="1" applyBorder="1" applyAlignment="1">
      <alignment vertical="center"/>
    </xf>
    <xf numFmtId="0" fontId="9" fillId="0" borderId="1" xfId="0" applyFont="1" applyBorder="1" applyAlignment="1">
      <alignment vertical="center"/>
    </xf>
    <xf numFmtId="0" fontId="9" fillId="8" borderId="1" xfId="0" applyFont="1" applyFill="1" applyBorder="1" applyAlignment="1">
      <alignment vertical="center"/>
    </xf>
    <xf numFmtId="0" fontId="12" fillId="3" borderId="2" xfId="0" applyFont="1" applyFill="1" applyBorder="1" applyAlignment="1" applyProtection="1">
      <alignment horizontal="center" vertical="center"/>
      <protection locked="0"/>
    </xf>
    <xf numFmtId="167" fontId="4" fillId="0" borderId="1" xfId="0" applyNumberFormat="1" applyFont="1" applyBorder="1" applyAlignment="1">
      <alignment horizontal="center" vertical="center"/>
    </xf>
    <xf numFmtId="0" fontId="13" fillId="0" borderId="2" xfId="0" applyFont="1" applyBorder="1" applyAlignment="1">
      <alignment horizontal="center" vertical="center"/>
    </xf>
    <xf numFmtId="0" fontId="14" fillId="0" borderId="1" xfId="0" applyFont="1" applyBorder="1" applyAlignment="1">
      <alignment vertical="center" wrapText="1"/>
    </xf>
    <xf numFmtId="168" fontId="4" fillId="0" borderId="1" xfId="0" applyNumberFormat="1" applyFont="1" applyBorder="1" applyAlignment="1">
      <alignment vertical="center"/>
    </xf>
    <xf numFmtId="169" fontId="4" fillId="0" borderId="1" xfId="0" applyNumberFormat="1" applyFont="1" applyBorder="1" applyAlignment="1">
      <alignment vertical="center"/>
    </xf>
    <xf numFmtId="0" fontId="4" fillId="0" borderId="1" xfId="0" applyFont="1" applyBorder="1" applyAlignment="1" applyProtection="1">
      <alignment vertical="top" wrapText="1"/>
      <protection locked="0"/>
    </xf>
    <xf numFmtId="0" fontId="15" fillId="3" borderId="0" xfId="0" applyFont="1" applyFill="1" applyAlignment="1" applyProtection="1">
      <alignment vertical="center"/>
      <protection locked="0"/>
    </xf>
    <xf numFmtId="0" fontId="16" fillId="0" borderId="0" xfId="0" applyFont="1" applyAlignment="1">
      <alignment vertical="center"/>
    </xf>
    <xf numFmtId="0" fontId="17" fillId="3" borderId="0" xfId="0" applyFont="1" applyFill="1" applyAlignment="1" applyProtection="1">
      <alignment vertical="center"/>
      <protection locked="0"/>
    </xf>
    <xf numFmtId="0" fontId="5" fillId="3" borderId="0" xfId="0" applyFont="1" applyFill="1" applyAlignment="1" applyProtection="1">
      <alignment vertical="top" wrapText="1"/>
      <protection locked="0"/>
    </xf>
    <xf numFmtId="0" fontId="9" fillId="0" borderId="1" xfId="0" applyFont="1" applyBorder="1" applyAlignment="1">
      <alignment vertical="center" wrapText="1"/>
    </xf>
    <xf numFmtId="166" fontId="9" fillId="0" borderId="1" xfId="0" applyNumberFormat="1" applyFont="1" applyBorder="1" applyAlignment="1">
      <alignment horizontal="center" vertical="center"/>
    </xf>
    <xf numFmtId="170" fontId="9" fillId="0" borderId="1" xfId="0" applyNumberFormat="1" applyFont="1" applyBorder="1" applyAlignment="1">
      <alignment horizontal="center" vertical="center"/>
    </xf>
    <xf numFmtId="0" fontId="9" fillId="9" borderId="1" xfId="0" applyFont="1" applyFill="1" applyBorder="1" applyAlignment="1">
      <alignment vertical="center"/>
    </xf>
    <xf numFmtId="0" fontId="18" fillId="9" borderId="1" xfId="0" applyFont="1" applyFill="1" applyBorder="1" applyAlignment="1">
      <alignment horizontal="center" vertical="center"/>
    </xf>
    <xf numFmtId="169" fontId="5" fillId="3" borderId="1" xfId="0" applyNumberFormat="1" applyFont="1" applyFill="1" applyBorder="1" applyAlignment="1" applyProtection="1">
      <alignment vertical="center"/>
      <protection locked="0"/>
    </xf>
    <xf numFmtId="1" fontId="5" fillId="3" borderId="1" xfId="0" applyNumberFormat="1" applyFont="1" applyFill="1" applyBorder="1" applyAlignment="1" applyProtection="1">
      <alignment vertical="center"/>
      <protection locked="0"/>
    </xf>
    <xf numFmtId="0" fontId="5" fillId="3" borderId="1" xfId="0" applyFont="1" applyFill="1" applyBorder="1" applyAlignment="1" applyProtection="1">
      <alignment vertical="center"/>
      <protection locked="0"/>
    </xf>
    <xf numFmtId="169" fontId="9" fillId="0" borderId="3" xfId="0" applyNumberFormat="1" applyFont="1" applyBorder="1" applyAlignment="1">
      <alignment vertical="center"/>
    </xf>
    <xf numFmtId="168" fontId="5" fillId="3" borderId="1" xfId="0" applyNumberFormat="1" applyFont="1" applyFill="1" applyBorder="1" applyAlignment="1" applyProtection="1">
      <alignment vertical="center"/>
      <protection locked="0"/>
    </xf>
    <xf numFmtId="0" fontId="5" fillId="3" borderId="1" xfId="0" applyFont="1" applyFill="1" applyBorder="1" applyAlignment="1" applyProtection="1">
      <alignment vertical="center" wrapText="1"/>
      <protection locked="0"/>
    </xf>
    <xf numFmtId="165" fontId="5" fillId="3" borderId="1" xfId="0" applyNumberFormat="1" applyFont="1" applyFill="1" applyBorder="1" applyAlignment="1" applyProtection="1">
      <alignment vertical="center"/>
      <protection locked="0"/>
    </xf>
    <xf numFmtId="0" fontId="19" fillId="0" borderId="0" xfId="0" applyFont="1" applyAlignment="1">
      <alignment vertical="center" wrapText="1"/>
    </xf>
    <xf numFmtId="170" fontId="5" fillId="3" borderId="1" xfId="0" applyNumberFormat="1" applyFont="1" applyFill="1" applyBorder="1" applyAlignment="1" applyProtection="1">
      <alignment vertical="center"/>
      <protection locked="0"/>
    </xf>
  </cellXfs>
  <cellStyles count="1">
    <cellStyle name="Normal" xfId="0" builtinId="0"/>
  </cellStyles>
  <dxfs count="5">
    <dxf>
      <font>
        <color rgb="FF9C0006"/>
      </font>
      <fill>
        <patternFill>
          <bgColor rgb="FFF8CBAD"/>
        </patternFill>
      </fill>
    </dxf>
    <dxf>
      <font>
        <color rgb="FF006100"/>
      </font>
      <fill>
        <patternFill>
          <bgColor rgb="FFC6EFCE"/>
        </patternFill>
      </fill>
    </dxf>
    <dxf>
      <fill>
        <patternFill>
          <bgColor rgb="FFF8CBAD"/>
        </patternFill>
      </fill>
      <border>
        <left style="thin">
          <color rgb="FFC55A11"/>
        </left>
        <right style="thin">
          <color rgb="FFC55A11"/>
        </right>
        <top style="thin">
          <color rgb="FFC55A11"/>
        </top>
        <bottom style="thin">
          <color rgb="FFC55A11"/>
        </bottom>
        <vertical/>
        <horizontal/>
      </border>
    </dxf>
    <dxf>
      <font>
        <color rgb="FF7F6000"/>
      </font>
      <fill>
        <patternFill>
          <bgColor rgb="FFFFE699"/>
        </patternFill>
      </fill>
    </dxf>
    <dxf>
      <font>
        <color rgb="FFA6A6A6"/>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Score par domaine</a:t>
            </a:r>
          </a:p>
        </c:rich>
      </c:tx>
      <c:layout/>
    </c:title>
    <c:plotArea>
      <c:layout/>
      <c:barChart>
        <c:barDir val="bar"/>
        <c:grouping val="clustered"/>
        <c:ser>
          <c:idx val="0"/>
          <c:order val="0"/>
          <c:tx>
            <c:v>Score / 100</c:v>
          </c:tx>
          <c:spPr>
            <a:solidFill>
              <a:srgbClr val="1F4E3D"/>
            </a:solidFill>
          </c:spPr>
          <c:dLbls>
            <c:numFmt formatCode="0" sourceLinked="0"/>
            <c:showVal val="1"/>
          </c:dLbls>
          <c:cat>
            <c:numRef>
              <c:f>'Fiche comité'!$A$41:$A$49</c:f>
              <c:numCache>
                <c:formatCode>General</c:formatCode>
                <c:ptCount val="9"/>
                <c:pt idx="0">
                  <c:v>0</c:v>
                </c:pt>
                <c:pt idx="1">
                  <c:v>0</c:v>
                </c:pt>
                <c:pt idx="2">
                  <c:v>0</c:v>
                </c:pt>
                <c:pt idx="3">
                  <c:v>0</c:v>
                </c:pt>
                <c:pt idx="4">
                  <c:v>0</c:v>
                </c:pt>
                <c:pt idx="5">
                  <c:v>0</c:v>
                </c:pt>
                <c:pt idx="6">
                  <c:v>0</c:v>
                </c:pt>
                <c:pt idx="7">
                  <c:v>0</c:v>
                </c:pt>
                <c:pt idx="8">
                  <c:v>0</c:v>
                </c:pt>
              </c:numCache>
            </c:numRef>
          </c:cat>
          <c:val>
            <c:numRef>
              <c:f>'Fiche comité'!$B$41:$B$49</c:f>
              <c:numCache>
                <c:formatCode>General</c:formatCode>
                <c:ptCount val="9"/>
                <c:pt idx="0">
                  <c:v>0</c:v>
                </c:pt>
                <c:pt idx="1">
                  <c:v>0</c:v>
                </c:pt>
                <c:pt idx="2">
                  <c:v>0</c:v>
                </c:pt>
                <c:pt idx="3">
                  <c:v>0</c:v>
                </c:pt>
                <c:pt idx="4">
                  <c:v>0</c:v>
                </c:pt>
                <c:pt idx="5">
                  <c:v>0</c:v>
                </c:pt>
                <c:pt idx="6">
                  <c:v>0</c:v>
                </c:pt>
                <c:pt idx="7">
                  <c:v>0</c:v>
                </c:pt>
                <c:pt idx="8">
                  <c:v>0</c:v>
                </c:pt>
              </c:numCache>
            </c:numRef>
          </c:val>
        </c:ser>
        <c:gapWidth val="60"/>
        <c:axId val="50010001"/>
        <c:axId val="50010002"/>
      </c:barChart>
      <c:catAx>
        <c:axId val="50010001"/>
        <c:scaling>
          <c:orientation val="maxMin"/>
        </c:scaling>
        <c:axPos val="l"/>
        <c:numFmt formatCode="General" sourceLinked="1"/>
        <c:tickLblPos val="nextTo"/>
        <c:txPr>
          <a:bodyPr/>
          <a:lstStyle/>
          <a:p>
            <a:pPr>
              <a:defRPr sz="800" baseline="0"/>
            </a:pPr>
            <a:endParaRPr lang="en-US"/>
          </a:p>
        </c:txPr>
        <c:crossAx val="50010002"/>
        <c:crosses val="autoZero"/>
        <c:auto val="1"/>
        <c:lblAlgn val="ctr"/>
        <c:lblOffset val="100"/>
      </c:catAx>
      <c:valAx>
        <c:axId val="50010002"/>
        <c:scaling>
          <c:orientation val="minMax"/>
          <c:max val="100"/>
          <c:min val="0"/>
        </c:scaling>
        <c:axPos val="t"/>
        <c:majorGridlines/>
        <c:numFmt formatCode="General" sourceLinked="1"/>
        <c:tickLblPos val="nextTo"/>
        <c:txPr>
          <a:bodyPr/>
          <a:lstStyle/>
          <a:p>
            <a:pPr>
              <a:defRPr sz="800" baseline="0"/>
            </a:pPr>
            <a:endParaRPr lang="en-US"/>
          </a:p>
        </c:txPr>
        <c:crossAx val="50010001"/>
        <c:crosses val="autoZero"/>
        <c:crossBetween val="between"/>
        <c:majorUnit val="20"/>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38100</xdr:colOff>
      <xdr:row>39</xdr:row>
      <xdr:rowOff>19050</xdr:rowOff>
    </xdr:from>
    <xdr:to>
      <xdr:col>7</xdr:col>
      <xdr:colOff>552450</xdr:colOff>
      <xdr:row>50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dimension ref="B2:G46"/>
  <sheetViews>
    <sheetView showGridLines="0" tabSelected="1" workbookViewId="0">
      <pane ySplit="4" topLeftCell="A5" activePane="bottomLeft" state="frozen"/>
      <selection pane="bottomLeft"/>
    </sheetView>
  </sheetViews>
  <sheetFormatPr defaultRowHeight="15"/>
  <cols>
    <col min="1" max="1" width="2.7109375" customWidth="1"/>
    <col min="2" max="2" width="14.7109375" customWidth="1"/>
    <col min="3" max="3" width="46.7109375" customWidth="1"/>
    <col min="4" max="4" width="8.7109375" customWidth="1"/>
    <col min="5" max="5" width="11.7109375" customWidth="1"/>
    <col min="6" max="6" width="46.7109375" customWidth="1"/>
    <col min="7" max="7" width="11.7109375" customWidth="1"/>
    <col min="8" max="8" width="3.7109375" customWidth="1"/>
    <col min="9" max="9" width="32.7109375" customWidth="1"/>
  </cols>
  <sheetData>
    <row r="2" spans="2:7">
      <c r="B2" s="1" t="s">
        <v>797</v>
      </c>
    </row>
    <row r="3" spans="2:7">
      <c r="B3" s="2" t="s">
        <v>798</v>
      </c>
    </row>
    <row r="5" spans="2:7">
      <c r="B5" s="3" t="s">
        <v>799</v>
      </c>
      <c r="C5" s="3"/>
      <c r="D5" s="3"/>
      <c r="E5" s="3"/>
      <c r="F5" s="3"/>
      <c r="G5" s="3"/>
    </row>
    <row r="6" spans="2:7">
      <c r="B6" s="4" t="s">
        <v>800</v>
      </c>
      <c r="C6" s="4"/>
      <c r="D6" s="4"/>
      <c r="E6" s="4"/>
      <c r="F6" s="4"/>
      <c r="G6" s="4"/>
    </row>
    <row r="7" spans="2:7" ht="28" customHeight="1">
      <c r="B7" s="4" t="s">
        <v>801</v>
      </c>
      <c r="C7" s="4"/>
      <c r="D7" s="4"/>
      <c r="E7" s="4"/>
      <c r="F7" s="4"/>
      <c r="G7" s="4"/>
    </row>
    <row r="8" spans="2:7" ht="28" customHeight="1">
      <c r="B8" s="4" t="s">
        <v>802</v>
      </c>
      <c r="C8" s="4"/>
      <c r="D8" s="4"/>
      <c r="E8" s="4"/>
      <c r="F8" s="4"/>
      <c r="G8" s="4"/>
    </row>
    <row r="9" spans="2:7" ht="28" customHeight="1">
      <c r="B9" s="4" t="s">
        <v>803</v>
      </c>
      <c r="C9" s="4"/>
      <c r="D9" s="4"/>
      <c r="E9" s="4"/>
      <c r="F9" s="4"/>
      <c r="G9" s="4"/>
    </row>
    <row r="10" spans="2:7" ht="28" customHeight="1">
      <c r="B10" s="4" t="s">
        <v>804</v>
      </c>
      <c r="C10" s="4"/>
      <c r="D10" s="4"/>
      <c r="E10" s="4"/>
      <c r="F10" s="4"/>
      <c r="G10" s="4"/>
    </row>
    <row r="12" spans="2:7">
      <c r="B12" s="3" t="s">
        <v>805</v>
      </c>
      <c r="C12" s="3"/>
      <c r="D12" s="3"/>
      <c r="E12" s="3"/>
      <c r="F12" s="3"/>
      <c r="G12" s="3"/>
    </row>
    <row r="13" spans="2:7">
      <c r="B13" s="5" t="s">
        <v>468</v>
      </c>
      <c r="C13" s="6" t="s">
        <v>806</v>
      </c>
      <c r="D13" s="7" t="s">
        <v>807</v>
      </c>
      <c r="E13" s="8" t="s">
        <v>808</v>
      </c>
      <c r="F13" s="9" t="s">
        <v>809</v>
      </c>
      <c r="G13" s="10" t="s">
        <v>810</v>
      </c>
    </row>
    <row r="14" spans="2:7" ht="28" customHeight="1">
      <c r="B14" s="4" t="s">
        <v>811</v>
      </c>
      <c r="C14" s="4"/>
      <c r="D14" s="4"/>
      <c r="E14" s="4"/>
      <c r="F14" s="4"/>
      <c r="G14" s="4"/>
    </row>
    <row r="16" spans="2:7">
      <c r="B16" s="3" t="s">
        <v>812</v>
      </c>
      <c r="C16" s="3"/>
      <c r="D16" s="3"/>
      <c r="E16" s="3"/>
      <c r="F16" s="3"/>
      <c r="G16" s="3"/>
    </row>
    <row r="17" spans="2:7">
      <c r="B17" s="11" t="s">
        <v>735</v>
      </c>
      <c r="C17" s="11" t="s">
        <v>772</v>
      </c>
      <c r="D17" s="11" t="s">
        <v>46</v>
      </c>
      <c r="E17" s="11" t="s">
        <v>813</v>
      </c>
      <c r="F17" s="11" t="s">
        <v>286</v>
      </c>
      <c r="G17" s="11" t="s">
        <v>814</v>
      </c>
    </row>
    <row r="18" spans="2:7">
      <c r="B18" s="12">
        <f>IF('Synthèse'!$B$4="","",HYPERLINK("#'"&amp;'Synthèse'!$B$4&amp;"'!A1",'Synthèse'!$B$4))</f>
        <v>0</v>
      </c>
      <c r="C18" s="13">
        <f>IF('Synthèse'!$B$4="","",'Synthèse'!$B$5)</f>
        <v>0</v>
      </c>
      <c r="D18" s="7">
        <f>IF('Synthèse'!$B$4="","",'Synthèse'!$B$8)</f>
        <v>0</v>
      </c>
      <c r="E18" s="14">
        <f>IF('Synthèse'!$B$4="","",'Synthèse'!$B$20)</f>
        <v>0</v>
      </c>
      <c r="F18" s="13">
        <f>IF('Synthèse'!$B$4="","",'Synthèse'!$B$21)</f>
        <v>0</v>
      </c>
      <c r="G18" s="15">
        <f>IF('Synthèse'!$B$4="","",'Synthèse'!$B$22)</f>
        <v>0</v>
      </c>
    </row>
    <row r="19" spans="2:7">
      <c r="B19" s="12">
        <f>IF('Synthèse'!$C$4="","",HYPERLINK("#'"&amp;'Synthèse'!$C$4&amp;"'!A1",'Synthèse'!$C$4))</f>
        <v>0</v>
      </c>
      <c r="C19" s="13">
        <f>IF('Synthèse'!$C$4="","",'Synthèse'!$C$5)</f>
        <v>0</v>
      </c>
      <c r="D19" s="7">
        <f>IF('Synthèse'!$C$4="","",'Synthèse'!$C$8)</f>
        <v>0</v>
      </c>
      <c r="E19" s="14">
        <f>IF('Synthèse'!$C$4="","",'Synthèse'!$C$20)</f>
        <v>0</v>
      </c>
      <c r="F19" s="13">
        <f>IF('Synthèse'!$C$4="","",'Synthèse'!$C$21)</f>
        <v>0</v>
      </c>
      <c r="G19" s="15">
        <f>IF('Synthèse'!$C$4="","",'Synthèse'!$C$22)</f>
        <v>0</v>
      </c>
    </row>
    <row r="20" spans="2:7">
      <c r="B20" s="12">
        <f>IF('Synthèse'!$D$4="","",HYPERLINK("#'"&amp;'Synthèse'!$D$4&amp;"'!A1",'Synthèse'!$D$4))</f>
        <v>0</v>
      </c>
      <c r="C20" s="13">
        <f>IF('Synthèse'!$D$4="","",'Synthèse'!$D$5)</f>
        <v>0</v>
      </c>
      <c r="D20" s="7">
        <f>IF('Synthèse'!$D$4="","",'Synthèse'!$D$8)</f>
        <v>0</v>
      </c>
      <c r="E20" s="14">
        <f>IF('Synthèse'!$D$4="","",'Synthèse'!$D$20)</f>
        <v>0</v>
      </c>
      <c r="F20" s="13">
        <f>IF('Synthèse'!$D$4="","",'Synthèse'!$D$21)</f>
        <v>0</v>
      </c>
      <c r="G20" s="15">
        <f>IF('Synthèse'!$D$4="","",'Synthèse'!$D$22)</f>
        <v>0</v>
      </c>
    </row>
    <row r="21" spans="2:7">
      <c r="B21" s="12">
        <f>IF('Synthèse'!$E$4="","",HYPERLINK("#'"&amp;'Synthèse'!$E$4&amp;"'!A1",'Synthèse'!$E$4))</f>
        <v>0</v>
      </c>
      <c r="C21" s="13">
        <f>IF('Synthèse'!$E$4="","",'Synthèse'!$E$5)</f>
        <v>0</v>
      </c>
      <c r="D21" s="7">
        <f>IF('Synthèse'!$E$4="","",'Synthèse'!$E$8)</f>
        <v>0</v>
      </c>
      <c r="E21" s="14">
        <f>IF('Synthèse'!$E$4="","",'Synthèse'!$E$20)</f>
        <v>0</v>
      </c>
      <c r="F21" s="13">
        <f>IF('Synthèse'!$E$4="","",'Synthèse'!$E$21)</f>
        <v>0</v>
      </c>
      <c r="G21" s="15">
        <f>IF('Synthèse'!$E$4="","",'Synthèse'!$E$22)</f>
        <v>0</v>
      </c>
    </row>
    <row r="22" spans="2:7">
      <c r="B22" s="12">
        <f>IF('Synthèse'!$F$4="","",HYPERLINK("#'"&amp;'Synthèse'!$F$4&amp;"'!A1",'Synthèse'!$F$4))</f>
        <v>0</v>
      </c>
      <c r="C22" s="13">
        <f>IF('Synthèse'!$F$4="","",'Synthèse'!$F$5)</f>
        <v>0</v>
      </c>
      <c r="D22" s="7">
        <f>IF('Synthèse'!$F$4="","",'Synthèse'!$F$8)</f>
        <v>0</v>
      </c>
      <c r="E22" s="14">
        <f>IF('Synthèse'!$F$4="","",'Synthèse'!$F$20)</f>
        <v>0</v>
      </c>
      <c r="F22" s="13">
        <f>IF('Synthèse'!$F$4="","",'Synthèse'!$F$21)</f>
        <v>0</v>
      </c>
      <c r="G22" s="15">
        <f>IF('Synthèse'!$F$4="","",'Synthèse'!$F$22)</f>
        <v>0</v>
      </c>
    </row>
    <row r="23" spans="2:7">
      <c r="B23" s="12">
        <f>IF('Synthèse'!$G$4="","",HYPERLINK("#'"&amp;'Synthèse'!$G$4&amp;"'!A1",'Synthèse'!$G$4))</f>
        <v>0</v>
      </c>
      <c r="C23" s="13">
        <f>IF('Synthèse'!$G$4="","",'Synthèse'!$G$5)</f>
        <v>0</v>
      </c>
      <c r="D23" s="7">
        <f>IF('Synthèse'!$G$4="","",'Synthèse'!$G$8)</f>
        <v>0</v>
      </c>
      <c r="E23" s="14">
        <f>IF('Synthèse'!$G$4="","",'Synthèse'!$G$20)</f>
        <v>0</v>
      </c>
      <c r="F23" s="13">
        <f>IF('Synthèse'!$G$4="","",'Synthèse'!$G$21)</f>
        <v>0</v>
      </c>
      <c r="G23" s="15">
        <f>IF('Synthèse'!$G$4="","",'Synthèse'!$G$22)</f>
        <v>0</v>
      </c>
    </row>
    <row r="24" spans="2:7">
      <c r="B24" s="12">
        <f>IF('Synthèse'!$H$4="","",HYPERLINK("#'"&amp;'Synthèse'!$H$4&amp;"'!A1",'Synthèse'!$H$4))</f>
        <v>0</v>
      </c>
      <c r="C24" s="13">
        <f>IF('Synthèse'!$H$4="","",'Synthèse'!$H$5)</f>
        <v>0</v>
      </c>
      <c r="D24" s="7">
        <f>IF('Synthèse'!$H$4="","",'Synthèse'!$H$8)</f>
        <v>0</v>
      </c>
      <c r="E24" s="14">
        <f>IF('Synthèse'!$H$4="","",'Synthèse'!$H$20)</f>
        <v>0</v>
      </c>
      <c r="F24" s="13">
        <f>IF('Synthèse'!$H$4="","",'Synthèse'!$H$21)</f>
        <v>0</v>
      </c>
      <c r="G24" s="15">
        <f>IF('Synthèse'!$H$4="","",'Synthèse'!$H$22)</f>
        <v>0</v>
      </c>
    </row>
    <row r="25" spans="2:7">
      <c r="B25" s="12">
        <f>IF('Synthèse'!$I$4="","",HYPERLINK("#'"&amp;'Synthèse'!$I$4&amp;"'!A1",'Synthèse'!$I$4))</f>
        <v>0</v>
      </c>
      <c r="C25" s="13">
        <f>IF('Synthèse'!$I$4="","",'Synthèse'!$I$5)</f>
        <v>0</v>
      </c>
      <c r="D25" s="7">
        <f>IF('Synthèse'!$I$4="","",'Synthèse'!$I$8)</f>
        <v>0</v>
      </c>
      <c r="E25" s="14">
        <f>IF('Synthèse'!$I$4="","",'Synthèse'!$I$20)</f>
        <v>0</v>
      </c>
      <c r="F25" s="13">
        <f>IF('Synthèse'!$I$4="","",'Synthèse'!$I$21)</f>
        <v>0</v>
      </c>
      <c r="G25" s="15">
        <f>IF('Synthèse'!$I$4="","",'Synthèse'!$I$22)</f>
        <v>0</v>
      </c>
    </row>
    <row r="26" spans="2:7">
      <c r="B26" s="12">
        <f>IF('Synthèse'!$J$4="","",HYPERLINK("#'"&amp;'Synthèse'!$J$4&amp;"'!A1",'Synthèse'!$J$4))</f>
        <v>0</v>
      </c>
      <c r="C26" s="13">
        <f>IF('Synthèse'!$J$4="","",'Synthèse'!$J$5)</f>
        <v>0</v>
      </c>
      <c r="D26" s="7">
        <f>IF('Synthèse'!$J$4="","",'Synthèse'!$J$8)</f>
        <v>0</v>
      </c>
      <c r="E26" s="14">
        <f>IF('Synthèse'!$J$4="","",'Synthèse'!$J$20)</f>
        <v>0</v>
      </c>
      <c r="F26" s="13">
        <f>IF('Synthèse'!$J$4="","",'Synthèse'!$J$21)</f>
        <v>0</v>
      </c>
      <c r="G26" s="15">
        <f>IF('Synthèse'!$J$4="","",'Synthèse'!$J$22)</f>
        <v>0</v>
      </c>
    </row>
    <row r="27" spans="2:7">
      <c r="B27" s="12">
        <f>IF('Synthèse'!$K$4="","",HYPERLINK("#'"&amp;'Synthèse'!$K$4&amp;"'!A1",'Synthèse'!$K$4))</f>
        <v>0</v>
      </c>
      <c r="C27" s="13">
        <f>IF('Synthèse'!$K$4="","",'Synthèse'!$K$5)</f>
        <v>0</v>
      </c>
      <c r="D27" s="7">
        <f>IF('Synthèse'!$K$4="","",'Synthèse'!$K$8)</f>
        <v>0</v>
      </c>
      <c r="E27" s="14">
        <f>IF('Synthèse'!$K$4="","",'Synthèse'!$K$20)</f>
        <v>0</v>
      </c>
      <c r="F27" s="13">
        <f>IF('Synthèse'!$K$4="","",'Synthèse'!$K$21)</f>
        <v>0</v>
      </c>
      <c r="G27" s="15">
        <f>IF('Synthèse'!$K$4="","",'Synthèse'!$K$22)</f>
        <v>0</v>
      </c>
    </row>
    <row r="28" spans="2:7">
      <c r="B28" s="12">
        <f>IF('Synthèse'!$L$4="","",HYPERLINK("#'"&amp;'Synthèse'!$L$4&amp;"'!A1",'Synthèse'!$L$4))</f>
        <v>0</v>
      </c>
      <c r="C28" s="13">
        <f>IF('Synthèse'!$L$4="","",'Synthèse'!$L$5)</f>
        <v>0</v>
      </c>
      <c r="D28" s="7">
        <f>IF('Synthèse'!$L$4="","",'Synthèse'!$L$8)</f>
        <v>0</v>
      </c>
      <c r="E28" s="14">
        <f>IF('Synthèse'!$L$4="","",'Synthèse'!$L$20)</f>
        <v>0</v>
      </c>
      <c r="F28" s="13">
        <f>IF('Synthèse'!$L$4="","",'Synthèse'!$L$21)</f>
        <v>0</v>
      </c>
      <c r="G28" s="15">
        <f>IF('Synthèse'!$L$4="","",'Synthèse'!$L$22)</f>
        <v>0</v>
      </c>
    </row>
    <row r="29" spans="2:7">
      <c r="B29" s="12">
        <f>IF('Synthèse'!$M$4="","",HYPERLINK("#'"&amp;'Synthèse'!$M$4&amp;"'!A1",'Synthèse'!$M$4))</f>
        <v>0</v>
      </c>
      <c r="C29" s="13">
        <f>IF('Synthèse'!$M$4="","",'Synthèse'!$M$5)</f>
        <v>0</v>
      </c>
      <c r="D29" s="7">
        <f>IF('Synthèse'!$M$4="","",'Synthèse'!$M$8)</f>
        <v>0</v>
      </c>
      <c r="E29" s="14">
        <f>IF('Synthèse'!$M$4="","",'Synthèse'!$M$20)</f>
        <v>0</v>
      </c>
      <c r="F29" s="13">
        <f>IF('Synthèse'!$M$4="","",'Synthèse'!$M$21)</f>
        <v>0</v>
      </c>
      <c r="G29" s="15">
        <f>IF('Synthèse'!$M$4="","",'Synthèse'!$M$22)</f>
        <v>0</v>
      </c>
    </row>
    <row r="30" spans="2:7">
      <c r="B30" s="12">
        <f>IF('Synthèse'!$N$4="","",HYPERLINK("#'"&amp;'Synthèse'!$N$4&amp;"'!A1",'Synthèse'!$N$4))</f>
        <v>0</v>
      </c>
      <c r="C30" s="13">
        <f>IF('Synthèse'!$N$4="","",'Synthèse'!$N$5)</f>
        <v>0</v>
      </c>
      <c r="D30" s="7">
        <f>IF('Synthèse'!$N$4="","",'Synthèse'!$N$8)</f>
        <v>0</v>
      </c>
      <c r="E30" s="14">
        <f>IF('Synthèse'!$N$4="","",'Synthèse'!$N$20)</f>
        <v>0</v>
      </c>
      <c r="F30" s="13">
        <f>IF('Synthèse'!$N$4="","",'Synthèse'!$N$21)</f>
        <v>0</v>
      </c>
      <c r="G30" s="15">
        <f>IF('Synthèse'!$N$4="","",'Synthèse'!$N$22)</f>
        <v>0</v>
      </c>
    </row>
    <row r="31" spans="2:7">
      <c r="B31" s="12">
        <f>IF('Synthèse'!$O$4="","",HYPERLINK("#'"&amp;'Synthèse'!$O$4&amp;"'!A1",'Synthèse'!$O$4))</f>
        <v>0</v>
      </c>
      <c r="C31" s="13">
        <f>IF('Synthèse'!$O$4="","",'Synthèse'!$O$5)</f>
        <v>0</v>
      </c>
      <c r="D31" s="7">
        <f>IF('Synthèse'!$O$4="","",'Synthèse'!$O$8)</f>
        <v>0</v>
      </c>
      <c r="E31" s="14">
        <f>IF('Synthèse'!$O$4="","",'Synthèse'!$O$20)</f>
        <v>0</v>
      </c>
      <c r="F31" s="13">
        <f>IF('Synthèse'!$O$4="","",'Synthèse'!$O$21)</f>
        <v>0</v>
      </c>
      <c r="G31" s="15">
        <f>IF('Synthèse'!$O$4="","",'Synthèse'!$O$22)</f>
        <v>0</v>
      </c>
    </row>
    <row r="32" spans="2:7">
      <c r="B32" s="12">
        <f>IF('Synthèse'!$P$4="","",HYPERLINK("#'"&amp;'Synthèse'!$P$4&amp;"'!A1",'Synthèse'!$P$4))</f>
        <v>0</v>
      </c>
      <c r="C32" s="13">
        <f>IF('Synthèse'!$P$4="","",'Synthèse'!$P$5)</f>
        <v>0</v>
      </c>
      <c r="D32" s="7">
        <f>IF('Synthèse'!$P$4="","",'Synthèse'!$P$8)</f>
        <v>0</v>
      </c>
      <c r="E32" s="14">
        <f>IF('Synthèse'!$P$4="","",'Synthèse'!$P$20)</f>
        <v>0</v>
      </c>
      <c r="F32" s="13">
        <f>IF('Synthèse'!$P$4="","",'Synthèse'!$P$21)</f>
        <v>0</v>
      </c>
      <c r="G32" s="15">
        <f>IF('Synthèse'!$P$4="","",'Synthèse'!$P$22)</f>
        <v>0</v>
      </c>
    </row>
    <row r="33" spans="2:7">
      <c r="B33" s="12">
        <f>IF('Synthèse'!$Q$4="","",HYPERLINK("#'"&amp;'Synthèse'!$Q$4&amp;"'!A1",'Synthèse'!$Q$4))</f>
        <v>0</v>
      </c>
      <c r="C33" s="13">
        <f>IF('Synthèse'!$Q$4="","",'Synthèse'!$Q$5)</f>
        <v>0</v>
      </c>
      <c r="D33" s="7">
        <f>IF('Synthèse'!$Q$4="","",'Synthèse'!$Q$8)</f>
        <v>0</v>
      </c>
      <c r="E33" s="14">
        <f>IF('Synthèse'!$Q$4="","",'Synthèse'!$Q$20)</f>
        <v>0</v>
      </c>
      <c r="F33" s="13">
        <f>IF('Synthèse'!$Q$4="","",'Synthèse'!$Q$21)</f>
        <v>0</v>
      </c>
      <c r="G33" s="15">
        <f>IF('Synthèse'!$Q$4="","",'Synthèse'!$Q$22)</f>
        <v>0</v>
      </c>
    </row>
    <row r="34" spans="2:7">
      <c r="B34" s="12">
        <f>IF('Synthèse'!$R$4="","",HYPERLINK("#'"&amp;'Synthèse'!$R$4&amp;"'!A1",'Synthèse'!$R$4))</f>
        <v>0</v>
      </c>
      <c r="C34" s="13">
        <f>IF('Synthèse'!$R$4="","",'Synthèse'!$R$5)</f>
        <v>0</v>
      </c>
      <c r="D34" s="7">
        <f>IF('Synthèse'!$R$4="","",'Synthèse'!$R$8)</f>
        <v>0</v>
      </c>
      <c r="E34" s="14">
        <f>IF('Synthèse'!$R$4="","",'Synthèse'!$R$20)</f>
        <v>0</v>
      </c>
      <c r="F34" s="13">
        <f>IF('Synthèse'!$R$4="","",'Synthèse'!$R$21)</f>
        <v>0</v>
      </c>
      <c r="G34" s="15">
        <f>IF('Synthèse'!$R$4="","",'Synthèse'!$R$22)</f>
        <v>0</v>
      </c>
    </row>
    <row r="35" spans="2:7">
      <c r="B35" s="12">
        <f>IF('Synthèse'!$S$4="","",HYPERLINK("#'"&amp;'Synthèse'!$S$4&amp;"'!A1",'Synthèse'!$S$4))</f>
        <v>0</v>
      </c>
      <c r="C35" s="13">
        <f>IF('Synthèse'!$S$4="","",'Synthèse'!$S$5)</f>
        <v>0</v>
      </c>
      <c r="D35" s="7">
        <f>IF('Synthèse'!$S$4="","",'Synthèse'!$S$8)</f>
        <v>0</v>
      </c>
      <c r="E35" s="14">
        <f>IF('Synthèse'!$S$4="","",'Synthèse'!$S$20)</f>
        <v>0</v>
      </c>
      <c r="F35" s="13">
        <f>IF('Synthèse'!$S$4="","",'Synthèse'!$S$21)</f>
        <v>0</v>
      </c>
      <c r="G35" s="15">
        <f>IF('Synthèse'!$S$4="","",'Synthèse'!$S$22)</f>
        <v>0</v>
      </c>
    </row>
    <row r="36" spans="2:7">
      <c r="B36" s="12">
        <f>IF('Synthèse'!$T$4="","",HYPERLINK("#'"&amp;'Synthèse'!$T$4&amp;"'!A1",'Synthèse'!$T$4))</f>
        <v>0</v>
      </c>
      <c r="C36" s="13">
        <f>IF('Synthèse'!$T$4="","",'Synthèse'!$T$5)</f>
        <v>0</v>
      </c>
      <c r="D36" s="7">
        <f>IF('Synthèse'!$T$4="","",'Synthèse'!$T$8)</f>
        <v>0</v>
      </c>
      <c r="E36" s="14">
        <f>IF('Synthèse'!$T$4="","",'Synthèse'!$T$20)</f>
        <v>0</v>
      </c>
      <c r="F36" s="13">
        <f>IF('Synthèse'!$T$4="","",'Synthèse'!$T$21)</f>
        <v>0</v>
      </c>
      <c r="G36" s="15">
        <f>IF('Synthèse'!$T$4="","",'Synthèse'!$T$22)</f>
        <v>0</v>
      </c>
    </row>
    <row r="37" spans="2:7">
      <c r="B37" s="12">
        <f>IF('Synthèse'!$U$4="","",HYPERLINK("#'"&amp;'Synthèse'!$U$4&amp;"'!A1",'Synthèse'!$U$4))</f>
        <v>0</v>
      </c>
      <c r="C37" s="13">
        <f>IF('Synthèse'!$U$4="","",'Synthèse'!$U$5)</f>
        <v>0</v>
      </c>
      <c r="D37" s="7">
        <f>IF('Synthèse'!$U$4="","",'Synthèse'!$U$8)</f>
        <v>0</v>
      </c>
      <c r="E37" s="14">
        <f>IF('Synthèse'!$U$4="","",'Synthèse'!$U$20)</f>
        <v>0</v>
      </c>
      <c r="F37" s="13">
        <f>IF('Synthèse'!$U$4="","",'Synthèse'!$U$21)</f>
        <v>0</v>
      </c>
      <c r="G37" s="15">
        <f>IF('Synthèse'!$U$4="","",'Synthèse'!$U$22)</f>
        <v>0</v>
      </c>
    </row>
    <row r="38" spans="2:7">
      <c r="B38" s="12">
        <f>IF('Synthèse'!$V$4="","",HYPERLINK("#'"&amp;'Synthèse'!$V$4&amp;"'!A1",'Synthèse'!$V$4))</f>
        <v>0</v>
      </c>
      <c r="C38" s="13">
        <f>IF('Synthèse'!$V$4="","",'Synthèse'!$V$5)</f>
        <v>0</v>
      </c>
      <c r="D38" s="7">
        <f>IF('Synthèse'!$V$4="","",'Synthèse'!$V$8)</f>
        <v>0</v>
      </c>
      <c r="E38" s="14">
        <f>IF('Synthèse'!$V$4="","",'Synthèse'!$V$20)</f>
        <v>0</v>
      </c>
      <c r="F38" s="13">
        <f>IF('Synthèse'!$V$4="","",'Synthèse'!$V$21)</f>
        <v>0</v>
      </c>
      <c r="G38" s="15">
        <f>IF('Synthèse'!$V$4="","",'Synthèse'!$V$22)</f>
        <v>0</v>
      </c>
    </row>
    <row r="39" spans="2:7">
      <c r="B39" s="12">
        <f>IF('Synthèse'!$W$4="","",HYPERLINK("#'"&amp;'Synthèse'!$W$4&amp;"'!A1",'Synthèse'!$W$4))</f>
        <v>0</v>
      </c>
      <c r="C39" s="13">
        <f>IF('Synthèse'!$W$4="","",'Synthèse'!$W$5)</f>
        <v>0</v>
      </c>
      <c r="D39" s="7">
        <f>IF('Synthèse'!$W$4="","",'Synthèse'!$W$8)</f>
        <v>0</v>
      </c>
      <c r="E39" s="14">
        <f>IF('Synthèse'!$W$4="","",'Synthèse'!$W$20)</f>
        <v>0</v>
      </c>
      <c r="F39" s="13">
        <f>IF('Synthèse'!$W$4="","",'Synthèse'!$W$21)</f>
        <v>0</v>
      </c>
      <c r="G39" s="15">
        <f>IF('Synthèse'!$W$4="","",'Synthèse'!$W$22)</f>
        <v>0</v>
      </c>
    </row>
    <row r="40" spans="2:7">
      <c r="B40" s="12">
        <f>IF('Synthèse'!$X$4="","",HYPERLINK("#'"&amp;'Synthèse'!$X$4&amp;"'!A1",'Synthèse'!$X$4))</f>
        <v>0</v>
      </c>
      <c r="C40" s="13">
        <f>IF('Synthèse'!$X$4="","",'Synthèse'!$X$5)</f>
        <v>0</v>
      </c>
      <c r="D40" s="7">
        <f>IF('Synthèse'!$X$4="","",'Synthèse'!$X$8)</f>
        <v>0</v>
      </c>
      <c r="E40" s="14">
        <f>IF('Synthèse'!$X$4="","",'Synthèse'!$X$20)</f>
        <v>0</v>
      </c>
      <c r="F40" s="13">
        <f>IF('Synthèse'!$X$4="","",'Synthèse'!$X$21)</f>
        <v>0</v>
      </c>
      <c r="G40" s="15">
        <f>IF('Synthèse'!$X$4="","",'Synthèse'!$X$22)</f>
        <v>0</v>
      </c>
    </row>
    <row r="42" spans="2:7">
      <c r="B42" s="3" t="s">
        <v>815</v>
      </c>
      <c r="C42" s="3"/>
      <c r="D42" s="3"/>
      <c r="E42" s="3"/>
      <c r="F42" s="3"/>
      <c r="G42" s="3"/>
    </row>
    <row r="43" spans="2:7" ht="40" customHeight="1">
      <c r="B43" s="4" t="s">
        <v>816</v>
      </c>
      <c r="C43" s="4"/>
      <c r="D43" s="4"/>
      <c r="E43" s="4"/>
      <c r="F43" s="4"/>
      <c r="G43" s="4"/>
    </row>
    <row r="44" spans="2:7" ht="40" customHeight="1">
      <c r="B44" s="4" t="s">
        <v>817</v>
      </c>
      <c r="C44" s="4"/>
      <c r="D44" s="4"/>
      <c r="E44" s="4"/>
      <c r="F44" s="4"/>
      <c r="G44" s="4"/>
    </row>
    <row r="45" spans="2:7" ht="28" customHeight="1">
      <c r="B45" s="4" t="s">
        <v>818</v>
      </c>
      <c r="C45" s="4"/>
      <c r="D45" s="4"/>
      <c r="E45" s="4"/>
      <c r="F45" s="4"/>
      <c r="G45" s="4"/>
    </row>
    <row r="46" spans="2:7" ht="28" customHeight="1">
      <c r="B46" s="4" t="s">
        <v>819</v>
      </c>
      <c r="C46" s="4"/>
      <c r="D46" s="4"/>
      <c r="E46" s="4"/>
      <c r="F46" s="4"/>
      <c r="G46" s="4"/>
    </row>
  </sheetData>
  <sheetProtection sheet="1" objects="1" scenarios="1" formatColumns="0" formatRows="0"/>
  <mergeCells count="14">
    <mergeCell ref="B5:G5"/>
    <mergeCell ref="B6:G6"/>
    <mergeCell ref="B7:G7"/>
    <mergeCell ref="B8:G8"/>
    <mergeCell ref="B9:G9"/>
    <mergeCell ref="B10:G10"/>
    <mergeCell ref="B12:G12"/>
    <mergeCell ref="B14:G14"/>
    <mergeCell ref="B16:G16"/>
    <mergeCell ref="B42:G42"/>
    <mergeCell ref="B43:G43"/>
    <mergeCell ref="B44:G44"/>
    <mergeCell ref="B45:G45"/>
    <mergeCell ref="B46:G46"/>
  </mergeCells>
  <conditionalFormatting sqref="E18:E40">
    <cfRule type="expression" dxfId="1" priority="1">
      <formula>AND(ISNUMBER(E18),E18&gt;=8)</formula>
    </cfRule>
    <cfRule type="expression" dxfId="3" priority="2">
      <formula>AND(ISNUMBER(E18),E18&gt;=6,E18&lt;8)</formula>
    </cfRule>
    <cfRule type="expression" dxfId="0" priority="3">
      <formula>OR(AND(ISNUMBER(E18),E18&lt;6),E18="—")</formula>
    </cfRule>
  </conditionalFormatting>
  <conditionalFormatting sqref="G18:G40">
    <cfRule type="expression" dxfId="2" priority="4">
      <formula>AND(ISNUMBER(G18),G18&gt;0)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Z29"/>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6.7109375" customWidth="1"/>
    <col min="2" max="24" width="17.7109375" customWidth="1"/>
    <col min="26" max="26" width="8.7109375" hidden="1" customWidth="1"/>
  </cols>
  <sheetData>
    <row r="1" spans="1:26">
      <c r="A1" s="1" t="s">
        <v>733</v>
      </c>
    </row>
    <row r="2" spans="1:26">
      <c r="A2" s="2" t="s">
        <v>734</v>
      </c>
    </row>
    <row r="4" spans="1:26">
      <c r="A4" s="11" t="s">
        <v>735</v>
      </c>
      <c r="B4" s="16" t="s">
        <v>132</v>
      </c>
      <c r="C4" s="16" t="s">
        <v>134</v>
      </c>
      <c r="D4" s="16" t="s">
        <v>136</v>
      </c>
      <c r="E4" s="16" t="s">
        <v>736</v>
      </c>
      <c r="F4" s="16" t="s">
        <v>737</v>
      </c>
      <c r="G4" s="16" t="s">
        <v>140</v>
      </c>
      <c r="H4" s="16"/>
      <c r="I4" s="16"/>
      <c r="J4" s="16"/>
      <c r="K4" s="16"/>
      <c r="L4" s="16"/>
      <c r="M4" s="16"/>
      <c r="N4" s="16"/>
      <c r="O4" s="16"/>
      <c r="P4" s="16"/>
      <c r="Q4" s="16"/>
      <c r="R4" s="16"/>
      <c r="S4" s="16"/>
      <c r="T4" s="16"/>
      <c r="U4" s="16"/>
      <c r="V4" s="16"/>
      <c r="W4" s="16"/>
      <c r="X4" s="16"/>
    </row>
    <row r="5" spans="1:26" ht="45" customHeight="1">
      <c r="A5" s="17" t="s">
        <v>738</v>
      </c>
      <c r="B5" s="13">
        <f>IF(B$4="","",IFERROR(INDIRECT("'"&amp;B$4&amp;"'!"&amp;$Z5),""))</f>
        <v>0</v>
      </c>
      <c r="C5" s="13">
        <f>IF(C$4="","",IFERROR(INDIRECT("'"&amp;C$4&amp;"'!"&amp;$Z5),""))</f>
        <v>0</v>
      </c>
      <c r="D5" s="13">
        <f>IF(D$4="","",IFERROR(INDIRECT("'"&amp;D$4&amp;"'!"&amp;$Z5),""))</f>
        <v>0</v>
      </c>
      <c r="E5" s="13">
        <f>IF(E$4="","",IFERROR(INDIRECT("'"&amp;E$4&amp;"'!"&amp;$Z5),""))</f>
        <v>0</v>
      </c>
      <c r="F5" s="13">
        <f>IF(F$4="","",IFERROR(INDIRECT("'"&amp;F$4&amp;"'!"&amp;$Z5),""))</f>
        <v>0</v>
      </c>
      <c r="G5" s="13">
        <f>IF(G$4="","",IFERROR(INDIRECT("'"&amp;G$4&amp;"'!"&amp;$Z5),""))</f>
        <v>0</v>
      </c>
      <c r="H5" s="13">
        <f>IF(H$4="","",IFERROR(INDIRECT("'"&amp;H$4&amp;"'!"&amp;$Z5),""))</f>
        <v>0</v>
      </c>
      <c r="I5" s="13">
        <f>IF(I$4="","",IFERROR(INDIRECT("'"&amp;I$4&amp;"'!"&amp;$Z5),""))</f>
        <v>0</v>
      </c>
      <c r="J5" s="13">
        <f>IF(J$4="","",IFERROR(INDIRECT("'"&amp;J$4&amp;"'!"&amp;$Z5),""))</f>
        <v>0</v>
      </c>
      <c r="K5" s="13">
        <f>IF(K$4="","",IFERROR(INDIRECT("'"&amp;K$4&amp;"'!"&amp;$Z5),""))</f>
        <v>0</v>
      </c>
      <c r="L5" s="13">
        <f>IF(L$4="","",IFERROR(INDIRECT("'"&amp;L$4&amp;"'!"&amp;$Z5),""))</f>
        <v>0</v>
      </c>
      <c r="M5" s="13">
        <f>IF(M$4="","",IFERROR(INDIRECT("'"&amp;M$4&amp;"'!"&amp;$Z5),""))</f>
        <v>0</v>
      </c>
      <c r="N5" s="13">
        <f>IF(N$4="","",IFERROR(INDIRECT("'"&amp;N$4&amp;"'!"&amp;$Z5),""))</f>
        <v>0</v>
      </c>
      <c r="O5" s="13">
        <f>IF(O$4="","",IFERROR(INDIRECT("'"&amp;O$4&amp;"'!"&amp;$Z5),""))</f>
        <v>0</v>
      </c>
      <c r="P5" s="13">
        <f>IF(P$4="","",IFERROR(INDIRECT("'"&amp;P$4&amp;"'!"&amp;$Z5),""))</f>
        <v>0</v>
      </c>
      <c r="Q5" s="13">
        <f>IF(Q$4="","",IFERROR(INDIRECT("'"&amp;Q$4&amp;"'!"&amp;$Z5),""))</f>
        <v>0</v>
      </c>
      <c r="R5" s="13">
        <f>IF(R$4="","",IFERROR(INDIRECT("'"&amp;R$4&amp;"'!"&amp;$Z5),""))</f>
        <v>0</v>
      </c>
      <c r="S5" s="13">
        <f>IF(S$4="","",IFERROR(INDIRECT("'"&amp;S$4&amp;"'!"&amp;$Z5),""))</f>
        <v>0</v>
      </c>
      <c r="T5" s="13">
        <f>IF(T$4="","",IFERROR(INDIRECT("'"&amp;T$4&amp;"'!"&amp;$Z5),""))</f>
        <v>0</v>
      </c>
      <c r="U5" s="13">
        <f>IF(U$4="","",IFERROR(INDIRECT("'"&amp;U$4&amp;"'!"&amp;$Z5),""))</f>
        <v>0</v>
      </c>
      <c r="V5" s="13">
        <f>IF(V$4="","",IFERROR(INDIRECT("'"&amp;V$4&amp;"'!"&amp;$Z5),""))</f>
        <v>0</v>
      </c>
      <c r="W5" s="13">
        <f>IF(W$4="","",IFERROR(INDIRECT("'"&amp;W$4&amp;"'!"&amp;$Z5),""))</f>
        <v>0</v>
      </c>
      <c r="X5" s="13">
        <f>IF(X$4="","",IFERROR(INDIRECT("'"&amp;X$4&amp;"'!"&amp;$Z5),""))</f>
        <v>0</v>
      </c>
      <c r="Z5" t="s">
        <v>739</v>
      </c>
    </row>
    <row r="6" spans="1:26">
      <c r="A6" s="17" t="s">
        <v>740</v>
      </c>
      <c r="B6" s="7">
        <f>IF(B$4="","",IFERROR(INDIRECT("'"&amp;B$4&amp;"'!"&amp;$Z6),""))</f>
        <v>0</v>
      </c>
      <c r="C6" s="7">
        <f>IF(C$4="","",IFERROR(INDIRECT("'"&amp;C$4&amp;"'!"&amp;$Z6),""))</f>
        <v>0</v>
      </c>
      <c r="D6" s="7">
        <f>IF(D$4="","",IFERROR(INDIRECT("'"&amp;D$4&amp;"'!"&amp;$Z6),""))</f>
        <v>0</v>
      </c>
      <c r="E6" s="7">
        <f>IF(E$4="","",IFERROR(INDIRECT("'"&amp;E$4&amp;"'!"&amp;$Z6),""))</f>
        <v>0</v>
      </c>
      <c r="F6" s="7">
        <f>IF(F$4="","",IFERROR(INDIRECT("'"&amp;F$4&amp;"'!"&amp;$Z6),""))</f>
        <v>0</v>
      </c>
      <c r="G6" s="7">
        <f>IF(G$4="","",IFERROR(INDIRECT("'"&amp;G$4&amp;"'!"&amp;$Z6),""))</f>
        <v>0</v>
      </c>
      <c r="H6" s="7">
        <f>IF(H$4="","",IFERROR(INDIRECT("'"&amp;H$4&amp;"'!"&amp;$Z6),""))</f>
        <v>0</v>
      </c>
      <c r="I6" s="7">
        <f>IF(I$4="","",IFERROR(INDIRECT("'"&amp;I$4&amp;"'!"&amp;$Z6),""))</f>
        <v>0</v>
      </c>
      <c r="J6" s="7">
        <f>IF(J$4="","",IFERROR(INDIRECT("'"&amp;J$4&amp;"'!"&amp;$Z6),""))</f>
        <v>0</v>
      </c>
      <c r="K6" s="7">
        <f>IF(K$4="","",IFERROR(INDIRECT("'"&amp;K$4&amp;"'!"&amp;$Z6),""))</f>
        <v>0</v>
      </c>
      <c r="L6" s="7">
        <f>IF(L$4="","",IFERROR(INDIRECT("'"&amp;L$4&amp;"'!"&amp;$Z6),""))</f>
        <v>0</v>
      </c>
      <c r="M6" s="7">
        <f>IF(M$4="","",IFERROR(INDIRECT("'"&amp;M$4&amp;"'!"&amp;$Z6),""))</f>
        <v>0</v>
      </c>
      <c r="N6" s="7">
        <f>IF(N$4="","",IFERROR(INDIRECT("'"&amp;N$4&amp;"'!"&amp;$Z6),""))</f>
        <v>0</v>
      </c>
      <c r="O6" s="7">
        <f>IF(O$4="","",IFERROR(INDIRECT("'"&amp;O$4&amp;"'!"&amp;$Z6),""))</f>
        <v>0</v>
      </c>
      <c r="P6" s="7">
        <f>IF(P$4="","",IFERROR(INDIRECT("'"&amp;P$4&amp;"'!"&amp;$Z6),""))</f>
        <v>0</v>
      </c>
      <c r="Q6" s="7">
        <f>IF(Q$4="","",IFERROR(INDIRECT("'"&amp;Q$4&amp;"'!"&amp;$Z6),""))</f>
        <v>0</v>
      </c>
      <c r="R6" s="7">
        <f>IF(R$4="","",IFERROR(INDIRECT("'"&amp;R$4&amp;"'!"&amp;$Z6),""))</f>
        <v>0</v>
      </c>
      <c r="S6" s="7">
        <f>IF(S$4="","",IFERROR(INDIRECT("'"&amp;S$4&amp;"'!"&amp;$Z6),""))</f>
        <v>0</v>
      </c>
      <c r="T6" s="7">
        <f>IF(T$4="","",IFERROR(INDIRECT("'"&amp;T$4&amp;"'!"&amp;$Z6),""))</f>
        <v>0</v>
      </c>
      <c r="U6" s="7">
        <f>IF(U$4="","",IFERROR(INDIRECT("'"&amp;U$4&amp;"'!"&amp;$Z6),""))</f>
        <v>0</v>
      </c>
      <c r="V6" s="7">
        <f>IF(V$4="","",IFERROR(INDIRECT("'"&amp;V$4&amp;"'!"&amp;$Z6),""))</f>
        <v>0</v>
      </c>
      <c r="W6" s="7">
        <f>IF(W$4="","",IFERROR(INDIRECT("'"&amp;W$4&amp;"'!"&amp;$Z6),""))</f>
        <v>0</v>
      </c>
      <c r="X6" s="7">
        <f>IF(X$4="","",IFERROR(INDIRECT("'"&amp;X$4&amp;"'!"&amp;$Z6),""))</f>
        <v>0</v>
      </c>
      <c r="Z6" t="s">
        <v>510</v>
      </c>
    </row>
    <row r="7" spans="1:26">
      <c r="A7" s="17" t="s">
        <v>19</v>
      </c>
      <c r="B7" s="7">
        <f>IF(B$4="","",IFERROR(INDIRECT("'"&amp;B$4&amp;"'!"&amp;$Z7),""))</f>
        <v>0</v>
      </c>
      <c r="C7" s="7">
        <f>IF(C$4="","",IFERROR(INDIRECT("'"&amp;C$4&amp;"'!"&amp;$Z7),""))</f>
        <v>0</v>
      </c>
      <c r="D7" s="7">
        <f>IF(D$4="","",IFERROR(INDIRECT("'"&amp;D$4&amp;"'!"&amp;$Z7),""))</f>
        <v>0</v>
      </c>
      <c r="E7" s="7">
        <f>IF(E$4="","",IFERROR(INDIRECT("'"&amp;E$4&amp;"'!"&amp;$Z7),""))</f>
        <v>0</v>
      </c>
      <c r="F7" s="7">
        <f>IF(F$4="","",IFERROR(INDIRECT("'"&amp;F$4&amp;"'!"&amp;$Z7),""))</f>
        <v>0</v>
      </c>
      <c r="G7" s="7">
        <f>IF(G$4="","",IFERROR(INDIRECT("'"&amp;G$4&amp;"'!"&amp;$Z7),""))</f>
        <v>0</v>
      </c>
      <c r="H7" s="7">
        <f>IF(H$4="","",IFERROR(INDIRECT("'"&amp;H$4&amp;"'!"&amp;$Z7),""))</f>
        <v>0</v>
      </c>
      <c r="I7" s="7">
        <f>IF(I$4="","",IFERROR(INDIRECT("'"&amp;I$4&amp;"'!"&amp;$Z7),""))</f>
        <v>0</v>
      </c>
      <c r="J7" s="7">
        <f>IF(J$4="","",IFERROR(INDIRECT("'"&amp;J$4&amp;"'!"&amp;$Z7),""))</f>
        <v>0</v>
      </c>
      <c r="K7" s="7">
        <f>IF(K$4="","",IFERROR(INDIRECT("'"&amp;K$4&amp;"'!"&amp;$Z7),""))</f>
        <v>0</v>
      </c>
      <c r="L7" s="7">
        <f>IF(L$4="","",IFERROR(INDIRECT("'"&amp;L$4&amp;"'!"&amp;$Z7),""))</f>
        <v>0</v>
      </c>
      <c r="M7" s="7">
        <f>IF(M$4="","",IFERROR(INDIRECT("'"&amp;M$4&amp;"'!"&amp;$Z7),""))</f>
        <v>0</v>
      </c>
      <c r="N7" s="7">
        <f>IF(N$4="","",IFERROR(INDIRECT("'"&amp;N$4&amp;"'!"&amp;$Z7),""))</f>
        <v>0</v>
      </c>
      <c r="O7" s="7">
        <f>IF(O$4="","",IFERROR(INDIRECT("'"&amp;O$4&amp;"'!"&amp;$Z7),""))</f>
        <v>0</v>
      </c>
      <c r="P7" s="7">
        <f>IF(P$4="","",IFERROR(INDIRECT("'"&amp;P$4&amp;"'!"&amp;$Z7),""))</f>
        <v>0</v>
      </c>
      <c r="Q7" s="7">
        <f>IF(Q$4="","",IFERROR(INDIRECT("'"&amp;Q$4&amp;"'!"&amp;$Z7),""))</f>
        <v>0</v>
      </c>
      <c r="R7" s="7">
        <f>IF(R$4="","",IFERROR(INDIRECT("'"&amp;R$4&amp;"'!"&amp;$Z7),""))</f>
        <v>0</v>
      </c>
      <c r="S7" s="7">
        <f>IF(S$4="","",IFERROR(INDIRECT("'"&amp;S$4&amp;"'!"&amp;$Z7),""))</f>
        <v>0</v>
      </c>
      <c r="T7" s="7">
        <f>IF(T$4="","",IFERROR(INDIRECT("'"&amp;T$4&amp;"'!"&amp;$Z7),""))</f>
        <v>0</v>
      </c>
      <c r="U7" s="7">
        <f>IF(U$4="","",IFERROR(INDIRECT("'"&amp;U$4&amp;"'!"&amp;$Z7),""))</f>
        <v>0</v>
      </c>
      <c r="V7" s="7">
        <f>IF(V$4="","",IFERROR(INDIRECT("'"&amp;V$4&amp;"'!"&amp;$Z7),""))</f>
        <v>0</v>
      </c>
      <c r="W7" s="7">
        <f>IF(W$4="","",IFERROR(INDIRECT("'"&amp;W$4&amp;"'!"&amp;$Z7),""))</f>
        <v>0</v>
      </c>
      <c r="X7" s="7">
        <f>IF(X$4="","",IFERROR(INDIRECT("'"&amp;X$4&amp;"'!"&amp;$Z7),""))</f>
        <v>0</v>
      </c>
      <c r="Z7" t="s">
        <v>512</v>
      </c>
    </row>
    <row r="8" spans="1:26">
      <c r="A8" s="17" t="s">
        <v>46</v>
      </c>
      <c r="B8" s="7">
        <f>IF(B$4="","",IFERROR(INDIRECT("'"&amp;B$4&amp;"'!"&amp;$Z8),""))</f>
        <v>0</v>
      </c>
      <c r="C8" s="7">
        <f>IF(C$4="","",IFERROR(INDIRECT("'"&amp;C$4&amp;"'!"&amp;$Z8),""))</f>
        <v>0</v>
      </c>
      <c r="D8" s="7">
        <f>IF(D$4="","",IFERROR(INDIRECT("'"&amp;D$4&amp;"'!"&amp;$Z8),""))</f>
        <v>0</v>
      </c>
      <c r="E8" s="7">
        <f>IF(E$4="","",IFERROR(INDIRECT("'"&amp;E$4&amp;"'!"&amp;$Z8),""))</f>
        <v>0</v>
      </c>
      <c r="F8" s="7">
        <f>IF(F$4="","",IFERROR(INDIRECT("'"&amp;F$4&amp;"'!"&amp;$Z8),""))</f>
        <v>0</v>
      </c>
      <c r="G8" s="7">
        <f>IF(G$4="","",IFERROR(INDIRECT("'"&amp;G$4&amp;"'!"&amp;$Z8),""))</f>
        <v>0</v>
      </c>
      <c r="H8" s="7">
        <f>IF(H$4="","",IFERROR(INDIRECT("'"&amp;H$4&amp;"'!"&amp;$Z8),""))</f>
        <v>0</v>
      </c>
      <c r="I8" s="7">
        <f>IF(I$4="","",IFERROR(INDIRECT("'"&amp;I$4&amp;"'!"&amp;$Z8),""))</f>
        <v>0</v>
      </c>
      <c r="J8" s="7">
        <f>IF(J$4="","",IFERROR(INDIRECT("'"&amp;J$4&amp;"'!"&amp;$Z8),""))</f>
        <v>0</v>
      </c>
      <c r="K8" s="7">
        <f>IF(K$4="","",IFERROR(INDIRECT("'"&amp;K$4&amp;"'!"&amp;$Z8),""))</f>
        <v>0</v>
      </c>
      <c r="L8" s="7">
        <f>IF(L$4="","",IFERROR(INDIRECT("'"&amp;L$4&amp;"'!"&amp;$Z8),""))</f>
        <v>0</v>
      </c>
      <c r="M8" s="7">
        <f>IF(M$4="","",IFERROR(INDIRECT("'"&amp;M$4&amp;"'!"&amp;$Z8),""))</f>
        <v>0</v>
      </c>
      <c r="N8" s="7">
        <f>IF(N$4="","",IFERROR(INDIRECT("'"&amp;N$4&amp;"'!"&amp;$Z8),""))</f>
        <v>0</v>
      </c>
      <c r="O8" s="7">
        <f>IF(O$4="","",IFERROR(INDIRECT("'"&amp;O$4&amp;"'!"&amp;$Z8),""))</f>
        <v>0</v>
      </c>
      <c r="P8" s="7">
        <f>IF(P$4="","",IFERROR(INDIRECT("'"&amp;P$4&amp;"'!"&amp;$Z8),""))</f>
        <v>0</v>
      </c>
      <c r="Q8" s="7">
        <f>IF(Q$4="","",IFERROR(INDIRECT("'"&amp;Q$4&amp;"'!"&amp;$Z8),""))</f>
        <v>0</v>
      </c>
      <c r="R8" s="7">
        <f>IF(R$4="","",IFERROR(INDIRECT("'"&amp;R$4&amp;"'!"&amp;$Z8),""))</f>
        <v>0</v>
      </c>
      <c r="S8" s="7">
        <f>IF(S$4="","",IFERROR(INDIRECT("'"&amp;S$4&amp;"'!"&amp;$Z8),""))</f>
        <v>0</v>
      </c>
      <c r="T8" s="7">
        <f>IF(T$4="","",IFERROR(INDIRECT("'"&amp;T$4&amp;"'!"&amp;$Z8),""))</f>
        <v>0</v>
      </c>
      <c r="U8" s="7">
        <f>IF(U$4="","",IFERROR(INDIRECT("'"&amp;U$4&amp;"'!"&amp;$Z8),""))</f>
        <v>0</v>
      </c>
      <c r="V8" s="7">
        <f>IF(V$4="","",IFERROR(INDIRECT("'"&amp;V$4&amp;"'!"&amp;$Z8),""))</f>
        <v>0</v>
      </c>
      <c r="W8" s="7">
        <f>IF(W$4="","",IFERROR(INDIRECT("'"&amp;W$4&amp;"'!"&amp;$Z8),""))</f>
        <v>0</v>
      </c>
      <c r="X8" s="7">
        <f>IF(X$4="","",IFERROR(INDIRECT("'"&amp;X$4&amp;"'!"&amp;$Z8),""))</f>
        <v>0</v>
      </c>
      <c r="Z8" t="s">
        <v>514</v>
      </c>
    </row>
    <row r="9" spans="1:26">
      <c r="A9" s="17" t="s">
        <v>292</v>
      </c>
      <c r="B9" s="7">
        <f>IF(B$4="","",IFERROR(INDIRECT("'"&amp;B$4&amp;"'!"&amp;$Z9),""))</f>
        <v>0</v>
      </c>
      <c r="C9" s="7">
        <f>IF(C$4="","",IFERROR(INDIRECT("'"&amp;C$4&amp;"'!"&amp;$Z9),""))</f>
        <v>0</v>
      </c>
      <c r="D9" s="7">
        <f>IF(D$4="","",IFERROR(INDIRECT("'"&amp;D$4&amp;"'!"&amp;$Z9),""))</f>
        <v>0</v>
      </c>
      <c r="E9" s="7">
        <f>IF(E$4="","",IFERROR(INDIRECT("'"&amp;E$4&amp;"'!"&amp;$Z9),""))</f>
        <v>0</v>
      </c>
      <c r="F9" s="7">
        <f>IF(F$4="","",IFERROR(INDIRECT("'"&amp;F$4&amp;"'!"&amp;$Z9),""))</f>
        <v>0</v>
      </c>
      <c r="G9" s="7">
        <f>IF(G$4="","",IFERROR(INDIRECT("'"&amp;G$4&amp;"'!"&amp;$Z9),""))</f>
        <v>0</v>
      </c>
      <c r="H9" s="7">
        <f>IF(H$4="","",IFERROR(INDIRECT("'"&amp;H$4&amp;"'!"&amp;$Z9),""))</f>
        <v>0</v>
      </c>
      <c r="I9" s="7">
        <f>IF(I$4="","",IFERROR(INDIRECT("'"&amp;I$4&amp;"'!"&amp;$Z9),""))</f>
        <v>0</v>
      </c>
      <c r="J9" s="7">
        <f>IF(J$4="","",IFERROR(INDIRECT("'"&amp;J$4&amp;"'!"&amp;$Z9),""))</f>
        <v>0</v>
      </c>
      <c r="K9" s="7">
        <f>IF(K$4="","",IFERROR(INDIRECT("'"&amp;K$4&amp;"'!"&amp;$Z9),""))</f>
        <v>0</v>
      </c>
      <c r="L9" s="7">
        <f>IF(L$4="","",IFERROR(INDIRECT("'"&amp;L$4&amp;"'!"&amp;$Z9),""))</f>
        <v>0</v>
      </c>
      <c r="M9" s="7">
        <f>IF(M$4="","",IFERROR(INDIRECT("'"&amp;M$4&amp;"'!"&amp;$Z9),""))</f>
        <v>0</v>
      </c>
      <c r="N9" s="7">
        <f>IF(N$4="","",IFERROR(INDIRECT("'"&amp;N$4&amp;"'!"&amp;$Z9),""))</f>
        <v>0</v>
      </c>
      <c r="O9" s="7">
        <f>IF(O$4="","",IFERROR(INDIRECT("'"&amp;O$4&amp;"'!"&amp;$Z9),""))</f>
        <v>0</v>
      </c>
      <c r="P9" s="7">
        <f>IF(P$4="","",IFERROR(INDIRECT("'"&amp;P$4&amp;"'!"&amp;$Z9),""))</f>
        <v>0</v>
      </c>
      <c r="Q9" s="7">
        <f>IF(Q$4="","",IFERROR(INDIRECT("'"&amp;Q$4&amp;"'!"&amp;$Z9),""))</f>
        <v>0</v>
      </c>
      <c r="R9" s="7">
        <f>IF(R$4="","",IFERROR(INDIRECT("'"&amp;R$4&amp;"'!"&amp;$Z9),""))</f>
        <v>0</v>
      </c>
      <c r="S9" s="7">
        <f>IF(S$4="","",IFERROR(INDIRECT("'"&amp;S$4&amp;"'!"&amp;$Z9),""))</f>
        <v>0</v>
      </c>
      <c r="T9" s="7">
        <f>IF(T$4="","",IFERROR(INDIRECT("'"&amp;T$4&amp;"'!"&amp;$Z9),""))</f>
        <v>0</v>
      </c>
      <c r="U9" s="7">
        <f>IF(U$4="","",IFERROR(INDIRECT("'"&amp;U$4&amp;"'!"&amp;$Z9),""))</f>
        <v>0</v>
      </c>
      <c r="V9" s="7">
        <f>IF(V$4="","",IFERROR(INDIRECT("'"&amp;V$4&amp;"'!"&amp;$Z9),""))</f>
        <v>0</v>
      </c>
      <c r="W9" s="7">
        <f>IF(W$4="","",IFERROR(INDIRECT("'"&amp;W$4&amp;"'!"&amp;$Z9),""))</f>
        <v>0</v>
      </c>
      <c r="X9" s="7">
        <f>IF(X$4="","",IFERROR(INDIRECT("'"&amp;X$4&amp;"'!"&amp;$Z9),""))</f>
        <v>0</v>
      </c>
      <c r="Z9" t="s">
        <v>741</v>
      </c>
    </row>
    <row r="10" spans="1:26">
      <c r="A10" s="17" t="s">
        <v>742</v>
      </c>
      <c r="B10" s="18">
        <f>IF(B$4="","",IFERROR(INDIRECT("'"&amp;B$4&amp;"'!"&amp;$Z10),""))</f>
        <v>0</v>
      </c>
      <c r="C10" s="18">
        <f>IF(C$4="","",IFERROR(INDIRECT("'"&amp;C$4&amp;"'!"&amp;$Z10),""))</f>
        <v>0</v>
      </c>
      <c r="D10" s="18">
        <f>IF(D$4="","",IFERROR(INDIRECT("'"&amp;D$4&amp;"'!"&amp;$Z10),""))</f>
        <v>0</v>
      </c>
      <c r="E10" s="18">
        <f>IF(E$4="","",IFERROR(INDIRECT("'"&amp;E$4&amp;"'!"&amp;$Z10),""))</f>
        <v>0</v>
      </c>
      <c r="F10" s="18">
        <f>IF(F$4="","",IFERROR(INDIRECT("'"&amp;F$4&amp;"'!"&amp;$Z10),""))</f>
        <v>0</v>
      </c>
      <c r="G10" s="18">
        <f>IF(G$4="","",IFERROR(INDIRECT("'"&amp;G$4&amp;"'!"&amp;$Z10),""))</f>
        <v>0</v>
      </c>
      <c r="H10" s="18">
        <f>IF(H$4="","",IFERROR(INDIRECT("'"&amp;H$4&amp;"'!"&amp;$Z10),""))</f>
        <v>0</v>
      </c>
      <c r="I10" s="18">
        <f>IF(I$4="","",IFERROR(INDIRECT("'"&amp;I$4&amp;"'!"&amp;$Z10),""))</f>
        <v>0</v>
      </c>
      <c r="J10" s="18">
        <f>IF(J$4="","",IFERROR(INDIRECT("'"&amp;J$4&amp;"'!"&amp;$Z10),""))</f>
        <v>0</v>
      </c>
      <c r="K10" s="18">
        <f>IF(K$4="","",IFERROR(INDIRECT("'"&amp;K$4&amp;"'!"&amp;$Z10),""))</f>
        <v>0</v>
      </c>
      <c r="L10" s="18">
        <f>IF(L$4="","",IFERROR(INDIRECT("'"&amp;L$4&amp;"'!"&amp;$Z10),""))</f>
        <v>0</v>
      </c>
      <c r="M10" s="18">
        <f>IF(M$4="","",IFERROR(INDIRECT("'"&amp;M$4&amp;"'!"&amp;$Z10),""))</f>
        <v>0</v>
      </c>
      <c r="N10" s="18">
        <f>IF(N$4="","",IFERROR(INDIRECT("'"&amp;N$4&amp;"'!"&amp;$Z10),""))</f>
        <v>0</v>
      </c>
      <c r="O10" s="18">
        <f>IF(O$4="","",IFERROR(INDIRECT("'"&amp;O$4&amp;"'!"&amp;$Z10),""))</f>
        <v>0</v>
      </c>
      <c r="P10" s="18">
        <f>IF(P$4="","",IFERROR(INDIRECT("'"&amp;P$4&amp;"'!"&amp;$Z10),""))</f>
        <v>0</v>
      </c>
      <c r="Q10" s="18">
        <f>IF(Q$4="","",IFERROR(INDIRECT("'"&amp;Q$4&amp;"'!"&amp;$Z10),""))</f>
        <v>0</v>
      </c>
      <c r="R10" s="18">
        <f>IF(R$4="","",IFERROR(INDIRECT("'"&amp;R$4&amp;"'!"&amp;$Z10),""))</f>
        <v>0</v>
      </c>
      <c r="S10" s="18">
        <f>IF(S$4="","",IFERROR(INDIRECT("'"&amp;S$4&amp;"'!"&amp;$Z10),""))</f>
        <v>0</v>
      </c>
      <c r="T10" s="18">
        <f>IF(T$4="","",IFERROR(INDIRECT("'"&amp;T$4&amp;"'!"&amp;$Z10),""))</f>
        <v>0</v>
      </c>
      <c r="U10" s="18">
        <f>IF(U$4="","",IFERROR(INDIRECT("'"&amp;U$4&amp;"'!"&amp;$Z10),""))</f>
        <v>0</v>
      </c>
      <c r="V10" s="18">
        <f>IF(V$4="","",IFERROR(INDIRECT("'"&amp;V$4&amp;"'!"&amp;$Z10),""))</f>
        <v>0</v>
      </c>
      <c r="W10" s="18">
        <f>IF(W$4="","",IFERROR(INDIRECT("'"&amp;W$4&amp;"'!"&amp;$Z10),""))</f>
        <v>0</v>
      </c>
      <c r="X10" s="18">
        <f>IF(X$4="","",IFERROR(INDIRECT("'"&amp;X$4&amp;"'!"&amp;$Z10),""))</f>
        <v>0</v>
      </c>
      <c r="Z10" t="s">
        <v>743</v>
      </c>
    </row>
    <row r="11" spans="1:26">
      <c r="A11" s="17" t="s">
        <v>744</v>
      </c>
      <c r="B11" s="19">
        <f>IF(B$4="","",IFERROR(INDIRECT("'"&amp;B$4&amp;"'!"&amp;$Z11),""))</f>
        <v>0</v>
      </c>
      <c r="C11" s="19">
        <f>IF(C$4="","",IFERROR(INDIRECT("'"&amp;C$4&amp;"'!"&amp;$Z11),""))</f>
        <v>0</v>
      </c>
      <c r="D11" s="19">
        <f>IF(D$4="","",IFERROR(INDIRECT("'"&amp;D$4&amp;"'!"&amp;$Z11),""))</f>
        <v>0</v>
      </c>
      <c r="E11" s="19">
        <f>IF(E$4="","",IFERROR(INDIRECT("'"&amp;E$4&amp;"'!"&amp;$Z11),""))</f>
        <v>0</v>
      </c>
      <c r="F11" s="19">
        <f>IF(F$4="","",IFERROR(INDIRECT("'"&amp;F$4&amp;"'!"&amp;$Z11),""))</f>
        <v>0</v>
      </c>
      <c r="G11" s="19">
        <f>IF(G$4="","",IFERROR(INDIRECT("'"&amp;G$4&amp;"'!"&amp;$Z11),""))</f>
        <v>0</v>
      </c>
      <c r="H11" s="19">
        <f>IF(H$4="","",IFERROR(INDIRECT("'"&amp;H$4&amp;"'!"&amp;$Z11),""))</f>
        <v>0</v>
      </c>
      <c r="I11" s="19">
        <f>IF(I$4="","",IFERROR(INDIRECT("'"&amp;I$4&amp;"'!"&amp;$Z11),""))</f>
        <v>0</v>
      </c>
      <c r="J11" s="19">
        <f>IF(J$4="","",IFERROR(INDIRECT("'"&amp;J$4&amp;"'!"&amp;$Z11),""))</f>
        <v>0</v>
      </c>
      <c r="K11" s="19">
        <f>IF(K$4="","",IFERROR(INDIRECT("'"&amp;K$4&amp;"'!"&amp;$Z11),""))</f>
        <v>0</v>
      </c>
      <c r="L11" s="19">
        <f>IF(L$4="","",IFERROR(INDIRECT("'"&amp;L$4&amp;"'!"&amp;$Z11),""))</f>
        <v>0</v>
      </c>
      <c r="M11" s="19">
        <f>IF(M$4="","",IFERROR(INDIRECT("'"&amp;M$4&amp;"'!"&amp;$Z11),""))</f>
        <v>0</v>
      </c>
      <c r="N11" s="19">
        <f>IF(N$4="","",IFERROR(INDIRECT("'"&amp;N$4&amp;"'!"&amp;$Z11),""))</f>
        <v>0</v>
      </c>
      <c r="O11" s="19">
        <f>IF(O$4="","",IFERROR(INDIRECT("'"&amp;O$4&amp;"'!"&amp;$Z11),""))</f>
        <v>0</v>
      </c>
      <c r="P11" s="19">
        <f>IF(P$4="","",IFERROR(INDIRECT("'"&amp;P$4&amp;"'!"&amp;$Z11),""))</f>
        <v>0</v>
      </c>
      <c r="Q11" s="19">
        <f>IF(Q$4="","",IFERROR(INDIRECT("'"&amp;Q$4&amp;"'!"&amp;$Z11),""))</f>
        <v>0</v>
      </c>
      <c r="R11" s="19">
        <f>IF(R$4="","",IFERROR(INDIRECT("'"&amp;R$4&amp;"'!"&amp;$Z11),""))</f>
        <v>0</v>
      </c>
      <c r="S11" s="19">
        <f>IF(S$4="","",IFERROR(INDIRECT("'"&amp;S$4&amp;"'!"&amp;$Z11),""))</f>
        <v>0</v>
      </c>
      <c r="T11" s="19">
        <f>IF(T$4="","",IFERROR(INDIRECT("'"&amp;T$4&amp;"'!"&amp;$Z11),""))</f>
        <v>0</v>
      </c>
      <c r="U11" s="19">
        <f>IF(U$4="","",IFERROR(INDIRECT("'"&amp;U$4&amp;"'!"&amp;$Z11),""))</f>
        <v>0</v>
      </c>
      <c r="V11" s="19">
        <f>IF(V$4="","",IFERROR(INDIRECT("'"&amp;V$4&amp;"'!"&amp;$Z11),""))</f>
        <v>0</v>
      </c>
      <c r="W11" s="19">
        <f>IF(W$4="","",IFERROR(INDIRECT("'"&amp;W$4&amp;"'!"&amp;$Z11),""))</f>
        <v>0</v>
      </c>
      <c r="X11" s="19">
        <f>IF(X$4="","",IFERROR(INDIRECT("'"&amp;X$4&amp;"'!"&amp;$Z11),""))</f>
        <v>0</v>
      </c>
      <c r="Z11" t="s">
        <v>745</v>
      </c>
    </row>
    <row r="12" spans="1:26">
      <c r="A12" s="17" t="s">
        <v>746</v>
      </c>
      <c r="B12" s="19">
        <f>IF(B$4="","",IFERROR(INDIRECT("'"&amp;B$4&amp;"'!"&amp;$Z12),""))</f>
        <v>0</v>
      </c>
      <c r="C12" s="19">
        <f>IF(C$4="","",IFERROR(INDIRECT("'"&amp;C$4&amp;"'!"&amp;$Z12),""))</f>
        <v>0</v>
      </c>
      <c r="D12" s="19">
        <f>IF(D$4="","",IFERROR(INDIRECT("'"&amp;D$4&amp;"'!"&amp;$Z12),""))</f>
        <v>0</v>
      </c>
      <c r="E12" s="19">
        <f>IF(E$4="","",IFERROR(INDIRECT("'"&amp;E$4&amp;"'!"&amp;$Z12),""))</f>
        <v>0</v>
      </c>
      <c r="F12" s="19">
        <f>IF(F$4="","",IFERROR(INDIRECT("'"&amp;F$4&amp;"'!"&amp;$Z12),""))</f>
        <v>0</v>
      </c>
      <c r="G12" s="19">
        <f>IF(G$4="","",IFERROR(INDIRECT("'"&amp;G$4&amp;"'!"&amp;$Z12),""))</f>
        <v>0</v>
      </c>
      <c r="H12" s="19">
        <f>IF(H$4="","",IFERROR(INDIRECT("'"&amp;H$4&amp;"'!"&amp;$Z12),""))</f>
        <v>0</v>
      </c>
      <c r="I12" s="19">
        <f>IF(I$4="","",IFERROR(INDIRECT("'"&amp;I$4&amp;"'!"&amp;$Z12),""))</f>
        <v>0</v>
      </c>
      <c r="J12" s="19">
        <f>IF(J$4="","",IFERROR(INDIRECT("'"&amp;J$4&amp;"'!"&amp;$Z12),""))</f>
        <v>0</v>
      </c>
      <c r="K12" s="19">
        <f>IF(K$4="","",IFERROR(INDIRECT("'"&amp;K$4&amp;"'!"&amp;$Z12),""))</f>
        <v>0</v>
      </c>
      <c r="L12" s="19">
        <f>IF(L$4="","",IFERROR(INDIRECT("'"&amp;L$4&amp;"'!"&amp;$Z12),""))</f>
        <v>0</v>
      </c>
      <c r="M12" s="19">
        <f>IF(M$4="","",IFERROR(INDIRECT("'"&amp;M$4&amp;"'!"&amp;$Z12),""))</f>
        <v>0</v>
      </c>
      <c r="N12" s="19">
        <f>IF(N$4="","",IFERROR(INDIRECT("'"&amp;N$4&amp;"'!"&amp;$Z12),""))</f>
        <v>0</v>
      </c>
      <c r="O12" s="19">
        <f>IF(O$4="","",IFERROR(INDIRECT("'"&amp;O$4&amp;"'!"&amp;$Z12),""))</f>
        <v>0</v>
      </c>
      <c r="P12" s="19">
        <f>IF(P$4="","",IFERROR(INDIRECT("'"&amp;P$4&amp;"'!"&amp;$Z12),""))</f>
        <v>0</v>
      </c>
      <c r="Q12" s="19">
        <f>IF(Q$4="","",IFERROR(INDIRECT("'"&amp;Q$4&amp;"'!"&amp;$Z12),""))</f>
        <v>0</v>
      </c>
      <c r="R12" s="19">
        <f>IF(R$4="","",IFERROR(INDIRECT("'"&amp;R$4&amp;"'!"&amp;$Z12),""))</f>
        <v>0</v>
      </c>
      <c r="S12" s="19">
        <f>IF(S$4="","",IFERROR(INDIRECT("'"&amp;S$4&amp;"'!"&amp;$Z12),""))</f>
        <v>0</v>
      </c>
      <c r="T12" s="19">
        <f>IF(T$4="","",IFERROR(INDIRECT("'"&amp;T$4&amp;"'!"&amp;$Z12),""))</f>
        <v>0</v>
      </c>
      <c r="U12" s="19">
        <f>IF(U$4="","",IFERROR(INDIRECT("'"&amp;U$4&amp;"'!"&amp;$Z12),""))</f>
        <v>0</v>
      </c>
      <c r="V12" s="19">
        <f>IF(V$4="","",IFERROR(INDIRECT("'"&amp;V$4&amp;"'!"&amp;$Z12),""))</f>
        <v>0</v>
      </c>
      <c r="W12" s="19">
        <f>IF(W$4="","",IFERROR(INDIRECT("'"&amp;W$4&amp;"'!"&amp;$Z12),""))</f>
        <v>0</v>
      </c>
      <c r="X12" s="19">
        <f>IF(X$4="","",IFERROR(INDIRECT("'"&amp;X$4&amp;"'!"&amp;$Z12),""))</f>
        <v>0</v>
      </c>
      <c r="Z12" t="s">
        <v>747</v>
      </c>
    </row>
    <row r="13" spans="1:26">
      <c r="A13" s="17" t="s">
        <v>748</v>
      </c>
      <c r="B13" s="19">
        <f>IF(B$4="","",IFERROR(INDIRECT("'"&amp;B$4&amp;"'!"&amp;$Z13),""))</f>
        <v>0</v>
      </c>
      <c r="C13" s="19">
        <f>IF(C$4="","",IFERROR(INDIRECT("'"&amp;C$4&amp;"'!"&amp;$Z13),""))</f>
        <v>0</v>
      </c>
      <c r="D13" s="19">
        <f>IF(D$4="","",IFERROR(INDIRECT("'"&amp;D$4&amp;"'!"&amp;$Z13),""))</f>
        <v>0</v>
      </c>
      <c r="E13" s="19">
        <f>IF(E$4="","",IFERROR(INDIRECT("'"&amp;E$4&amp;"'!"&amp;$Z13),""))</f>
        <v>0</v>
      </c>
      <c r="F13" s="19">
        <f>IF(F$4="","",IFERROR(INDIRECT("'"&amp;F$4&amp;"'!"&amp;$Z13),""))</f>
        <v>0</v>
      </c>
      <c r="G13" s="19">
        <f>IF(G$4="","",IFERROR(INDIRECT("'"&amp;G$4&amp;"'!"&amp;$Z13),""))</f>
        <v>0</v>
      </c>
      <c r="H13" s="19">
        <f>IF(H$4="","",IFERROR(INDIRECT("'"&amp;H$4&amp;"'!"&amp;$Z13),""))</f>
        <v>0</v>
      </c>
      <c r="I13" s="19">
        <f>IF(I$4="","",IFERROR(INDIRECT("'"&amp;I$4&amp;"'!"&amp;$Z13),""))</f>
        <v>0</v>
      </c>
      <c r="J13" s="19">
        <f>IF(J$4="","",IFERROR(INDIRECT("'"&amp;J$4&amp;"'!"&amp;$Z13),""))</f>
        <v>0</v>
      </c>
      <c r="K13" s="19">
        <f>IF(K$4="","",IFERROR(INDIRECT("'"&amp;K$4&amp;"'!"&amp;$Z13),""))</f>
        <v>0</v>
      </c>
      <c r="L13" s="19">
        <f>IF(L$4="","",IFERROR(INDIRECT("'"&amp;L$4&amp;"'!"&amp;$Z13),""))</f>
        <v>0</v>
      </c>
      <c r="M13" s="19">
        <f>IF(M$4="","",IFERROR(INDIRECT("'"&amp;M$4&amp;"'!"&amp;$Z13),""))</f>
        <v>0</v>
      </c>
      <c r="N13" s="19">
        <f>IF(N$4="","",IFERROR(INDIRECT("'"&amp;N$4&amp;"'!"&amp;$Z13),""))</f>
        <v>0</v>
      </c>
      <c r="O13" s="19">
        <f>IF(O$4="","",IFERROR(INDIRECT("'"&amp;O$4&amp;"'!"&amp;$Z13),""))</f>
        <v>0</v>
      </c>
      <c r="P13" s="19">
        <f>IF(P$4="","",IFERROR(INDIRECT("'"&amp;P$4&amp;"'!"&amp;$Z13),""))</f>
        <v>0</v>
      </c>
      <c r="Q13" s="19">
        <f>IF(Q$4="","",IFERROR(INDIRECT("'"&amp;Q$4&amp;"'!"&amp;$Z13),""))</f>
        <v>0</v>
      </c>
      <c r="R13" s="19">
        <f>IF(R$4="","",IFERROR(INDIRECT("'"&amp;R$4&amp;"'!"&amp;$Z13),""))</f>
        <v>0</v>
      </c>
      <c r="S13" s="19">
        <f>IF(S$4="","",IFERROR(INDIRECT("'"&amp;S$4&amp;"'!"&amp;$Z13),""))</f>
        <v>0</v>
      </c>
      <c r="T13" s="19">
        <f>IF(T$4="","",IFERROR(INDIRECT("'"&amp;T$4&amp;"'!"&amp;$Z13),""))</f>
        <v>0</v>
      </c>
      <c r="U13" s="19">
        <f>IF(U$4="","",IFERROR(INDIRECT("'"&amp;U$4&amp;"'!"&amp;$Z13),""))</f>
        <v>0</v>
      </c>
      <c r="V13" s="19">
        <f>IF(V$4="","",IFERROR(INDIRECT("'"&amp;V$4&amp;"'!"&amp;$Z13),""))</f>
        <v>0</v>
      </c>
      <c r="W13" s="19">
        <f>IF(W$4="","",IFERROR(INDIRECT("'"&amp;W$4&amp;"'!"&amp;$Z13),""))</f>
        <v>0</v>
      </c>
      <c r="X13" s="19">
        <f>IF(X$4="","",IFERROR(INDIRECT("'"&amp;X$4&amp;"'!"&amp;$Z13),""))</f>
        <v>0</v>
      </c>
      <c r="Z13" t="s">
        <v>749</v>
      </c>
    </row>
    <row r="14" spans="1:26">
      <c r="A14" s="17" t="s">
        <v>750</v>
      </c>
      <c r="B14" s="19">
        <f>IF(B$4="","",IFERROR(INDIRECT("'"&amp;B$4&amp;"'!"&amp;$Z14),""))</f>
        <v>0</v>
      </c>
      <c r="C14" s="19">
        <f>IF(C$4="","",IFERROR(INDIRECT("'"&amp;C$4&amp;"'!"&amp;$Z14),""))</f>
        <v>0</v>
      </c>
      <c r="D14" s="19">
        <f>IF(D$4="","",IFERROR(INDIRECT("'"&amp;D$4&amp;"'!"&amp;$Z14),""))</f>
        <v>0</v>
      </c>
      <c r="E14" s="19">
        <f>IF(E$4="","",IFERROR(INDIRECT("'"&amp;E$4&amp;"'!"&amp;$Z14),""))</f>
        <v>0</v>
      </c>
      <c r="F14" s="19">
        <f>IF(F$4="","",IFERROR(INDIRECT("'"&amp;F$4&amp;"'!"&amp;$Z14),""))</f>
        <v>0</v>
      </c>
      <c r="G14" s="19">
        <f>IF(G$4="","",IFERROR(INDIRECT("'"&amp;G$4&amp;"'!"&amp;$Z14),""))</f>
        <v>0</v>
      </c>
      <c r="H14" s="19">
        <f>IF(H$4="","",IFERROR(INDIRECT("'"&amp;H$4&amp;"'!"&amp;$Z14),""))</f>
        <v>0</v>
      </c>
      <c r="I14" s="19">
        <f>IF(I$4="","",IFERROR(INDIRECT("'"&amp;I$4&amp;"'!"&amp;$Z14),""))</f>
        <v>0</v>
      </c>
      <c r="J14" s="19">
        <f>IF(J$4="","",IFERROR(INDIRECT("'"&amp;J$4&amp;"'!"&amp;$Z14),""))</f>
        <v>0</v>
      </c>
      <c r="K14" s="19">
        <f>IF(K$4="","",IFERROR(INDIRECT("'"&amp;K$4&amp;"'!"&amp;$Z14),""))</f>
        <v>0</v>
      </c>
      <c r="L14" s="19">
        <f>IF(L$4="","",IFERROR(INDIRECT("'"&amp;L$4&amp;"'!"&amp;$Z14),""))</f>
        <v>0</v>
      </c>
      <c r="M14" s="19">
        <f>IF(M$4="","",IFERROR(INDIRECT("'"&amp;M$4&amp;"'!"&amp;$Z14),""))</f>
        <v>0</v>
      </c>
      <c r="N14" s="19">
        <f>IF(N$4="","",IFERROR(INDIRECT("'"&amp;N$4&amp;"'!"&amp;$Z14),""))</f>
        <v>0</v>
      </c>
      <c r="O14" s="19">
        <f>IF(O$4="","",IFERROR(INDIRECT("'"&amp;O$4&amp;"'!"&amp;$Z14),""))</f>
        <v>0</v>
      </c>
      <c r="P14" s="19">
        <f>IF(P$4="","",IFERROR(INDIRECT("'"&amp;P$4&amp;"'!"&amp;$Z14),""))</f>
        <v>0</v>
      </c>
      <c r="Q14" s="19">
        <f>IF(Q$4="","",IFERROR(INDIRECT("'"&amp;Q$4&amp;"'!"&amp;$Z14),""))</f>
        <v>0</v>
      </c>
      <c r="R14" s="19">
        <f>IF(R$4="","",IFERROR(INDIRECT("'"&amp;R$4&amp;"'!"&amp;$Z14),""))</f>
        <v>0</v>
      </c>
      <c r="S14" s="19">
        <f>IF(S$4="","",IFERROR(INDIRECT("'"&amp;S$4&amp;"'!"&amp;$Z14),""))</f>
        <v>0</v>
      </c>
      <c r="T14" s="19">
        <f>IF(T$4="","",IFERROR(INDIRECT("'"&amp;T$4&amp;"'!"&amp;$Z14),""))</f>
        <v>0</v>
      </c>
      <c r="U14" s="19">
        <f>IF(U$4="","",IFERROR(INDIRECT("'"&amp;U$4&amp;"'!"&amp;$Z14),""))</f>
        <v>0</v>
      </c>
      <c r="V14" s="19">
        <f>IF(V$4="","",IFERROR(INDIRECT("'"&amp;V$4&amp;"'!"&amp;$Z14),""))</f>
        <v>0</v>
      </c>
      <c r="W14" s="19">
        <f>IF(W$4="","",IFERROR(INDIRECT("'"&amp;W$4&amp;"'!"&amp;$Z14),""))</f>
        <v>0</v>
      </c>
      <c r="X14" s="19">
        <f>IF(X$4="","",IFERROR(INDIRECT("'"&amp;X$4&amp;"'!"&amp;$Z14),""))</f>
        <v>0</v>
      </c>
      <c r="Z14" t="s">
        <v>751</v>
      </c>
    </row>
    <row r="15" spans="1:26">
      <c r="A15" s="17" t="s">
        <v>752</v>
      </c>
      <c r="B15" s="20">
        <f>IF(B$4="","",IFERROR(INDIRECT("'"&amp;B$4&amp;"'!"&amp;$Z15),""))</f>
        <v>0</v>
      </c>
      <c r="C15" s="20">
        <f>IF(C$4="","",IFERROR(INDIRECT("'"&amp;C$4&amp;"'!"&amp;$Z15),""))</f>
        <v>0</v>
      </c>
      <c r="D15" s="20">
        <f>IF(D$4="","",IFERROR(INDIRECT("'"&amp;D$4&amp;"'!"&amp;$Z15),""))</f>
        <v>0</v>
      </c>
      <c r="E15" s="20">
        <f>IF(E$4="","",IFERROR(INDIRECT("'"&amp;E$4&amp;"'!"&amp;$Z15),""))</f>
        <v>0</v>
      </c>
      <c r="F15" s="20">
        <f>IF(F$4="","",IFERROR(INDIRECT("'"&amp;F$4&amp;"'!"&amp;$Z15),""))</f>
        <v>0</v>
      </c>
      <c r="G15" s="20">
        <f>IF(G$4="","",IFERROR(INDIRECT("'"&amp;G$4&amp;"'!"&amp;$Z15),""))</f>
        <v>0</v>
      </c>
      <c r="H15" s="20">
        <f>IF(H$4="","",IFERROR(INDIRECT("'"&amp;H$4&amp;"'!"&amp;$Z15),""))</f>
        <v>0</v>
      </c>
      <c r="I15" s="20">
        <f>IF(I$4="","",IFERROR(INDIRECT("'"&amp;I$4&amp;"'!"&amp;$Z15),""))</f>
        <v>0</v>
      </c>
      <c r="J15" s="20">
        <f>IF(J$4="","",IFERROR(INDIRECT("'"&amp;J$4&amp;"'!"&amp;$Z15),""))</f>
        <v>0</v>
      </c>
      <c r="K15" s="20">
        <f>IF(K$4="","",IFERROR(INDIRECT("'"&amp;K$4&amp;"'!"&amp;$Z15),""))</f>
        <v>0</v>
      </c>
      <c r="L15" s="20">
        <f>IF(L$4="","",IFERROR(INDIRECT("'"&amp;L$4&amp;"'!"&amp;$Z15),""))</f>
        <v>0</v>
      </c>
      <c r="M15" s="20">
        <f>IF(M$4="","",IFERROR(INDIRECT("'"&amp;M$4&amp;"'!"&amp;$Z15),""))</f>
        <v>0</v>
      </c>
      <c r="N15" s="20">
        <f>IF(N$4="","",IFERROR(INDIRECT("'"&amp;N$4&amp;"'!"&amp;$Z15),""))</f>
        <v>0</v>
      </c>
      <c r="O15" s="20">
        <f>IF(O$4="","",IFERROR(INDIRECT("'"&amp;O$4&amp;"'!"&amp;$Z15),""))</f>
        <v>0</v>
      </c>
      <c r="P15" s="20">
        <f>IF(P$4="","",IFERROR(INDIRECT("'"&amp;P$4&amp;"'!"&amp;$Z15),""))</f>
        <v>0</v>
      </c>
      <c r="Q15" s="20">
        <f>IF(Q$4="","",IFERROR(INDIRECT("'"&amp;Q$4&amp;"'!"&amp;$Z15),""))</f>
        <v>0</v>
      </c>
      <c r="R15" s="20">
        <f>IF(R$4="","",IFERROR(INDIRECT("'"&amp;R$4&amp;"'!"&amp;$Z15),""))</f>
        <v>0</v>
      </c>
      <c r="S15" s="20">
        <f>IF(S$4="","",IFERROR(INDIRECT("'"&amp;S$4&amp;"'!"&amp;$Z15),""))</f>
        <v>0</v>
      </c>
      <c r="T15" s="20">
        <f>IF(T$4="","",IFERROR(INDIRECT("'"&amp;T$4&amp;"'!"&amp;$Z15),""))</f>
        <v>0</v>
      </c>
      <c r="U15" s="20">
        <f>IF(U$4="","",IFERROR(INDIRECT("'"&amp;U$4&amp;"'!"&amp;$Z15),""))</f>
        <v>0</v>
      </c>
      <c r="V15" s="20">
        <f>IF(V$4="","",IFERROR(INDIRECT("'"&amp;V$4&amp;"'!"&amp;$Z15),""))</f>
        <v>0</v>
      </c>
      <c r="W15" s="20">
        <f>IF(W$4="","",IFERROR(INDIRECT("'"&amp;W$4&amp;"'!"&amp;$Z15),""))</f>
        <v>0</v>
      </c>
      <c r="X15" s="20">
        <f>IF(X$4="","",IFERROR(INDIRECT("'"&amp;X$4&amp;"'!"&amp;$Z15),""))</f>
        <v>0</v>
      </c>
      <c r="Z15" t="s">
        <v>753</v>
      </c>
    </row>
    <row r="16" spans="1:26">
      <c r="A16" s="17" t="s">
        <v>754</v>
      </c>
      <c r="B16" s="20">
        <f>IF(B$4="","",IFERROR(INDIRECT("'"&amp;B$4&amp;"'!"&amp;$Z16),""))</f>
        <v>0</v>
      </c>
      <c r="C16" s="20">
        <f>IF(C$4="","",IFERROR(INDIRECT("'"&amp;C$4&amp;"'!"&amp;$Z16),""))</f>
        <v>0</v>
      </c>
      <c r="D16" s="20">
        <f>IF(D$4="","",IFERROR(INDIRECT("'"&amp;D$4&amp;"'!"&amp;$Z16),""))</f>
        <v>0</v>
      </c>
      <c r="E16" s="20">
        <f>IF(E$4="","",IFERROR(INDIRECT("'"&amp;E$4&amp;"'!"&amp;$Z16),""))</f>
        <v>0</v>
      </c>
      <c r="F16" s="20">
        <f>IF(F$4="","",IFERROR(INDIRECT("'"&amp;F$4&amp;"'!"&amp;$Z16),""))</f>
        <v>0</v>
      </c>
      <c r="G16" s="20">
        <f>IF(G$4="","",IFERROR(INDIRECT("'"&amp;G$4&amp;"'!"&amp;$Z16),""))</f>
        <v>0</v>
      </c>
      <c r="H16" s="20">
        <f>IF(H$4="","",IFERROR(INDIRECT("'"&amp;H$4&amp;"'!"&amp;$Z16),""))</f>
        <v>0</v>
      </c>
      <c r="I16" s="20">
        <f>IF(I$4="","",IFERROR(INDIRECT("'"&amp;I$4&amp;"'!"&amp;$Z16),""))</f>
        <v>0</v>
      </c>
      <c r="J16" s="20">
        <f>IF(J$4="","",IFERROR(INDIRECT("'"&amp;J$4&amp;"'!"&amp;$Z16),""))</f>
        <v>0</v>
      </c>
      <c r="K16" s="20">
        <f>IF(K$4="","",IFERROR(INDIRECT("'"&amp;K$4&amp;"'!"&amp;$Z16),""))</f>
        <v>0</v>
      </c>
      <c r="L16" s="20">
        <f>IF(L$4="","",IFERROR(INDIRECT("'"&amp;L$4&amp;"'!"&amp;$Z16),""))</f>
        <v>0</v>
      </c>
      <c r="M16" s="20">
        <f>IF(M$4="","",IFERROR(INDIRECT("'"&amp;M$4&amp;"'!"&amp;$Z16),""))</f>
        <v>0</v>
      </c>
      <c r="N16" s="20">
        <f>IF(N$4="","",IFERROR(INDIRECT("'"&amp;N$4&amp;"'!"&amp;$Z16),""))</f>
        <v>0</v>
      </c>
      <c r="O16" s="20">
        <f>IF(O$4="","",IFERROR(INDIRECT("'"&amp;O$4&amp;"'!"&amp;$Z16),""))</f>
        <v>0</v>
      </c>
      <c r="P16" s="20">
        <f>IF(P$4="","",IFERROR(INDIRECT("'"&amp;P$4&amp;"'!"&amp;$Z16),""))</f>
        <v>0</v>
      </c>
      <c r="Q16" s="20">
        <f>IF(Q$4="","",IFERROR(INDIRECT("'"&amp;Q$4&amp;"'!"&amp;$Z16),""))</f>
        <v>0</v>
      </c>
      <c r="R16" s="20">
        <f>IF(R$4="","",IFERROR(INDIRECT("'"&amp;R$4&amp;"'!"&amp;$Z16),""))</f>
        <v>0</v>
      </c>
      <c r="S16" s="20">
        <f>IF(S$4="","",IFERROR(INDIRECT("'"&amp;S$4&amp;"'!"&amp;$Z16),""))</f>
        <v>0</v>
      </c>
      <c r="T16" s="20">
        <f>IF(T$4="","",IFERROR(INDIRECT("'"&amp;T$4&amp;"'!"&amp;$Z16),""))</f>
        <v>0</v>
      </c>
      <c r="U16" s="20">
        <f>IF(U$4="","",IFERROR(INDIRECT("'"&amp;U$4&amp;"'!"&amp;$Z16),""))</f>
        <v>0</v>
      </c>
      <c r="V16" s="20">
        <f>IF(V$4="","",IFERROR(INDIRECT("'"&amp;V$4&amp;"'!"&amp;$Z16),""))</f>
        <v>0</v>
      </c>
      <c r="W16" s="20">
        <f>IF(W$4="","",IFERROR(INDIRECT("'"&amp;W$4&amp;"'!"&amp;$Z16),""))</f>
        <v>0</v>
      </c>
      <c r="X16" s="20">
        <f>IF(X$4="","",IFERROR(INDIRECT("'"&amp;X$4&amp;"'!"&amp;$Z16),""))</f>
        <v>0</v>
      </c>
      <c r="Z16" t="s">
        <v>755</v>
      </c>
    </row>
    <row r="17" spans="1:26">
      <c r="A17" s="17" t="s">
        <v>288</v>
      </c>
      <c r="B17" s="15">
        <f>IF(B$4="","",IFERROR(INDIRECT("'"&amp;B$4&amp;"'!"&amp;$Z17),""))</f>
        <v>0</v>
      </c>
      <c r="C17" s="15">
        <f>IF(C$4="","",IFERROR(INDIRECT("'"&amp;C$4&amp;"'!"&amp;$Z17),""))</f>
        <v>0</v>
      </c>
      <c r="D17" s="15">
        <f>IF(D$4="","",IFERROR(INDIRECT("'"&amp;D$4&amp;"'!"&amp;$Z17),""))</f>
        <v>0</v>
      </c>
      <c r="E17" s="15">
        <f>IF(E$4="","",IFERROR(INDIRECT("'"&amp;E$4&amp;"'!"&amp;$Z17),""))</f>
        <v>0</v>
      </c>
      <c r="F17" s="15">
        <f>IF(F$4="","",IFERROR(INDIRECT("'"&amp;F$4&amp;"'!"&amp;$Z17),""))</f>
        <v>0</v>
      </c>
      <c r="G17" s="15">
        <f>IF(G$4="","",IFERROR(INDIRECT("'"&amp;G$4&amp;"'!"&amp;$Z17),""))</f>
        <v>0</v>
      </c>
      <c r="H17" s="15">
        <f>IF(H$4="","",IFERROR(INDIRECT("'"&amp;H$4&amp;"'!"&amp;$Z17),""))</f>
        <v>0</v>
      </c>
      <c r="I17" s="15">
        <f>IF(I$4="","",IFERROR(INDIRECT("'"&amp;I$4&amp;"'!"&amp;$Z17),""))</f>
        <v>0</v>
      </c>
      <c r="J17" s="15">
        <f>IF(J$4="","",IFERROR(INDIRECT("'"&amp;J$4&amp;"'!"&amp;$Z17),""))</f>
        <v>0</v>
      </c>
      <c r="K17" s="15">
        <f>IF(K$4="","",IFERROR(INDIRECT("'"&amp;K$4&amp;"'!"&amp;$Z17),""))</f>
        <v>0</v>
      </c>
      <c r="L17" s="15">
        <f>IF(L$4="","",IFERROR(INDIRECT("'"&amp;L$4&amp;"'!"&amp;$Z17),""))</f>
        <v>0</v>
      </c>
      <c r="M17" s="15">
        <f>IF(M$4="","",IFERROR(INDIRECT("'"&amp;M$4&amp;"'!"&amp;$Z17),""))</f>
        <v>0</v>
      </c>
      <c r="N17" s="15">
        <f>IF(N$4="","",IFERROR(INDIRECT("'"&amp;N$4&amp;"'!"&amp;$Z17),""))</f>
        <v>0</v>
      </c>
      <c r="O17" s="15">
        <f>IF(O$4="","",IFERROR(INDIRECT("'"&amp;O$4&amp;"'!"&amp;$Z17),""))</f>
        <v>0</v>
      </c>
      <c r="P17" s="15">
        <f>IF(P$4="","",IFERROR(INDIRECT("'"&amp;P$4&amp;"'!"&amp;$Z17),""))</f>
        <v>0</v>
      </c>
      <c r="Q17" s="15">
        <f>IF(Q$4="","",IFERROR(INDIRECT("'"&amp;Q$4&amp;"'!"&amp;$Z17),""))</f>
        <v>0</v>
      </c>
      <c r="R17" s="15">
        <f>IF(R$4="","",IFERROR(INDIRECT("'"&amp;R$4&amp;"'!"&amp;$Z17),""))</f>
        <v>0</v>
      </c>
      <c r="S17" s="15">
        <f>IF(S$4="","",IFERROR(INDIRECT("'"&amp;S$4&amp;"'!"&amp;$Z17),""))</f>
        <v>0</v>
      </c>
      <c r="T17" s="15">
        <f>IF(T$4="","",IFERROR(INDIRECT("'"&amp;T$4&amp;"'!"&amp;$Z17),""))</f>
        <v>0</v>
      </c>
      <c r="U17" s="15">
        <f>IF(U$4="","",IFERROR(INDIRECT("'"&amp;U$4&amp;"'!"&amp;$Z17),""))</f>
        <v>0</v>
      </c>
      <c r="V17" s="15">
        <f>IF(V$4="","",IFERROR(INDIRECT("'"&amp;V$4&amp;"'!"&amp;$Z17),""))</f>
        <v>0</v>
      </c>
      <c r="W17" s="15">
        <f>IF(W$4="","",IFERROR(INDIRECT("'"&amp;W$4&amp;"'!"&amp;$Z17),""))</f>
        <v>0</v>
      </c>
      <c r="X17" s="15">
        <f>IF(X$4="","",IFERROR(INDIRECT("'"&amp;X$4&amp;"'!"&amp;$Z17),""))</f>
        <v>0</v>
      </c>
      <c r="Z17" t="s">
        <v>756</v>
      </c>
    </row>
    <row r="18" spans="1:26" ht="45" customHeight="1">
      <c r="A18" s="17" t="s">
        <v>290</v>
      </c>
      <c r="B18" s="13">
        <f>IF(B$4="","",IFERROR(INDIRECT("'"&amp;B$4&amp;"'!"&amp;$Z18),""))</f>
        <v>0</v>
      </c>
      <c r="C18" s="13">
        <f>IF(C$4="","",IFERROR(INDIRECT("'"&amp;C$4&amp;"'!"&amp;$Z18),""))</f>
        <v>0</v>
      </c>
      <c r="D18" s="13">
        <f>IF(D$4="","",IFERROR(INDIRECT("'"&amp;D$4&amp;"'!"&amp;$Z18),""))</f>
        <v>0</v>
      </c>
      <c r="E18" s="13">
        <f>IF(E$4="","",IFERROR(INDIRECT("'"&amp;E$4&amp;"'!"&amp;$Z18),""))</f>
        <v>0</v>
      </c>
      <c r="F18" s="13">
        <f>IF(F$4="","",IFERROR(INDIRECT("'"&amp;F$4&amp;"'!"&amp;$Z18),""))</f>
        <v>0</v>
      </c>
      <c r="G18" s="13">
        <f>IF(G$4="","",IFERROR(INDIRECT("'"&amp;G$4&amp;"'!"&amp;$Z18),""))</f>
        <v>0</v>
      </c>
      <c r="H18" s="13">
        <f>IF(H$4="","",IFERROR(INDIRECT("'"&amp;H$4&amp;"'!"&amp;$Z18),""))</f>
        <v>0</v>
      </c>
      <c r="I18" s="13">
        <f>IF(I$4="","",IFERROR(INDIRECT("'"&amp;I$4&amp;"'!"&amp;$Z18),""))</f>
        <v>0</v>
      </c>
      <c r="J18" s="13">
        <f>IF(J$4="","",IFERROR(INDIRECT("'"&amp;J$4&amp;"'!"&amp;$Z18),""))</f>
        <v>0</v>
      </c>
      <c r="K18" s="13">
        <f>IF(K$4="","",IFERROR(INDIRECT("'"&amp;K$4&amp;"'!"&amp;$Z18),""))</f>
        <v>0</v>
      </c>
      <c r="L18" s="13">
        <f>IF(L$4="","",IFERROR(INDIRECT("'"&amp;L$4&amp;"'!"&amp;$Z18),""))</f>
        <v>0</v>
      </c>
      <c r="M18" s="13">
        <f>IF(M$4="","",IFERROR(INDIRECT("'"&amp;M$4&amp;"'!"&amp;$Z18),""))</f>
        <v>0</v>
      </c>
      <c r="N18" s="13">
        <f>IF(N$4="","",IFERROR(INDIRECT("'"&amp;N$4&amp;"'!"&amp;$Z18),""))</f>
        <v>0</v>
      </c>
      <c r="O18" s="13">
        <f>IF(O$4="","",IFERROR(INDIRECT("'"&amp;O$4&amp;"'!"&amp;$Z18),""))</f>
        <v>0</v>
      </c>
      <c r="P18" s="13">
        <f>IF(P$4="","",IFERROR(INDIRECT("'"&amp;P$4&amp;"'!"&amp;$Z18),""))</f>
        <v>0</v>
      </c>
      <c r="Q18" s="13">
        <f>IF(Q$4="","",IFERROR(INDIRECT("'"&amp;Q$4&amp;"'!"&amp;$Z18),""))</f>
        <v>0</v>
      </c>
      <c r="R18" s="13">
        <f>IF(R$4="","",IFERROR(INDIRECT("'"&amp;R$4&amp;"'!"&amp;$Z18),""))</f>
        <v>0</v>
      </c>
      <c r="S18" s="13">
        <f>IF(S$4="","",IFERROR(INDIRECT("'"&amp;S$4&amp;"'!"&amp;$Z18),""))</f>
        <v>0</v>
      </c>
      <c r="T18" s="13">
        <f>IF(T$4="","",IFERROR(INDIRECT("'"&amp;T$4&amp;"'!"&amp;$Z18),""))</f>
        <v>0</v>
      </c>
      <c r="U18" s="13">
        <f>IF(U$4="","",IFERROR(INDIRECT("'"&amp;U$4&amp;"'!"&amp;$Z18),""))</f>
        <v>0</v>
      </c>
      <c r="V18" s="13">
        <f>IF(V$4="","",IFERROR(INDIRECT("'"&amp;V$4&amp;"'!"&amp;$Z18),""))</f>
        <v>0</v>
      </c>
      <c r="W18" s="13">
        <f>IF(W$4="","",IFERROR(INDIRECT("'"&amp;W$4&amp;"'!"&amp;$Z18),""))</f>
        <v>0</v>
      </c>
      <c r="X18" s="13">
        <f>IF(X$4="","",IFERROR(INDIRECT("'"&amp;X$4&amp;"'!"&amp;$Z18),""))</f>
        <v>0</v>
      </c>
      <c r="Z18" t="s">
        <v>498</v>
      </c>
    </row>
    <row r="19" spans="1:26">
      <c r="A19" s="17" t="s">
        <v>757</v>
      </c>
      <c r="B19" s="15">
        <f>IF(B$4="","",IFERROR(INDIRECT("'"&amp;B$4&amp;"'!"&amp;$Z19),""))</f>
        <v>0</v>
      </c>
      <c r="C19" s="15">
        <f>IF(C$4="","",IFERROR(INDIRECT("'"&amp;C$4&amp;"'!"&amp;$Z19),""))</f>
        <v>0</v>
      </c>
      <c r="D19" s="15">
        <f>IF(D$4="","",IFERROR(INDIRECT("'"&amp;D$4&amp;"'!"&amp;$Z19),""))</f>
        <v>0</v>
      </c>
      <c r="E19" s="15">
        <f>IF(E$4="","",IFERROR(INDIRECT("'"&amp;E$4&amp;"'!"&amp;$Z19),""))</f>
        <v>0</v>
      </c>
      <c r="F19" s="15">
        <f>IF(F$4="","",IFERROR(INDIRECT("'"&amp;F$4&amp;"'!"&amp;$Z19),""))</f>
        <v>0</v>
      </c>
      <c r="G19" s="15">
        <f>IF(G$4="","",IFERROR(INDIRECT("'"&amp;G$4&amp;"'!"&amp;$Z19),""))</f>
        <v>0</v>
      </c>
      <c r="H19" s="15">
        <f>IF(H$4="","",IFERROR(INDIRECT("'"&amp;H$4&amp;"'!"&amp;$Z19),""))</f>
        <v>0</v>
      </c>
      <c r="I19" s="15">
        <f>IF(I$4="","",IFERROR(INDIRECT("'"&amp;I$4&amp;"'!"&amp;$Z19),""))</f>
        <v>0</v>
      </c>
      <c r="J19" s="15">
        <f>IF(J$4="","",IFERROR(INDIRECT("'"&amp;J$4&amp;"'!"&amp;$Z19),""))</f>
        <v>0</v>
      </c>
      <c r="K19" s="15">
        <f>IF(K$4="","",IFERROR(INDIRECT("'"&amp;K$4&amp;"'!"&amp;$Z19),""))</f>
        <v>0</v>
      </c>
      <c r="L19" s="15">
        <f>IF(L$4="","",IFERROR(INDIRECT("'"&amp;L$4&amp;"'!"&amp;$Z19),""))</f>
        <v>0</v>
      </c>
      <c r="M19" s="15">
        <f>IF(M$4="","",IFERROR(INDIRECT("'"&amp;M$4&amp;"'!"&amp;$Z19),""))</f>
        <v>0</v>
      </c>
      <c r="N19" s="15">
        <f>IF(N$4="","",IFERROR(INDIRECT("'"&amp;N$4&amp;"'!"&amp;$Z19),""))</f>
        <v>0</v>
      </c>
      <c r="O19" s="15">
        <f>IF(O$4="","",IFERROR(INDIRECT("'"&amp;O$4&amp;"'!"&amp;$Z19),""))</f>
        <v>0</v>
      </c>
      <c r="P19" s="15">
        <f>IF(P$4="","",IFERROR(INDIRECT("'"&amp;P$4&amp;"'!"&amp;$Z19),""))</f>
        <v>0</v>
      </c>
      <c r="Q19" s="15">
        <f>IF(Q$4="","",IFERROR(INDIRECT("'"&amp;Q$4&amp;"'!"&amp;$Z19),""))</f>
        <v>0</v>
      </c>
      <c r="R19" s="15">
        <f>IF(R$4="","",IFERROR(INDIRECT("'"&amp;R$4&amp;"'!"&amp;$Z19),""))</f>
        <v>0</v>
      </c>
      <c r="S19" s="15">
        <f>IF(S$4="","",IFERROR(INDIRECT("'"&amp;S$4&amp;"'!"&amp;$Z19),""))</f>
        <v>0</v>
      </c>
      <c r="T19" s="15">
        <f>IF(T$4="","",IFERROR(INDIRECT("'"&amp;T$4&amp;"'!"&amp;$Z19),""))</f>
        <v>0</v>
      </c>
      <c r="U19" s="15">
        <f>IF(U$4="","",IFERROR(INDIRECT("'"&amp;U$4&amp;"'!"&amp;$Z19),""))</f>
        <v>0</v>
      </c>
      <c r="V19" s="15">
        <f>IF(V$4="","",IFERROR(INDIRECT("'"&amp;V$4&amp;"'!"&amp;$Z19),""))</f>
        <v>0</v>
      </c>
      <c r="W19" s="15">
        <f>IF(W$4="","",IFERROR(INDIRECT("'"&amp;W$4&amp;"'!"&amp;$Z19),""))</f>
        <v>0</v>
      </c>
      <c r="X19" s="15">
        <f>IF(X$4="","",IFERROR(INDIRECT("'"&amp;X$4&amp;"'!"&amp;$Z19),""))</f>
        <v>0</v>
      </c>
      <c r="Z19" t="s">
        <v>758</v>
      </c>
    </row>
    <row r="20" spans="1:26" ht="24" customHeight="1">
      <c r="A20" s="21" t="s">
        <v>506</v>
      </c>
      <c r="B20" s="15">
        <f>IF(B$4="","",IFERROR(INDIRECT("'"&amp;B$4&amp;"'!"&amp;$Z20),""))</f>
        <v>0</v>
      </c>
      <c r="C20" s="15">
        <f>IF(C$4="","",IFERROR(INDIRECT("'"&amp;C$4&amp;"'!"&amp;$Z20),""))</f>
        <v>0</v>
      </c>
      <c r="D20" s="15">
        <f>IF(D$4="","",IFERROR(INDIRECT("'"&amp;D$4&amp;"'!"&amp;$Z20),""))</f>
        <v>0</v>
      </c>
      <c r="E20" s="15">
        <f>IF(E$4="","",IFERROR(INDIRECT("'"&amp;E$4&amp;"'!"&amp;$Z20),""))</f>
        <v>0</v>
      </c>
      <c r="F20" s="15">
        <f>IF(F$4="","",IFERROR(INDIRECT("'"&amp;F$4&amp;"'!"&amp;$Z20),""))</f>
        <v>0</v>
      </c>
      <c r="G20" s="15">
        <f>IF(G$4="","",IFERROR(INDIRECT("'"&amp;G$4&amp;"'!"&amp;$Z20),""))</f>
        <v>0</v>
      </c>
      <c r="H20" s="15">
        <f>IF(H$4="","",IFERROR(INDIRECT("'"&amp;H$4&amp;"'!"&amp;$Z20),""))</f>
        <v>0</v>
      </c>
      <c r="I20" s="15">
        <f>IF(I$4="","",IFERROR(INDIRECT("'"&amp;I$4&amp;"'!"&amp;$Z20),""))</f>
        <v>0</v>
      </c>
      <c r="J20" s="15">
        <f>IF(J$4="","",IFERROR(INDIRECT("'"&amp;J$4&amp;"'!"&amp;$Z20),""))</f>
        <v>0</v>
      </c>
      <c r="K20" s="15">
        <f>IF(K$4="","",IFERROR(INDIRECT("'"&amp;K$4&amp;"'!"&amp;$Z20),""))</f>
        <v>0</v>
      </c>
      <c r="L20" s="15">
        <f>IF(L$4="","",IFERROR(INDIRECT("'"&amp;L$4&amp;"'!"&amp;$Z20),""))</f>
        <v>0</v>
      </c>
      <c r="M20" s="15">
        <f>IF(M$4="","",IFERROR(INDIRECT("'"&amp;M$4&amp;"'!"&amp;$Z20),""))</f>
        <v>0</v>
      </c>
      <c r="N20" s="15">
        <f>IF(N$4="","",IFERROR(INDIRECT("'"&amp;N$4&amp;"'!"&amp;$Z20),""))</f>
        <v>0</v>
      </c>
      <c r="O20" s="15">
        <f>IF(O$4="","",IFERROR(INDIRECT("'"&amp;O$4&amp;"'!"&amp;$Z20),""))</f>
        <v>0</v>
      </c>
      <c r="P20" s="15">
        <f>IF(P$4="","",IFERROR(INDIRECT("'"&amp;P$4&amp;"'!"&amp;$Z20),""))</f>
        <v>0</v>
      </c>
      <c r="Q20" s="15">
        <f>IF(Q$4="","",IFERROR(INDIRECT("'"&amp;Q$4&amp;"'!"&amp;$Z20),""))</f>
        <v>0</v>
      </c>
      <c r="R20" s="15">
        <f>IF(R$4="","",IFERROR(INDIRECT("'"&amp;R$4&amp;"'!"&amp;$Z20),""))</f>
        <v>0</v>
      </c>
      <c r="S20" s="15">
        <f>IF(S$4="","",IFERROR(INDIRECT("'"&amp;S$4&amp;"'!"&amp;$Z20),""))</f>
        <v>0</v>
      </c>
      <c r="T20" s="15">
        <f>IF(T$4="","",IFERROR(INDIRECT("'"&amp;T$4&amp;"'!"&amp;$Z20),""))</f>
        <v>0</v>
      </c>
      <c r="U20" s="15">
        <f>IF(U$4="","",IFERROR(INDIRECT("'"&amp;U$4&amp;"'!"&amp;$Z20),""))</f>
        <v>0</v>
      </c>
      <c r="V20" s="15">
        <f>IF(V$4="","",IFERROR(INDIRECT("'"&amp;V$4&amp;"'!"&amp;$Z20),""))</f>
        <v>0</v>
      </c>
      <c r="W20" s="15">
        <f>IF(W$4="","",IFERROR(INDIRECT("'"&amp;W$4&amp;"'!"&amp;$Z20),""))</f>
        <v>0</v>
      </c>
      <c r="X20" s="15">
        <f>IF(X$4="","",IFERROR(INDIRECT("'"&amp;X$4&amp;"'!"&amp;$Z20),""))</f>
        <v>0</v>
      </c>
      <c r="Z20" t="s">
        <v>759</v>
      </c>
    </row>
    <row r="21" spans="1:26" ht="45" customHeight="1">
      <c r="A21" s="17" t="s">
        <v>286</v>
      </c>
      <c r="B21" s="13">
        <f>IF(B$4="","",IFERROR(INDIRECT("'"&amp;B$4&amp;"'!"&amp;$Z21),""))</f>
        <v>0</v>
      </c>
      <c r="C21" s="13">
        <f>IF(C$4="","",IFERROR(INDIRECT("'"&amp;C$4&amp;"'!"&amp;$Z21),""))</f>
        <v>0</v>
      </c>
      <c r="D21" s="13">
        <f>IF(D$4="","",IFERROR(INDIRECT("'"&amp;D$4&amp;"'!"&amp;$Z21),""))</f>
        <v>0</v>
      </c>
      <c r="E21" s="13">
        <f>IF(E$4="","",IFERROR(INDIRECT("'"&amp;E$4&amp;"'!"&amp;$Z21),""))</f>
        <v>0</v>
      </c>
      <c r="F21" s="13">
        <f>IF(F$4="","",IFERROR(INDIRECT("'"&amp;F$4&amp;"'!"&amp;$Z21),""))</f>
        <v>0</v>
      </c>
      <c r="G21" s="13">
        <f>IF(G$4="","",IFERROR(INDIRECT("'"&amp;G$4&amp;"'!"&amp;$Z21),""))</f>
        <v>0</v>
      </c>
      <c r="H21" s="13">
        <f>IF(H$4="","",IFERROR(INDIRECT("'"&amp;H$4&amp;"'!"&amp;$Z21),""))</f>
        <v>0</v>
      </c>
      <c r="I21" s="13">
        <f>IF(I$4="","",IFERROR(INDIRECT("'"&amp;I$4&amp;"'!"&amp;$Z21),""))</f>
        <v>0</v>
      </c>
      <c r="J21" s="13">
        <f>IF(J$4="","",IFERROR(INDIRECT("'"&amp;J$4&amp;"'!"&amp;$Z21),""))</f>
        <v>0</v>
      </c>
      <c r="K21" s="13">
        <f>IF(K$4="","",IFERROR(INDIRECT("'"&amp;K$4&amp;"'!"&amp;$Z21),""))</f>
        <v>0</v>
      </c>
      <c r="L21" s="13">
        <f>IF(L$4="","",IFERROR(INDIRECT("'"&amp;L$4&amp;"'!"&amp;$Z21),""))</f>
        <v>0</v>
      </c>
      <c r="M21" s="13">
        <f>IF(M$4="","",IFERROR(INDIRECT("'"&amp;M$4&amp;"'!"&amp;$Z21),""))</f>
        <v>0</v>
      </c>
      <c r="N21" s="13">
        <f>IF(N$4="","",IFERROR(INDIRECT("'"&amp;N$4&amp;"'!"&amp;$Z21),""))</f>
        <v>0</v>
      </c>
      <c r="O21" s="13">
        <f>IF(O$4="","",IFERROR(INDIRECT("'"&amp;O$4&amp;"'!"&amp;$Z21),""))</f>
        <v>0</v>
      </c>
      <c r="P21" s="13">
        <f>IF(P$4="","",IFERROR(INDIRECT("'"&amp;P$4&amp;"'!"&amp;$Z21),""))</f>
        <v>0</v>
      </c>
      <c r="Q21" s="13">
        <f>IF(Q$4="","",IFERROR(INDIRECT("'"&amp;Q$4&amp;"'!"&amp;$Z21),""))</f>
        <v>0</v>
      </c>
      <c r="R21" s="13">
        <f>IF(R$4="","",IFERROR(INDIRECT("'"&amp;R$4&amp;"'!"&amp;$Z21),""))</f>
        <v>0</v>
      </c>
      <c r="S21" s="13">
        <f>IF(S$4="","",IFERROR(INDIRECT("'"&amp;S$4&amp;"'!"&amp;$Z21),""))</f>
        <v>0</v>
      </c>
      <c r="T21" s="13">
        <f>IF(T$4="","",IFERROR(INDIRECT("'"&amp;T$4&amp;"'!"&amp;$Z21),""))</f>
        <v>0</v>
      </c>
      <c r="U21" s="13">
        <f>IF(U$4="","",IFERROR(INDIRECT("'"&amp;U$4&amp;"'!"&amp;$Z21),""))</f>
        <v>0</v>
      </c>
      <c r="V21" s="13">
        <f>IF(V$4="","",IFERROR(INDIRECT("'"&amp;V$4&amp;"'!"&amp;$Z21),""))</f>
        <v>0</v>
      </c>
      <c r="W21" s="13">
        <f>IF(W$4="","",IFERROR(INDIRECT("'"&amp;W$4&amp;"'!"&amp;$Z21),""))</f>
        <v>0</v>
      </c>
      <c r="X21" s="13">
        <f>IF(X$4="","",IFERROR(INDIRECT("'"&amp;X$4&amp;"'!"&amp;$Z21),""))</f>
        <v>0</v>
      </c>
      <c r="Z21" t="s">
        <v>760</v>
      </c>
    </row>
    <row r="22" spans="1:26">
      <c r="A22" s="17" t="s">
        <v>761</v>
      </c>
      <c r="B22" s="15">
        <f>IF(B$4="","",IFERROR(INDIRECT("'"&amp;B$4&amp;"'!"&amp;$Z22),""))</f>
        <v>0</v>
      </c>
      <c r="C22" s="15">
        <f>IF(C$4="","",IFERROR(INDIRECT("'"&amp;C$4&amp;"'!"&amp;$Z22),""))</f>
        <v>0</v>
      </c>
      <c r="D22" s="15">
        <f>IF(D$4="","",IFERROR(INDIRECT("'"&amp;D$4&amp;"'!"&amp;$Z22),""))</f>
        <v>0</v>
      </c>
      <c r="E22" s="15">
        <f>IF(E$4="","",IFERROR(INDIRECT("'"&amp;E$4&amp;"'!"&amp;$Z22),""))</f>
        <v>0</v>
      </c>
      <c r="F22" s="15">
        <f>IF(F$4="","",IFERROR(INDIRECT("'"&amp;F$4&amp;"'!"&amp;$Z22),""))</f>
        <v>0</v>
      </c>
      <c r="G22" s="15">
        <f>IF(G$4="","",IFERROR(INDIRECT("'"&amp;G$4&amp;"'!"&amp;$Z22),""))</f>
        <v>0</v>
      </c>
      <c r="H22" s="15">
        <f>IF(H$4="","",IFERROR(INDIRECT("'"&amp;H$4&amp;"'!"&amp;$Z22),""))</f>
        <v>0</v>
      </c>
      <c r="I22" s="15">
        <f>IF(I$4="","",IFERROR(INDIRECT("'"&amp;I$4&amp;"'!"&amp;$Z22),""))</f>
        <v>0</v>
      </c>
      <c r="J22" s="15">
        <f>IF(J$4="","",IFERROR(INDIRECT("'"&amp;J$4&amp;"'!"&amp;$Z22),""))</f>
        <v>0</v>
      </c>
      <c r="K22" s="15">
        <f>IF(K$4="","",IFERROR(INDIRECT("'"&amp;K$4&amp;"'!"&amp;$Z22),""))</f>
        <v>0</v>
      </c>
      <c r="L22" s="15">
        <f>IF(L$4="","",IFERROR(INDIRECT("'"&amp;L$4&amp;"'!"&amp;$Z22),""))</f>
        <v>0</v>
      </c>
      <c r="M22" s="15">
        <f>IF(M$4="","",IFERROR(INDIRECT("'"&amp;M$4&amp;"'!"&amp;$Z22),""))</f>
        <v>0</v>
      </c>
      <c r="N22" s="15">
        <f>IF(N$4="","",IFERROR(INDIRECT("'"&amp;N$4&amp;"'!"&amp;$Z22),""))</f>
        <v>0</v>
      </c>
      <c r="O22" s="15">
        <f>IF(O$4="","",IFERROR(INDIRECT("'"&amp;O$4&amp;"'!"&amp;$Z22),""))</f>
        <v>0</v>
      </c>
      <c r="P22" s="15">
        <f>IF(P$4="","",IFERROR(INDIRECT("'"&amp;P$4&amp;"'!"&amp;$Z22),""))</f>
        <v>0</v>
      </c>
      <c r="Q22" s="15">
        <f>IF(Q$4="","",IFERROR(INDIRECT("'"&amp;Q$4&amp;"'!"&amp;$Z22),""))</f>
        <v>0</v>
      </c>
      <c r="R22" s="15">
        <f>IF(R$4="","",IFERROR(INDIRECT("'"&amp;R$4&amp;"'!"&amp;$Z22),""))</f>
        <v>0</v>
      </c>
      <c r="S22" s="15">
        <f>IF(S$4="","",IFERROR(INDIRECT("'"&amp;S$4&amp;"'!"&amp;$Z22),""))</f>
        <v>0</v>
      </c>
      <c r="T22" s="15">
        <f>IF(T$4="","",IFERROR(INDIRECT("'"&amp;T$4&amp;"'!"&amp;$Z22),""))</f>
        <v>0</v>
      </c>
      <c r="U22" s="15">
        <f>IF(U$4="","",IFERROR(INDIRECT("'"&amp;U$4&amp;"'!"&amp;$Z22),""))</f>
        <v>0</v>
      </c>
      <c r="V22" s="15">
        <f>IF(V$4="","",IFERROR(INDIRECT("'"&amp;V$4&amp;"'!"&amp;$Z22),""))</f>
        <v>0</v>
      </c>
      <c r="W22" s="15">
        <f>IF(W$4="","",IFERROR(INDIRECT("'"&amp;W$4&amp;"'!"&amp;$Z22),""))</f>
        <v>0</v>
      </c>
      <c r="X22" s="15">
        <f>IF(X$4="","",IFERROR(INDIRECT("'"&amp;X$4&amp;"'!"&amp;$Z22),""))</f>
        <v>0</v>
      </c>
      <c r="Z22" t="s">
        <v>489</v>
      </c>
    </row>
    <row r="23" spans="1:26" ht="45" customHeight="1">
      <c r="A23" s="17" t="s">
        <v>762</v>
      </c>
      <c r="B23" s="13">
        <f>IF(B$4="","",IFERROR(INDIRECT("'"&amp;B$4&amp;"'!"&amp;$Z23),""))</f>
        <v>0</v>
      </c>
      <c r="C23" s="13">
        <f>IF(C$4="","",IFERROR(INDIRECT("'"&amp;C$4&amp;"'!"&amp;$Z23),""))</f>
        <v>0</v>
      </c>
      <c r="D23" s="13">
        <f>IF(D$4="","",IFERROR(INDIRECT("'"&amp;D$4&amp;"'!"&amp;$Z23),""))</f>
        <v>0</v>
      </c>
      <c r="E23" s="13">
        <f>IF(E$4="","",IFERROR(INDIRECT("'"&amp;E$4&amp;"'!"&amp;$Z23),""))</f>
        <v>0</v>
      </c>
      <c r="F23" s="13">
        <f>IF(F$4="","",IFERROR(INDIRECT("'"&amp;F$4&amp;"'!"&amp;$Z23),""))</f>
        <v>0</v>
      </c>
      <c r="G23" s="13">
        <f>IF(G$4="","",IFERROR(INDIRECT("'"&amp;G$4&amp;"'!"&amp;$Z23),""))</f>
        <v>0</v>
      </c>
      <c r="H23" s="13">
        <f>IF(H$4="","",IFERROR(INDIRECT("'"&amp;H$4&amp;"'!"&amp;$Z23),""))</f>
        <v>0</v>
      </c>
      <c r="I23" s="13">
        <f>IF(I$4="","",IFERROR(INDIRECT("'"&amp;I$4&amp;"'!"&amp;$Z23),""))</f>
        <v>0</v>
      </c>
      <c r="J23" s="13">
        <f>IF(J$4="","",IFERROR(INDIRECT("'"&amp;J$4&amp;"'!"&amp;$Z23),""))</f>
        <v>0</v>
      </c>
      <c r="K23" s="13">
        <f>IF(K$4="","",IFERROR(INDIRECT("'"&amp;K$4&amp;"'!"&amp;$Z23),""))</f>
        <v>0</v>
      </c>
      <c r="L23" s="13">
        <f>IF(L$4="","",IFERROR(INDIRECT("'"&amp;L$4&amp;"'!"&amp;$Z23),""))</f>
        <v>0</v>
      </c>
      <c r="M23" s="13">
        <f>IF(M$4="","",IFERROR(INDIRECT("'"&amp;M$4&amp;"'!"&amp;$Z23),""))</f>
        <v>0</v>
      </c>
      <c r="N23" s="13">
        <f>IF(N$4="","",IFERROR(INDIRECT("'"&amp;N$4&amp;"'!"&amp;$Z23),""))</f>
        <v>0</v>
      </c>
      <c r="O23" s="13">
        <f>IF(O$4="","",IFERROR(INDIRECT("'"&amp;O$4&amp;"'!"&amp;$Z23),""))</f>
        <v>0</v>
      </c>
      <c r="P23" s="13">
        <f>IF(P$4="","",IFERROR(INDIRECT("'"&amp;P$4&amp;"'!"&amp;$Z23),""))</f>
        <v>0</v>
      </c>
      <c r="Q23" s="13">
        <f>IF(Q$4="","",IFERROR(INDIRECT("'"&amp;Q$4&amp;"'!"&amp;$Z23),""))</f>
        <v>0</v>
      </c>
      <c r="R23" s="13">
        <f>IF(R$4="","",IFERROR(INDIRECT("'"&amp;R$4&amp;"'!"&amp;$Z23),""))</f>
        <v>0</v>
      </c>
      <c r="S23" s="13">
        <f>IF(S$4="","",IFERROR(INDIRECT("'"&amp;S$4&amp;"'!"&amp;$Z23),""))</f>
        <v>0</v>
      </c>
      <c r="T23" s="13">
        <f>IF(T$4="","",IFERROR(INDIRECT("'"&amp;T$4&amp;"'!"&amp;$Z23),""))</f>
        <v>0</v>
      </c>
      <c r="U23" s="13">
        <f>IF(U$4="","",IFERROR(INDIRECT("'"&amp;U$4&amp;"'!"&amp;$Z23),""))</f>
        <v>0</v>
      </c>
      <c r="V23" s="13">
        <f>IF(V$4="","",IFERROR(INDIRECT("'"&amp;V$4&amp;"'!"&amp;$Z23),""))</f>
        <v>0</v>
      </c>
      <c r="W23" s="13">
        <f>IF(W$4="","",IFERROR(INDIRECT("'"&amp;W$4&amp;"'!"&amp;$Z23),""))</f>
        <v>0</v>
      </c>
      <c r="X23" s="13">
        <f>IF(X$4="","",IFERROR(INDIRECT("'"&amp;X$4&amp;"'!"&amp;$Z23),""))</f>
        <v>0</v>
      </c>
      <c r="Z23" t="s">
        <v>138</v>
      </c>
    </row>
    <row r="26" spans="1:26">
      <c r="A26" s="21" t="s">
        <v>763</v>
      </c>
    </row>
    <row r="27" spans="1:26" ht="32" customHeight="1">
      <c r="A27" s="4" t="s">
        <v>764</v>
      </c>
      <c r="B27" s="4"/>
      <c r="C27" s="4"/>
      <c r="D27" s="4"/>
      <c r="E27" s="4"/>
      <c r="F27" s="4"/>
      <c r="G27" s="4"/>
    </row>
    <row r="28" spans="1:26" ht="32" customHeight="1">
      <c r="A28" s="4" t="s">
        <v>765</v>
      </c>
      <c r="B28" s="4"/>
      <c r="C28" s="4"/>
      <c r="D28" s="4"/>
      <c r="E28" s="4"/>
      <c r="F28" s="4"/>
      <c r="G28" s="4"/>
    </row>
    <row r="29" spans="1:26" ht="32" customHeight="1">
      <c r="A29" s="4" t="s">
        <v>766</v>
      </c>
      <c r="B29" s="4"/>
      <c r="C29" s="4"/>
      <c r="D29" s="4"/>
      <c r="E29" s="4"/>
      <c r="F29" s="4"/>
      <c r="G29" s="4"/>
    </row>
  </sheetData>
  <sheetProtection sheet="1" objects="1" scenarios="1" formatColumns="0" formatRows="0"/>
  <mergeCells count="3">
    <mergeCell ref="A27:G27"/>
    <mergeCell ref="A28:G28"/>
    <mergeCell ref="A29:G29"/>
  </mergeCells>
  <conditionalFormatting sqref="B20:X20">
    <cfRule type="expression" dxfId="1" priority="1">
      <formula>AND(ISNUMBER(B20),B20&gt;=8)</formula>
    </cfRule>
    <cfRule type="expression" dxfId="3" priority="2">
      <formula>AND(ISNUMBER(B20),B20&gt;=6,B20&lt;8)</formula>
    </cfRule>
    <cfRule type="expression" dxfId="0" priority="3">
      <formula>OR(AND(ISNUMBER(B20),B20&lt;6),B20="—")</formula>
    </cfRule>
  </conditionalFormatting>
  <conditionalFormatting sqref="B22:X22">
    <cfRule type="expression" dxfId="2" priority="4">
      <formula>AND(ISNUMBER(B22),B22&gt;0)</formula>
    </cfRule>
  </conditionalFormatting>
  <dataValidations count="1">
    <dataValidation allowBlank="1" showInputMessage="1" showErrorMessage="1" promptTitle="Nom de l'onglet du dossier" prompt="Rempli par les macros. Sans macros, tapez ici le nom exact de l'onglet d'un dossier pour l'ajouter à la synthèse." sqref="B4:X4"/>
  </dataValidations>
  <pageMargins left="0.7" right="0.7" top="0.75" bottom="0.75" header="0.3" footer="0.3"/>
  <pageSetup paperSize="9" orientation="landscape"/>
</worksheet>
</file>

<file path=xl/worksheets/sheet3.xml><?xml version="1.0" encoding="utf-8"?>
<worksheet xmlns="http://schemas.openxmlformats.org/spreadsheetml/2006/main" xmlns:r="http://schemas.openxmlformats.org/officeDocument/2006/relationships">
  <sheetPr>
    <pageSetUpPr fitToPage="1"/>
  </sheetPr>
  <dimension ref="A1:F59"/>
  <sheetViews>
    <sheetView showGridLines="0" workbookViewId="0"/>
  </sheetViews>
  <sheetFormatPr defaultRowHeight="15"/>
  <cols>
    <col min="1" max="1" width="38.7109375" customWidth="1"/>
    <col min="2" max="6" width="15.7109375" customWidth="1"/>
    <col min="7" max="7" width="3.7109375" customWidth="1"/>
    <col min="8" max="8" width="24.7109375" customWidth="1"/>
  </cols>
  <sheetData>
    <row r="1" spans="1:6">
      <c r="A1" s="1" t="s">
        <v>767</v>
      </c>
    </row>
    <row r="2" spans="1:6">
      <c r="A2" s="2" t="s">
        <v>768</v>
      </c>
    </row>
    <row r="4" spans="1:6" ht="24" customHeight="1">
      <c r="A4" s="22" t="s">
        <v>769</v>
      </c>
      <c r="B4" s="23" t="s">
        <v>136</v>
      </c>
      <c r="C4" s="23"/>
      <c r="D4" s="22" t="s">
        <v>770</v>
      </c>
      <c r="E4" s="24">
        <f>TODAY()</f>
        <v>0</v>
      </c>
    </row>
    <row r="6" spans="1:6">
      <c r="A6" s="3" t="s">
        <v>771</v>
      </c>
      <c r="B6" s="3"/>
      <c r="C6" s="3"/>
      <c r="D6" s="3"/>
      <c r="E6" s="3"/>
      <c r="F6" s="3"/>
    </row>
    <row r="7" spans="1:6">
      <c r="A7" s="22" t="s">
        <v>772</v>
      </c>
      <c r="B7" s="13">
        <f>IF($B$4="","",IFERROR(IF(INDIRECT("'"&amp;$B$4&amp;"'!A1")="","",INDIRECT("'"&amp;$B$4&amp;"'!A1")),""))</f>
        <v>0</v>
      </c>
      <c r="C7" s="13"/>
      <c r="D7" s="13"/>
      <c r="E7" s="13"/>
      <c r="F7" s="13"/>
    </row>
    <row r="8" spans="1:6">
      <c r="A8" s="22" t="s">
        <v>773</v>
      </c>
      <c r="B8" s="13">
        <f>IF($B$4="","",IFERROR(IF(INDIRECT("'"&amp;$B$4&amp;"'!A2")="","",INDIRECT("'"&amp;$B$4&amp;"'!A2")),""))</f>
        <v>0</v>
      </c>
      <c r="C8" s="13"/>
      <c r="D8" s="13"/>
      <c r="E8" s="13"/>
      <c r="F8" s="13"/>
    </row>
    <row r="9" spans="1:6" ht="48" customHeight="1">
      <c r="A9" s="22" t="s">
        <v>774</v>
      </c>
      <c r="B9" s="13">
        <f>IF($B$4="","",IFERROR(IF(INDIRECT("'"&amp;$B$4&amp;"'!A3")="","",INDIRECT("'"&amp;$B$4&amp;"'!A3")),""))</f>
        <v>0</v>
      </c>
      <c r="C9" s="13"/>
      <c r="D9" s="13"/>
      <c r="E9" s="13"/>
      <c r="F9" s="13"/>
    </row>
    <row r="11" spans="1:6">
      <c r="A11" s="3" t="s">
        <v>775</v>
      </c>
      <c r="B11" s="3"/>
      <c r="C11" s="3"/>
      <c r="D11" s="3"/>
      <c r="E11" s="3"/>
      <c r="F11" s="3"/>
    </row>
    <row r="12" spans="1:6" ht="34" customHeight="1">
      <c r="A12" s="22" t="s">
        <v>285</v>
      </c>
      <c r="B12" s="25">
        <f>IF($B$4="","",IFERROR(IF(INDIRECT("'"&amp;$B$4&amp;"'!B255")="","",INDIRECT("'"&amp;$B$4&amp;"'!B255")),""))</f>
        <v>0</v>
      </c>
      <c r="C12" s="26">
        <f>IF($B$4="","",IFERROR(IF(INDIRECT("'"&amp;$B$4&amp;"'!D6")="","",INDIRECT("'"&amp;$B$4&amp;"'!D6")),""))</f>
        <v>0</v>
      </c>
      <c r="D12" s="26"/>
      <c r="E12" s="26"/>
      <c r="F12" s="26"/>
    </row>
    <row r="13" spans="1:6" ht="30" customHeight="1">
      <c r="A13" s="22" t="s">
        <v>286</v>
      </c>
      <c r="B13" s="13">
        <f>IF($B$4="","",IFERROR(IF(INDIRECT("'"&amp;$B$4&amp;"'!B256")="","",INDIRECT("'"&amp;$B$4&amp;"'!B256")),""))</f>
        <v>0</v>
      </c>
      <c r="C13" s="13"/>
      <c r="D13" s="13"/>
      <c r="E13" s="13"/>
      <c r="F13" s="13"/>
    </row>
    <row r="14" spans="1:6">
      <c r="A14" s="22" t="s">
        <v>109</v>
      </c>
      <c r="B14" s="13">
        <f>IF($B$4="","",IFERROR(IF(INDIRECT("'"&amp;$B$4&amp;"'!F11")="","",INDIRECT("'"&amp;$B$4&amp;"'!F11")),""))</f>
        <v>0</v>
      </c>
      <c r="C14" s="13"/>
      <c r="D14" s="13"/>
      <c r="E14" s="13"/>
      <c r="F14" s="13"/>
    </row>
    <row r="15" spans="1:6">
      <c r="A15" s="22" t="s">
        <v>287</v>
      </c>
      <c r="B15" s="14">
        <f>IF($B$4="","",IFERROR(IF(INDIRECT("'"&amp;$B$4&amp;"'!B217")="","",INDIRECT("'"&amp;$B$4&amp;"'!B217")),""))</f>
        <v>0</v>
      </c>
      <c r="C15" s="22" t="s">
        <v>288</v>
      </c>
      <c r="D15" s="14">
        <f>IF($B$4="","",IFERROR(IF(INDIRECT("'"&amp;$B$4&amp;"'!B218")="","",INDIRECT("'"&amp;$B$4&amp;"'!B218")),""))</f>
        <v>0</v>
      </c>
      <c r="E15" s="22" t="s">
        <v>131</v>
      </c>
      <c r="F15" s="14">
        <f>IF($B$4="","",IFERROR(IF(INDIRECT("'"&amp;$B$4&amp;"'!F7")="","",INDIRECT("'"&amp;$B$4&amp;"'!F7")),""))</f>
        <v>0</v>
      </c>
    </row>
    <row r="16" spans="1:6" ht="30" customHeight="1">
      <c r="A16" s="22" t="s">
        <v>290</v>
      </c>
      <c r="B16" s="13">
        <f>IF($B$4="","",IFERROR(IF(INDIRECT("'"&amp;$B$4&amp;"'!B8")="","",INDIRECT("'"&amp;$B$4&amp;"'!B8")),""))</f>
        <v>0</v>
      </c>
      <c r="C16" s="13"/>
      <c r="D16" s="13"/>
      <c r="E16" s="13"/>
      <c r="F16" s="13"/>
    </row>
    <row r="17" spans="1:6">
      <c r="A17" s="22" t="s">
        <v>776</v>
      </c>
      <c r="B17" s="13">
        <f>IF($B$4="","",IFERROR(IF(INDIRECT("'"&amp;$B$4&amp;"'!B9")="","",INDIRECT("'"&amp;$B$4&amp;"'!B9")),""))</f>
        <v>0</v>
      </c>
      <c r="C17" s="13"/>
      <c r="D17" s="13"/>
      <c r="E17" s="13"/>
      <c r="F17" s="13"/>
    </row>
    <row r="18" spans="1:6">
      <c r="A18" s="22" t="s">
        <v>761</v>
      </c>
      <c r="B18" s="14">
        <f>IF($B$4="","",IFERROR(IF(INDIRECT("'"&amp;$B$4&amp;"'!B4")="","",INDIRECT("'"&amp;$B$4&amp;"'!B4")),""))</f>
        <v>0</v>
      </c>
      <c r="C18" s="13">
        <f>IF($B$4="","",IFERROR(IF(INDIRECT("'"&amp;$B$4&amp;"'!C4")="","",INDIRECT("'"&amp;$B$4&amp;"'!C4")),""))</f>
        <v>0</v>
      </c>
      <c r="D18" s="13"/>
      <c r="E18" s="13"/>
      <c r="F18" s="13"/>
    </row>
    <row r="20" spans="1:6">
      <c r="A20" s="3" t="s">
        <v>777</v>
      </c>
      <c r="B20" s="3"/>
      <c r="C20" s="3"/>
      <c r="D20" s="3"/>
      <c r="E20" s="3"/>
      <c r="F20" s="3"/>
    </row>
    <row r="21" spans="1:6">
      <c r="A21" s="22" t="s">
        <v>740</v>
      </c>
      <c r="B21" s="7">
        <f>IF($B$4="","",IFERROR(IF(INDIRECT("'"&amp;$B$4&amp;"'!B15")="","",INDIRECT("'"&amp;$B$4&amp;"'!B15")),""))</f>
        <v>0</v>
      </c>
      <c r="C21" s="13">
        <f>IF($B$4="","",IFERROR(IF(INDIRECT("'"&amp;$B$4&amp;"'!C15")="","",INDIRECT("'"&amp;$B$4&amp;"'!C15")),""))</f>
        <v>0</v>
      </c>
      <c r="D21" s="13"/>
      <c r="E21" s="13"/>
      <c r="F21" s="13"/>
    </row>
    <row r="22" spans="1:6">
      <c r="A22" s="22" t="s">
        <v>19</v>
      </c>
      <c r="B22" s="7">
        <f>IF($B$4="","",IFERROR(IF(INDIRECT("'"&amp;$B$4&amp;"'!B16")="","",INDIRECT("'"&amp;$B$4&amp;"'!B16")),""))</f>
        <v>0</v>
      </c>
      <c r="C22" s="13">
        <f>IF($B$4="","",IFERROR(IF(INDIRECT("'"&amp;$B$4&amp;"'!C16")="","",INDIRECT("'"&amp;$B$4&amp;"'!C16")),""))</f>
        <v>0</v>
      </c>
      <c r="D22" s="13"/>
      <c r="E22" s="13"/>
      <c r="F22" s="13"/>
    </row>
    <row r="23" spans="1:6">
      <c r="A23" s="22" t="s">
        <v>46</v>
      </c>
      <c r="B23" s="7">
        <f>IF($B$4="","",IFERROR(IF(INDIRECT("'"&amp;$B$4&amp;"'!B17")="","",INDIRECT("'"&amp;$B$4&amp;"'!B17")),""))</f>
        <v>0</v>
      </c>
      <c r="C23" s="13">
        <f>IF($B$4="","",IFERROR(IF(INDIRECT("'"&amp;$B$4&amp;"'!C17")="","",INDIRECT("'"&amp;$B$4&amp;"'!C17")),""))</f>
        <v>0</v>
      </c>
      <c r="D23" s="13"/>
      <c r="E23" s="13"/>
      <c r="F23" s="13"/>
    </row>
    <row r="24" spans="1:6" ht="30" customHeight="1">
      <c r="A24" s="22" t="s">
        <v>778</v>
      </c>
      <c r="B24" s="7">
        <f>IF($B$4="","",IFERROR(IF(INDIRECT("'"&amp;$B$4&amp;"'!B35")="","",INDIRECT("'"&amp;$B$4&amp;"'!B35")),""))</f>
        <v>0</v>
      </c>
      <c r="C24" s="13">
        <f>IF($B$4="","",IFERROR(IF(INDIRECT("'"&amp;$B$4&amp;"'!C35")="","",INDIRECT("'"&amp;$B$4&amp;"'!C35")),""))</f>
        <v>0</v>
      </c>
      <c r="D24" s="13"/>
      <c r="E24" s="13"/>
      <c r="F24" s="13"/>
    </row>
    <row r="26" spans="1:6">
      <c r="A26" s="3" t="s">
        <v>779</v>
      </c>
      <c r="B26" s="3"/>
      <c r="C26" s="3"/>
      <c r="D26" s="3"/>
      <c r="E26" s="3"/>
      <c r="F26" s="3"/>
    </row>
    <row r="27" spans="1:6">
      <c r="A27" s="11" t="s">
        <v>76</v>
      </c>
      <c r="B27" s="11" t="s">
        <v>94</v>
      </c>
      <c r="C27" s="11" t="s">
        <v>780</v>
      </c>
      <c r="D27" s="11" t="s">
        <v>93</v>
      </c>
      <c r="E27" s="11"/>
      <c r="F27" s="11"/>
    </row>
    <row r="28" spans="1:6">
      <c r="A28" s="17" t="s">
        <v>781</v>
      </c>
      <c r="B28" s="19">
        <f>IF($B$4="","",IFERROR(IF(INDIRECT("'"&amp;$B$4&amp;"'!D133")="","",INDIRECT("'"&amp;$B$4&amp;"'!D133")),""))</f>
        <v>0</v>
      </c>
      <c r="C28" s="18">
        <f>IF($B$4="","",IFERROR(IF(INDIRECT("'"&amp;$B$4&amp;"'!B67")="","",INDIRECT("'"&amp;$B$4&amp;"'!B67")),""))</f>
        <v>0</v>
      </c>
      <c r="D28" s="7">
        <f>IF($B$4="","",IFERROR(IF(INDIRECT("'"&amp;$B$4&amp;"'!E133")="","",INDIRECT("'"&amp;$B$4&amp;"'!E133")),""))</f>
        <v>0</v>
      </c>
      <c r="E28" s="7"/>
      <c r="F28" s="7"/>
    </row>
    <row r="29" spans="1:6">
      <c r="A29" s="17" t="s">
        <v>382</v>
      </c>
      <c r="B29" s="19">
        <f>IF($B$4="","",IFERROR(IF(INDIRECT("'"&amp;$B$4&amp;"'!D134")="","",INDIRECT("'"&amp;$B$4&amp;"'!D134")),""))</f>
        <v>0</v>
      </c>
      <c r="C29" s="17"/>
      <c r="D29" s="7">
        <f>IF($B$4="","",IFERROR(IF(INDIRECT("'"&amp;$B$4&amp;"'!E134")="","",INDIRECT("'"&amp;$B$4&amp;"'!E134")),""))</f>
        <v>0</v>
      </c>
      <c r="E29" s="7"/>
      <c r="F29" s="7"/>
    </row>
    <row r="30" spans="1:6">
      <c r="A30" s="17" t="s">
        <v>748</v>
      </c>
      <c r="B30" s="19">
        <f>IF($B$4="","",IFERROR(IF(INDIRECT("'"&amp;$B$4&amp;"'!D135")="","",INDIRECT("'"&amp;$B$4&amp;"'!D135")),""))</f>
        <v>0</v>
      </c>
      <c r="C30" s="17"/>
      <c r="D30" s="7"/>
      <c r="E30" s="7"/>
      <c r="F30" s="7"/>
    </row>
    <row r="31" spans="1:6">
      <c r="A31" s="17" t="s">
        <v>750</v>
      </c>
      <c r="B31" s="19">
        <f>IF($B$4="","",IFERROR(IF(INDIRECT("'"&amp;$B$4&amp;"'!D136")="","",INDIRECT("'"&amp;$B$4&amp;"'!D136")),""))</f>
        <v>0</v>
      </c>
      <c r="C31" s="17"/>
      <c r="D31" s="7"/>
      <c r="E31" s="7"/>
      <c r="F31" s="7"/>
    </row>
    <row r="32" spans="1:6">
      <c r="A32" s="17" t="s">
        <v>782</v>
      </c>
      <c r="B32" s="27">
        <f>IF($B$4="","",IFERROR(IF(INDIRECT("'"&amp;$B$4&amp;"'!B48")="","",INDIRECT("'"&amp;$B$4&amp;"'!B48")),""))</f>
        <v>0</v>
      </c>
      <c r="C32" s="17"/>
      <c r="D32" s="7"/>
      <c r="E32" s="7"/>
      <c r="F32" s="7"/>
    </row>
    <row r="33" spans="1:6">
      <c r="A33" s="17" t="s">
        <v>783</v>
      </c>
      <c r="B33" s="27">
        <f>IF($B$4="","",IFERROR(IF(INDIRECT("'"&amp;$B$4&amp;"'!B49")="","",INDIRECT("'"&amp;$B$4&amp;"'!B49")),""))</f>
        <v>0</v>
      </c>
      <c r="C33" s="27">
        <f>P_C9</f>
        <v>0</v>
      </c>
      <c r="D33" s="7"/>
      <c r="E33" s="7"/>
      <c r="F33" s="7"/>
    </row>
    <row r="34" spans="1:6">
      <c r="A34" s="17" t="s">
        <v>784</v>
      </c>
      <c r="B34" s="18">
        <f>IF($B$4="","",IFERROR(IF(INDIRECT("'"&amp;$B$4&amp;"'!B151")="","",INDIRECT("'"&amp;$B$4&amp;"'!B151")),""))</f>
        <v>0</v>
      </c>
      <c r="C34" s="18">
        <f>P_C4</f>
        <v>0</v>
      </c>
      <c r="D34" s="7"/>
      <c r="E34" s="7"/>
      <c r="F34" s="7"/>
    </row>
    <row r="35" spans="1:6">
      <c r="A35" s="17" t="s">
        <v>785</v>
      </c>
      <c r="B35" s="20">
        <f>IF($B$4="","",IFERROR(IF(INDIRECT("'"&amp;$B$4&amp;"'!B152")="","",INDIRECT("'"&amp;$B$4&amp;"'!B152")),""))</f>
        <v>0</v>
      </c>
      <c r="C35" s="20">
        <f>P_C7</f>
        <v>0</v>
      </c>
      <c r="D35" s="7"/>
      <c r="E35" s="7"/>
      <c r="F35" s="7"/>
    </row>
    <row r="36" spans="1:6">
      <c r="A36" s="17" t="s">
        <v>786</v>
      </c>
      <c r="B36" s="28">
        <f>IF($B$4="","",IFERROR(IF(INDIRECT("'"&amp;$B$4&amp;"'!B22")="","",INDIRECT("'"&amp;$B$4&amp;"'!B22")),""))</f>
        <v>0</v>
      </c>
      <c r="C36" s="17"/>
      <c r="D36" s="7"/>
      <c r="E36" s="7"/>
      <c r="F36" s="7"/>
    </row>
    <row r="37" spans="1:6">
      <c r="A37" s="17" t="s">
        <v>310</v>
      </c>
      <c r="B37" s="28">
        <f>IF($B$4="","",IFERROR(IF(INDIRECT("'"&amp;$B$4&amp;"'!B23")="","",INDIRECT("'"&amp;$B$4&amp;"'!B23")),""))</f>
        <v>0</v>
      </c>
      <c r="C37" s="17"/>
      <c r="D37" s="7"/>
      <c r="E37" s="7"/>
      <c r="F37" s="7"/>
    </row>
    <row r="39" spans="1:6">
      <c r="A39" s="3" t="s">
        <v>787</v>
      </c>
      <c r="B39" s="3"/>
      <c r="C39" s="3"/>
      <c r="D39" s="3"/>
      <c r="E39" s="3"/>
      <c r="F39" s="3"/>
    </row>
    <row r="40" spans="1:6">
      <c r="A40" s="11" t="s">
        <v>55</v>
      </c>
      <c r="B40" s="11" t="s">
        <v>788</v>
      </c>
      <c r="C40" s="11" t="s">
        <v>789</v>
      </c>
      <c r="D40" s="11" t="s">
        <v>387</v>
      </c>
    </row>
    <row r="41" spans="1:6">
      <c r="A41" s="17">
        <f>IF($B$4="","",IFERROR(IF(INDIRECT("'"&amp;$B$4&amp;"'!A208")="","",INDIRECT("'"&amp;$B$4&amp;"'!A208")),""))</f>
        <v>0</v>
      </c>
      <c r="B41" s="20">
        <f>IF($B$4="","",IFERROR(IF(INDIRECT("'"&amp;$B$4&amp;"'!B208")="","",INDIRECT("'"&amp;$B$4&amp;"'!B208")),""))</f>
        <v>0</v>
      </c>
      <c r="C41" s="27">
        <f>IF($B$4="","",IFERROR(IF(INDIRECT("'"&amp;$B$4&amp;"'!C208")="","",INDIRECT("'"&amp;$B$4&amp;"'!C208")),""))</f>
        <v>0</v>
      </c>
      <c r="D41" s="20">
        <f>IF($B$4="","",IFERROR(IF(INDIRECT("'"&amp;$B$4&amp;"'!D208")="","",INDIRECT("'"&amp;$B$4&amp;"'!D208")),""))</f>
        <v>0</v>
      </c>
    </row>
    <row r="42" spans="1:6">
      <c r="A42" s="17">
        <f>IF($B$4="","",IFERROR(IF(INDIRECT("'"&amp;$B$4&amp;"'!A209")="","",INDIRECT("'"&amp;$B$4&amp;"'!A209")),""))</f>
        <v>0</v>
      </c>
      <c r="B42" s="20">
        <f>IF($B$4="","",IFERROR(IF(INDIRECT("'"&amp;$B$4&amp;"'!B209")="","",INDIRECT("'"&amp;$B$4&amp;"'!B209")),""))</f>
        <v>0</v>
      </c>
      <c r="C42" s="27">
        <f>IF($B$4="","",IFERROR(IF(INDIRECT("'"&amp;$B$4&amp;"'!C209")="","",INDIRECT("'"&amp;$B$4&amp;"'!C209")),""))</f>
        <v>0</v>
      </c>
      <c r="D42" s="20">
        <f>IF($B$4="","",IFERROR(IF(INDIRECT("'"&amp;$B$4&amp;"'!D209")="","",INDIRECT("'"&amp;$B$4&amp;"'!D209")),""))</f>
        <v>0</v>
      </c>
    </row>
    <row r="43" spans="1:6">
      <c r="A43" s="17">
        <f>IF($B$4="","",IFERROR(IF(INDIRECT("'"&amp;$B$4&amp;"'!A210")="","",INDIRECT("'"&amp;$B$4&amp;"'!A210")),""))</f>
        <v>0</v>
      </c>
      <c r="B43" s="20">
        <f>IF($B$4="","",IFERROR(IF(INDIRECT("'"&amp;$B$4&amp;"'!B210")="","",INDIRECT("'"&amp;$B$4&amp;"'!B210")),""))</f>
        <v>0</v>
      </c>
      <c r="C43" s="27">
        <f>IF($B$4="","",IFERROR(IF(INDIRECT("'"&amp;$B$4&amp;"'!C210")="","",INDIRECT("'"&amp;$B$4&amp;"'!C210")),""))</f>
        <v>0</v>
      </c>
      <c r="D43" s="20">
        <f>IF($B$4="","",IFERROR(IF(INDIRECT("'"&amp;$B$4&amp;"'!D210")="","",INDIRECT("'"&amp;$B$4&amp;"'!D210")),""))</f>
        <v>0</v>
      </c>
    </row>
    <row r="44" spans="1:6">
      <c r="A44" s="17">
        <f>IF($B$4="","",IFERROR(IF(INDIRECT("'"&amp;$B$4&amp;"'!A211")="","",INDIRECT("'"&amp;$B$4&amp;"'!A211")),""))</f>
        <v>0</v>
      </c>
      <c r="B44" s="20">
        <f>IF($B$4="","",IFERROR(IF(INDIRECT("'"&amp;$B$4&amp;"'!B211")="","",INDIRECT("'"&amp;$B$4&amp;"'!B211")),""))</f>
        <v>0</v>
      </c>
      <c r="C44" s="27">
        <f>IF($B$4="","",IFERROR(IF(INDIRECT("'"&amp;$B$4&amp;"'!C211")="","",INDIRECT("'"&amp;$B$4&amp;"'!C211")),""))</f>
        <v>0</v>
      </c>
      <c r="D44" s="20">
        <f>IF($B$4="","",IFERROR(IF(INDIRECT("'"&amp;$B$4&amp;"'!D211")="","",INDIRECT("'"&amp;$B$4&amp;"'!D211")),""))</f>
        <v>0</v>
      </c>
    </row>
    <row r="45" spans="1:6">
      <c r="A45" s="17">
        <f>IF($B$4="","",IFERROR(IF(INDIRECT("'"&amp;$B$4&amp;"'!A212")="","",INDIRECT("'"&amp;$B$4&amp;"'!A212")),""))</f>
        <v>0</v>
      </c>
      <c r="B45" s="20">
        <f>IF($B$4="","",IFERROR(IF(INDIRECT("'"&amp;$B$4&amp;"'!B212")="","",INDIRECT("'"&amp;$B$4&amp;"'!B212")),""))</f>
        <v>0</v>
      </c>
      <c r="C45" s="27">
        <f>IF($B$4="","",IFERROR(IF(INDIRECT("'"&amp;$B$4&amp;"'!C212")="","",INDIRECT("'"&amp;$B$4&amp;"'!C212")),""))</f>
        <v>0</v>
      </c>
      <c r="D45" s="20">
        <f>IF($B$4="","",IFERROR(IF(INDIRECT("'"&amp;$B$4&amp;"'!D212")="","",INDIRECT("'"&amp;$B$4&amp;"'!D212")),""))</f>
        <v>0</v>
      </c>
    </row>
    <row r="46" spans="1:6">
      <c r="A46" s="17">
        <f>IF($B$4="","",IFERROR(IF(INDIRECT("'"&amp;$B$4&amp;"'!A213")="","",INDIRECT("'"&amp;$B$4&amp;"'!A213")),""))</f>
        <v>0</v>
      </c>
      <c r="B46" s="20">
        <f>IF($B$4="","",IFERROR(IF(INDIRECT("'"&amp;$B$4&amp;"'!B213")="","",INDIRECT("'"&amp;$B$4&amp;"'!B213")),""))</f>
        <v>0</v>
      </c>
      <c r="C46" s="27">
        <f>IF($B$4="","",IFERROR(IF(INDIRECT("'"&amp;$B$4&amp;"'!C213")="","",INDIRECT("'"&amp;$B$4&amp;"'!C213")),""))</f>
        <v>0</v>
      </c>
      <c r="D46" s="20">
        <f>IF($B$4="","",IFERROR(IF(INDIRECT("'"&amp;$B$4&amp;"'!D213")="","",INDIRECT("'"&amp;$B$4&amp;"'!D213")),""))</f>
        <v>0</v>
      </c>
    </row>
    <row r="47" spans="1:6">
      <c r="A47" s="17">
        <f>IF($B$4="","",IFERROR(IF(INDIRECT("'"&amp;$B$4&amp;"'!A214")="","",INDIRECT("'"&amp;$B$4&amp;"'!A214")),""))</f>
        <v>0</v>
      </c>
      <c r="B47" s="20">
        <f>IF($B$4="","",IFERROR(IF(INDIRECT("'"&amp;$B$4&amp;"'!B214")="","",INDIRECT("'"&amp;$B$4&amp;"'!B214")),""))</f>
        <v>0</v>
      </c>
      <c r="C47" s="27">
        <f>IF($B$4="","",IFERROR(IF(INDIRECT("'"&amp;$B$4&amp;"'!C214")="","",INDIRECT("'"&amp;$B$4&amp;"'!C214")),""))</f>
        <v>0</v>
      </c>
      <c r="D47" s="20">
        <f>IF($B$4="","",IFERROR(IF(INDIRECT("'"&amp;$B$4&amp;"'!D214")="","",INDIRECT("'"&amp;$B$4&amp;"'!D214")),""))</f>
        <v>0</v>
      </c>
    </row>
    <row r="48" spans="1:6">
      <c r="A48" s="17">
        <f>IF($B$4="","",IFERROR(IF(INDIRECT("'"&amp;$B$4&amp;"'!A215")="","",INDIRECT("'"&amp;$B$4&amp;"'!A215")),""))</f>
        <v>0</v>
      </c>
      <c r="B48" s="20">
        <f>IF($B$4="","",IFERROR(IF(INDIRECT("'"&amp;$B$4&amp;"'!B215")="","",INDIRECT("'"&amp;$B$4&amp;"'!B215")),""))</f>
        <v>0</v>
      </c>
      <c r="C48" s="27">
        <f>IF($B$4="","",IFERROR(IF(INDIRECT("'"&amp;$B$4&amp;"'!C215")="","",INDIRECT("'"&amp;$B$4&amp;"'!C215")),""))</f>
        <v>0</v>
      </c>
      <c r="D48" s="20">
        <f>IF($B$4="","",IFERROR(IF(INDIRECT("'"&amp;$B$4&amp;"'!D215")="","",INDIRECT("'"&amp;$B$4&amp;"'!D215")),""))</f>
        <v>0</v>
      </c>
    </row>
    <row r="49" spans="1:6">
      <c r="A49" s="17">
        <f>IF($B$4="","",IFERROR(IF(INDIRECT("'"&amp;$B$4&amp;"'!A216")="","",INDIRECT("'"&amp;$B$4&amp;"'!A216")),""))</f>
        <v>0</v>
      </c>
      <c r="B49" s="20">
        <f>IF($B$4="","",IFERROR(IF(INDIRECT("'"&amp;$B$4&amp;"'!B216")="","",INDIRECT("'"&amp;$B$4&amp;"'!B216")),""))</f>
        <v>0</v>
      </c>
      <c r="C49" s="27">
        <f>IF($B$4="","",IFERROR(IF(INDIRECT("'"&amp;$B$4&amp;"'!C216")="","",INDIRECT("'"&amp;$B$4&amp;"'!C216")),""))</f>
        <v>0</v>
      </c>
      <c r="D49" s="20">
        <f>IF($B$4="","",IFERROR(IF(INDIRECT("'"&amp;$B$4&amp;"'!D216")="","",INDIRECT("'"&amp;$B$4&amp;"'!D216")),""))</f>
        <v>0</v>
      </c>
    </row>
    <row r="50" spans="1:6">
      <c r="A50" s="21" t="s">
        <v>790</v>
      </c>
      <c r="D50" s="14">
        <f>IF($B$4="","",IFERROR(IF(INDIRECT("'"&amp;$B$4&amp;"'!B217")="","",INDIRECT("'"&amp;$B$4&amp;"'!B217")),""))</f>
        <v>0</v>
      </c>
    </row>
    <row r="52" spans="1:6">
      <c r="A52" s="3" t="s">
        <v>791</v>
      </c>
      <c r="B52" s="3"/>
      <c r="C52" s="3"/>
      <c r="D52" s="3"/>
      <c r="E52" s="3"/>
      <c r="F52" s="3"/>
    </row>
    <row r="53" spans="1:6" ht="64" customHeight="1">
      <c r="A53" s="4">
        <f>IF($B$4="","",IFERROR(IF(INDIRECT("'"&amp;$B$4&amp;"'!A259")="","",INDIRECT("'"&amp;$B$4&amp;"'!A259")),""))</f>
        <v>0</v>
      </c>
      <c r="B53" s="4"/>
      <c r="C53" s="4"/>
      <c r="D53" s="4"/>
      <c r="E53" s="4"/>
      <c r="F53" s="4"/>
    </row>
    <row r="55" spans="1:6">
      <c r="A55" s="3" t="s">
        <v>792</v>
      </c>
      <c r="B55" s="3"/>
      <c r="C55" s="3"/>
      <c r="D55" s="3"/>
      <c r="E55" s="3"/>
      <c r="F55" s="3"/>
    </row>
    <row r="56" spans="1:6" ht="30" customHeight="1">
      <c r="A56" s="22" t="s">
        <v>793</v>
      </c>
      <c r="B56" s="29"/>
      <c r="C56" s="29"/>
      <c r="D56" s="29"/>
      <c r="E56" s="29"/>
      <c r="F56" s="29"/>
    </row>
    <row r="57" spans="1:6" ht="30" customHeight="1">
      <c r="A57" s="22" t="s">
        <v>794</v>
      </c>
      <c r="B57" s="29"/>
      <c r="C57" s="29"/>
      <c r="D57" s="29"/>
      <c r="E57" s="29"/>
      <c r="F57" s="29"/>
    </row>
    <row r="58" spans="1:6" ht="30" customHeight="1">
      <c r="A58" s="22" t="s">
        <v>795</v>
      </c>
      <c r="B58" s="29"/>
      <c r="C58" s="29"/>
      <c r="D58" s="29"/>
      <c r="E58" s="29"/>
      <c r="F58" s="29"/>
    </row>
    <row r="59" spans="1:6" ht="30" customHeight="1">
      <c r="A59" s="22" t="s">
        <v>796</v>
      </c>
      <c r="B59" s="29"/>
      <c r="C59" s="29"/>
      <c r="D59" s="29"/>
      <c r="E59" s="29"/>
      <c r="F59" s="29"/>
    </row>
  </sheetData>
  <sheetProtection sheet="1" objects="1" scenarios="1" formatColumns="0" formatRows="0"/>
  <mergeCells count="37">
    <mergeCell ref="B4:C4"/>
    <mergeCell ref="A6:F6"/>
    <mergeCell ref="B7:F7"/>
    <mergeCell ref="B8:F8"/>
    <mergeCell ref="B9:F9"/>
    <mergeCell ref="A11:F11"/>
    <mergeCell ref="C12:F12"/>
    <mergeCell ref="B13:F13"/>
    <mergeCell ref="B14:F14"/>
    <mergeCell ref="B16:F16"/>
    <mergeCell ref="B17:F17"/>
    <mergeCell ref="C18:F18"/>
    <mergeCell ref="A20:F20"/>
    <mergeCell ref="C21:F21"/>
    <mergeCell ref="C22:F22"/>
    <mergeCell ref="C23:F23"/>
    <mergeCell ref="C24:F24"/>
    <mergeCell ref="A26:F26"/>
    <mergeCell ref="D27:F27"/>
    <mergeCell ref="D28:F28"/>
    <mergeCell ref="D29:F29"/>
    <mergeCell ref="D30:F30"/>
    <mergeCell ref="D31:F31"/>
    <mergeCell ref="D32:F32"/>
    <mergeCell ref="D33:F33"/>
    <mergeCell ref="D34:F34"/>
    <mergeCell ref="D35:F35"/>
    <mergeCell ref="D36:F36"/>
    <mergeCell ref="D37:F37"/>
    <mergeCell ref="A39:F39"/>
    <mergeCell ref="A52:F52"/>
    <mergeCell ref="A53:F53"/>
    <mergeCell ref="A55:F55"/>
    <mergeCell ref="B56:F56"/>
    <mergeCell ref="B57:F57"/>
    <mergeCell ref="B58:F58"/>
    <mergeCell ref="B59:F59"/>
  </mergeCells>
  <conditionalFormatting sqref="B12">
    <cfRule type="expression" dxfId="1" priority="1">
      <formula>AND(ISNUMBER($B$12),$B$12&gt;=8)</formula>
    </cfRule>
    <cfRule type="expression" dxfId="3" priority="2">
      <formula>AND(ISNUMBER($B$12),$B$12&gt;=6,$B$12&lt;8)</formula>
    </cfRule>
    <cfRule type="expression" dxfId="0" priority="3">
      <formula>OR(AND(ISNUMBER($B$12),$B$12&lt;6),$B$12="—")</formula>
    </cfRule>
  </conditionalFormatting>
  <conditionalFormatting sqref="B18">
    <cfRule type="expression" dxfId="2" priority="4">
      <formula>AND(ISNUMBER($B$18),$B$18&gt;0)</formula>
    </cfRule>
  </conditionalFormatting>
  <conditionalFormatting sqref="D28">
    <cfRule type="cellIs" dxfId="0" priority="5" operator="equal">
      <formula>"Critique"</formula>
    </cfRule>
    <cfRule type="cellIs" dxfId="3" priority="6" operator="equal">
      <formula>"Vigilance"</formula>
    </cfRule>
  </conditionalFormatting>
  <conditionalFormatting sqref="D29">
    <cfRule type="cellIs" dxfId="0" priority="7" operator="equal">
      <formula>"Critique"</formula>
    </cfRule>
    <cfRule type="cellIs" dxfId="3" priority="8" operator="equal">
      <formula>"Vigilance"</formula>
    </cfRule>
  </conditionalFormatting>
  <dataValidations count="1">
    <dataValidation type="list" allowBlank="1" showInputMessage="1" showErrorMessage="1" errorTitle="Dossier inconnu" error="Choisissez un dossier présent dans la synthèse." promptTitle="Dossier à présenter" prompt="Choisissez un dossier dans la liste (celle de la synthèse)." sqref="B4">
      <formula1>'Synthèse'!$B$4:$X$4</formula1>
    </dataValidation>
  </dataValidations>
  <pageMargins left="0.7" right="0.7" top="0.75" bottom="0.75" header="0.3" footer="0.3"/>
  <pageSetup paperSize="9" orientation="portrait"/>
  <drawing r:id="rId1"/>
  <legacyDrawing r:id="rId2"/>
</worksheet>
</file>

<file path=xl/worksheets/sheet4.xml><?xml version="1.0" encoding="utf-8"?>
<worksheet xmlns="http://schemas.openxmlformats.org/spreadsheetml/2006/main" xmlns:r="http://schemas.openxmlformats.org/officeDocument/2006/relationships">
  <sheetPr>
    <pageSetUpPr fitToPage="1"/>
  </sheetPr>
  <dimension ref="A1:R259"/>
  <sheetViews>
    <sheetView showGridLines="0" workbookViewId="0">
      <pane ySplit="12" topLeftCell="A13" activePane="bottomLeft" state="frozen"/>
      <selection pane="bottomLeft"/>
    </sheetView>
  </sheetViews>
  <sheetFormatPr defaultRowHeight="15"/>
  <cols>
    <col min="1" max="1" width="46.7109375" customWidth="1"/>
    <col min="2" max="7" width="14.7109375" customWidth="1"/>
    <col min="8" max="8" width="18.7109375" customWidth="1"/>
    <col min="9" max="9" width="3.7109375" customWidth="1"/>
    <col min="10" max="13" width="10.7109375" hidden="1" customWidth="1"/>
    <col min="14" max="14" width="24.7109375" customWidth="1"/>
    <col min="15" max="15" width="3.7109375" customWidth="1"/>
    <col min="16" max="18" width="10.7109375" hidden="1" customWidth="1"/>
  </cols>
  <sheetData>
    <row r="1" spans="1:18">
      <c r="A1" s="30" t="s">
        <v>279</v>
      </c>
      <c r="J1" s="31" t="s">
        <v>278</v>
      </c>
    </row>
    <row r="2" spans="1:18">
      <c r="A2" s="32" t="s">
        <v>280</v>
      </c>
    </row>
    <row r="3" spans="1:18" ht="42" customHeight="1">
      <c r="A3" s="33" t="s">
        <v>281</v>
      </c>
      <c r="B3" s="33"/>
      <c r="C3" s="33"/>
      <c r="D3" s="33"/>
      <c r="E3" s="33"/>
      <c r="F3" s="33"/>
      <c r="G3" s="33"/>
      <c r="H3" s="33"/>
    </row>
    <row r="4" spans="1:18" ht="22" customHeight="1">
      <c r="A4" s="22" t="s">
        <v>282</v>
      </c>
      <c r="B4" s="14">
        <f>COUNTIF($R$14:$R$56,0)</f>
        <v>0</v>
      </c>
      <c r="C4" s="34">
        <f>IF(B4=0,"Saisie complète : lisez la note ci-dessous, puis « Fiche comité ».","Prochaine saisie : "&amp;INDEX($P$14:$P$56,MATCH(0,$R$14:$R$56,0)))</f>
        <v>0</v>
      </c>
      <c r="D4" s="34"/>
      <c r="E4" s="34"/>
      <c r="F4" s="34"/>
      <c r="G4" s="12">
        <f>IF(B4=0,"",HYPERLINK("#"&amp;INDEX($Q$14:$Q$56,MATCH(0,$R$14:$R$56,0)),"→ Aller à la cellule "&amp;INDEX($Q$14:$Q$56,MATCH(0,$R$14:$R$56,0))))</f>
        <v>0</v>
      </c>
      <c r="H4" s="12"/>
    </row>
    <row r="5" spans="1:18">
      <c r="A5" s="3" t="s">
        <v>284</v>
      </c>
      <c r="B5" s="3"/>
      <c r="C5" s="3"/>
      <c r="D5" s="3"/>
      <c r="E5" s="3"/>
      <c r="F5" s="3"/>
      <c r="G5" s="3"/>
      <c r="H5" s="3"/>
    </row>
    <row r="6" spans="1:18" ht="34" customHeight="1">
      <c r="A6" s="22" t="s">
        <v>285</v>
      </c>
      <c r="B6" s="25">
        <f>B255</f>
        <v>0</v>
      </c>
      <c r="C6" s="22" t="s">
        <v>4</v>
      </c>
      <c r="D6" s="34">
        <f>IFERROR(INDEX(P_ConvLib,MATCH(B255,P_ConvNote,0)),"")</f>
        <v>0</v>
      </c>
      <c r="E6" s="22" t="s">
        <v>286</v>
      </c>
      <c r="F6" s="34">
        <f>B256</f>
        <v>0</v>
      </c>
      <c r="G6" s="34"/>
      <c r="H6" s="34"/>
    </row>
    <row r="7" spans="1:18">
      <c r="A7" s="22" t="s">
        <v>287</v>
      </c>
      <c r="B7" s="14">
        <f>B217</f>
        <v>0</v>
      </c>
      <c r="C7" s="22" t="s">
        <v>288</v>
      </c>
      <c r="D7" s="14">
        <f>B218</f>
        <v>0</v>
      </c>
      <c r="E7" s="22" t="s">
        <v>289</v>
      </c>
      <c r="F7" s="34">
        <f>IF(B252&gt;=10,"Aucun (10)",B252)</f>
        <v>0</v>
      </c>
      <c r="G7" s="34"/>
      <c r="H7" s="34"/>
    </row>
    <row r="8" spans="1:18">
      <c r="A8" s="22" t="s">
        <v>290</v>
      </c>
      <c r="B8" s="34">
        <f>IF(TRIM(IF(E237="Oui","C1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",""))="","Aucun",TRIM(IF(E237="Oui","C1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","")))&amp;IF(COUNTIF(E237:E251,"n.r.")&gt;0,"   —   "&amp;COUNTIF(E237:E251,"n.r.")&amp;" plafond(s) non évalué(s) faute de donnée","")</f>
        <v>0</v>
      </c>
      <c r="C8" s="34"/>
      <c r="D8" s="34"/>
      <c r="E8" s="34"/>
      <c r="F8" s="34"/>
      <c r="G8" s="34"/>
      <c r="H8" s="34"/>
    </row>
    <row r="9" spans="1:18">
      <c r="A9" s="22" t="s">
        <v>291</v>
      </c>
      <c r="B9" s="34">
        <f>IF(TRIM(IF(F222="Oui","X1  ","")&amp;IF(F223="Oui","X2  ","")&amp;IF(F224="Oui","X3  ","")&amp;IF(F225="Oui","X4  ","")&amp;IF(F226="Oui","B1  ","")&amp;IF(F227="Oui","B2  ","")&amp;IF(F228="Oui","B3  ","")&amp;IF(F229="Oui","B4  ","")&amp;IF(F230="Oui","B5  ","")&amp;IF(F231="Oui","B6  ","")&amp;IF(F232="Oui","B7  ","")&amp;IF(F233="Oui","B8  ",""))="","Aucun",TRIM(IF(F222="Oui","X1  ","")&amp;IF(F223="Oui","X2  ","")&amp;IF(F224="Oui","X3  ","")&amp;IF(F225="Oui","X4  ","")&amp;IF(F226="Oui","B1  ","")&amp;IF(F227="Oui","B2  ","")&amp;IF(F228="Oui","B3  ","")&amp;IF(F229="Oui","B4  ","")&amp;IF(F230="Oui","B5  ","")&amp;IF(F231="Oui","B6  ","")&amp;IF(F232="Oui","B7  ","")&amp;IF(F233="Oui","B8  ","")))</f>
        <v>0</v>
      </c>
      <c r="C9" s="34"/>
      <c r="D9" s="34"/>
      <c r="E9" s="34"/>
      <c r="F9" s="34"/>
      <c r="G9" s="34"/>
      <c r="H9" s="34"/>
    </row>
    <row r="10" spans="1:18">
      <c r="A10" s="22" t="s">
        <v>292</v>
      </c>
      <c r="B10" s="14">
        <f>B35</f>
        <v>0</v>
      </c>
      <c r="C10" s="22" t="s">
        <v>293</v>
      </c>
      <c r="D10" s="35">
        <f>D133</f>
        <v>0</v>
      </c>
      <c r="E10" s="22" t="s">
        <v>294</v>
      </c>
      <c r="F10" s="35">
        <f>D134</f>
        <v>0</v>
      </c>
    </row>
    <row r="11" spans="1:18">
      <c r="A11" s="22" t="s">
        <v>295</v>
      </c>
      <c r="B11" s="36">
        <f>B204</f>
        <v>0</v>
      </c>
      <c r="C11" s="22" t="s">
        <v>296</v>
      </c>
      <c r="D11" s="14">
        <f>D148</f>
        <v>0</v>
      </c>
      <c r="E11" s="22" t="s">
        <v>109</v>
      </c>
      <c r="F11" s="34">
        <f>IFERROR(INDEX(P_ConvOrient,MATCH(B255,P_ConvNote,0)),"")</f>
        <v>0</v>
      </c>
      <c r="G11" s="34"/>
      <c r="H11" s="34"/>
    </row>
    <row r="12" spans="1:18">
      <c r="A12" s="37" t="s">
        <v>283</v>
      </c>
      <c r="B12" s="38">
        <f>HYPERLINK("#A13","1 · Routage")</f>
        <v>0</v>
      </c>
      <c r="C12" s="38">
        <f>HYPERLINK("#A37","3 · Sources")</f>
        <v>0</v>
      </c>
      <c r="D12" s="38">
        <f>HYPERLINK("#A69","6 · Échéancier")</f>
        <v>0</v>
      </c>
      <c r="E12" s="38">
        <f>HYPERLINK("#A140","7 · Noyau")</f>
        <v>0</v>
      </c>
      <c r="F12" s="38">
        <f>HYPERLINK("#A167","8 · Grille")</f>
        <v>0</v>
      </c>
      <c r="G12" s="38">
        <f>HYPERLINK("#A220","10 · Verrous")</f>
        <v>0</v>
      </c>
      <c r="H12" s="38">
        <f>HYPERLINK("#A235","11 · Plafonds")</f>
        <v>0</v>
      </c>
    </row>
    <row r="13" spans="1:18">
      <c r="A13" s="3" t="s">
        <v>297</v>
      </c>
      <c r="B13" s="3"/>
      <c r="C13" s="3"/>
      <c r="D13" s="3"/>
      <c r="E13" s="3"/>
      <c r="F13" s="3"/>
      <c r="G13" s="3"/>
      <c r="H13" s="3"/>
    </row>
    <row r="14" spans="1:18">
      <c r="A14" s="11" t="s">
        <v>298</v>
      </c>
      <c r="B14" s="11" t="s">
        <v>94</v>
      </c>
      <c r="C14" s="11" t="s">
        <v>4</v>
      </c>
      <c r="D14" s="11"/>
      <c r="E14" s="11"/>
      <c r="F14" s="11"/>
      <c r="G14" s="11"/>
      <c r="H14" s="11"/>
      <c r="P14" s="31" t="s">
        <v>509</v>
      </c>
      <c r="Q14" s="31" t="s">
        <v>510</v>
      </c>
      <c r="R14" s="31">
        <f>IF($B$15&lt;&gt;"",1,0)</f>
        <v>0</v>
      </c>
    </row>
    <row r="15" spans="1:18">
      <c r="A15" s="17" t="s">
        <v>299</v>
      </c>
      <c r="B15" s="5" t="s">
        <v>8</v>
      </c>
      <c r="C15" s="13">
        <f>IFERROR(INDEX(P_RegLib,MATCH(B15,P_Regimes,0)),"")</f>
        <v>0</v>
      </c>
      <c r="D15" s="13"/>
      <c r="E15" s="13"/>
      <c r="F15" s="13"/>
      <c r="G15" s="13"/>
      <c r="H15" s="13"/>
      <c r="P15" s="31" t="s">
        <v>511</v>
      </c>
      <c r="Q15" s="31" t="s">
        <v>512</v>
      </c>
      <c r="R15" s="31">
        <f>IF($B$16&lt;&gt;"",1,0)</f>
        <v>0</v>
      </c>
    </row>
    <row r="16" spans="1:18">
      <c r="A16" s="17" t="s">
        <v>300</v>
      </c>
      <c r="B16" s="5" t="s">
        <v>21</v>
      </c>
      <c r="C16" s="13">
        <f>IFERROR(INDEX(P_SecLib,MATCH(B16,P_SecCodes,0)),"")</f>
        <v>0</v>
      </c>
      <c r="D16" s="13"/>
      <c r="E16" s="13"/>
      <c r="F16" s="13"/>
      <c r="G16" s="13"/>
      <c r="H16" s="13"/>
      <c r="P16" s="31" t="s">
        <v>513</v>
      </c>
      <c r="Q16" s="31" t="s">
        <v>514</v>
      </c>
      <c r="R16" s="31">
        <f>IF($B$17&lt;&gt;"",1,0)</f>
        <v>0</v>
      </c>
    </row>
    <row r="17" spans="1:18">
      <c r="A17" s="17" t="s">
        <v>301</v>
      </c>
      <c r="B17" s="5" t="s">
        <v>48</v>
      </c>
      <c r="C17" s="13">
        <f>IFERROR(INDEX(P_PhaseLib,MATCH(B17,P_PhaseCodes,0)),"")</f>
        <v>0</v>
      </c>
      <c r="D17" s="13"/>
      <c r="E17" s="13"/>
      <c r="F17" s="13"/>
      <c r="G17" s="13"/>
      <c r="H17" s="13"/>
      <c r="P17" s="31" t="s">
        <v>515</v>
      </c>
      <c r="Q17" s="31" t="s">
        <v>516</v>
      </c>
      <c r="R17" s="31">
        <f>IF($B$18&lt;&gt;"",1,0)</f>
        <v>0</v>
      </c>
    </row>
    <row r="18" spans="1:18">
      <c r="A18" s="17" t="s">
        <v>302</v>
      </c>
      <c r="B18" s="5" t="s">
        <v>262</v>
      </c>
      <c r="C18" s="13" t="s">
        <v>303</v>
      </c>
      <c r="D18" s="13"/>
      <c r="E18" s="13"/>
      <c r="F18" s="13"/>
      <c r="G18" s="13"/>
      <c r="H18" s="13"/>
      <c r="P18" s="31" t="s">
        <v>517</v>
      </c>
      <c r="Q18" s="31" t="s">
        <v>518</v>
      </c>
      <c r="R18" s="31">
        <f>IF(ISNUMBER($B$23),1,0)</f>
        <v>0</v>
      </c>
    </row>
    <row r="19" spans="1:18">
      <c r="A19" s="17" t="s">
        <v>304</v>
      </c>
      <c r="B19" s="5" t="s">
        <v>305</v>
      </c>
      <c r="C19" s="13" t="s">
        <v>306</v>
      </c>
      <c r="D19" s="13"/>
      <c r="E19" s="13"/>
      <c r="F19" s="13"/>
      <c r="G19" s="13"/>
      <c r="H19" s="13"/>
      <c r="P19" s="31" t="s">
        <v>519</v>
      </c>
      <c r="Q19" s="31" t="s">
        <v>520</v>
      </c>
      <c r="R19" s="31">
        <f>IF($B$24&lt;&gt;"",1,0)</f>
        <v>0</v>
      </c>
    </row>
    <row r="20" spans="1:18">
      <c r="P20" s="31" t="s">
        <v>521</v>
      </c>
      <c r="Q20" s="31" t="s">
        <v>522</v>
      </c>
      <c r="R20" s="31">
        <f>IF(ISNUMBER($B$25),1,0)</f>
        <v>0</v>
      </c>
    </row>
    <row r="21" spans="1:18">
      <c r="A21" s="3" t="s">
        <v>307</v>
      </c>
      <c r="B21" s="3"/>
      <c r="C21" s="3"/>
      <c r="D21" s="3"/>
      <c r="E21" s="3"/>
      <c r="F21" s="3"/>
      <c r="G21" s="3"/>
      <c r="H21" s="3"/>
      <c r="P21" s="31" t="s">
        <v>523</v>
      </c>
      <c r="Q21" s="31" t="s">
        <v>524</v>
      </c>
      <c r="R21" s="31">
        <f>IF($B$26&lt;&gt;"",1,0)</f>
        <v>0</v>
      </c>
    </row>
    <row r="22" spans="1:18">
      <c r="A22" s="17" t="s">
        <v>308</v>
      </c>
      <c r="B22" s="28">
        <f>B47</f>
        <v>0</v>
      </c>
      <c r="C22" s="13" t="s">
        <v>309</v>
      </c>
      <c r="D22" s="13"/>
      <c r="E22" s="13"/>
      <c r="F22" s="13"/>
      <c r="G22" s="13"/>
      <c r="H22" s="13"/>
      <c r="P22" s="31" t="s">
        <v>525</v>
      </c>
      <c r="Q22" s="31" t="s">
        <v>526</v>
      </c>
      <c r="R22" s="31">
        <f>IF(OR(NOT($B$17="P1"),$B$27&lt;&gt;""),1,0)</f>
        <v>0</v>
      </c>
    </row>
    <row r="23" spans="1:18">
      <c r="A23" s="17" t="s">
        <v>310</v>
      </c>
      <c r="B23" s="39">
        <v>465</v>
      </c>
      <c r="P23" s="31" t="s">
        <v>527</v>
      </c>
      <c r="Q23" s="31" t="s">
        <v>528</v>
      </c>
      <c r="R23" s="31">
        <f>IF($B$28&lt;&gt;"",1,0)</f>
        <v>0</v>
      </c>
    </row>
    <row r="24" spans="1:18">
      <c r="A24" s="17" t="s">
        <v>311</v>
      </c>
      <c r="B24" s="5" t="s">
        <v>257</v>
      </c>
      <c r="P24" s="31" t="s">
        <v>529</v>
      </c>
      <c r="Q24" s="31" t="s">
        <v>530</v>
      </c>
      <c r="R24" s="31">
        <f>IF($B$29&lt;&gt;"",1,0)</f>
        <v>0</v>
      </c>
    </row>
    <row r="25" spans="1:18">
      <c r="A25" s="17" t="s">
        <v>312</v>
      </c>
      <c r="B25" s="40">
        <v>20</v>
      </c>
      <c r="P25" s="31" t="s">
        <v>531</v>
      </c>
      <c r="Q25" s="31" t="s">
        <v>532</v>
      </c>
      <c r="R25" s="31">
        <f>IF($B$30&lt;&gt;"",1,0)</f>
        <v>0</v>
      </c>
    </row>
    <row r="26" spans="1:18">
      <c r="A26" s="17" t="s">
        <v>313</v>
      </c>
      <c r="B26" s="5" t="s">
        <v>257</v>
      </c>
      <c r="P26" s="31" t="s">
        <v>533</v>
      </c>
      <c r="Q26" s="31" t="s">
        <v>534</v>
      </c>
      <c r="R26" s="31">
        <f>IF($B$31&lt;&gt;"",1,0)</f>
        <v>0</v>
      </c>
    </row>
    <row r="27" spans="1:18">
      <c r="A27" s="17" t="s">
        <v>314</v>
      </c>
      <c r="B27" s="5" t="s">
        <v>258</v>
      </c>
      <c r="P27" s="31" t="s">
        <v>535</v>
      </c>
      <c r="Q27" s="31" t="s">
        <v>536</v>
      </c>
      <c r="R27" s="31">
        <f>IF($B$32&lt;&gt;"",1,0)</f>
        <v>0</v>
      </c>
    </row>
    <row r="28" spans="1:18">
      <c r="A28" s="17" t="s">
        <v>315</v>
      </c>
      <c r="B28" s="5" t="s">
        <v>257</v>
      </c>
      <c r="P28" s="31" t="s">
        <v>537</v>
      </c>
      <c r="Q28" s="31" t="s">
        <v>538</v>
      </c>
      <c r="R28" s="31">
        <f>IF(ISNUMBER($B$33),1,0)</f>
        <v>0</v>
      </c>
    </row>
    <row r="29" spans="1:18">
      <c r="A29" s="17" t="s">
        <v>316</v>
      </c>
      <c r="B29" s="5" t="s">
        <v>258</v>
      </c>
      <c r="P29" s="31" t="s">
        <v>539</v>
      </c>
      <c r="Q29" s="31" t="s">
        <v>540</v>
      </c>
      <c r="R29" s="31">
        <f>IF(N($B$47)&gt;0,1,0)</f>
        <v>0</v>
      </c>
    </row>
    <row r="30" spans="1:18">
      <c r="A30" s="17" t="s">
        <v>317</v>
      </c>
      <c r="B30" s="5" t="s">
        <v>258</v>
      </c>
      <c r="P30" s="31" t="s">
        <v>541</v>
      </c>
      <c r="Q30" s="31" t="s">
        <v>542</v>
      </c>
      <c r="R30" s="31">
        <f>IF(N($E$47)&gt;0,1,0)</f>
        <v>0</v>
      </c>
    </row>
    <row r="31" spans="1:18">
      <c r="A31" s="17" t="s">
        <v>318</v>
      </c>
      <c r="B31" s="5" t="s">
        <v>257</v>
      </c>
      <c r="P31" s="31" t="s">
        <v>543</v>
      </c>
      <c r="Q31" s="31" t="s">
        <v>544</v>
      </c>
      <c r="R31" s="31">
        <f>IF(SUMPRODUCT(ISNUMBER($E$39:$E$46)*($F$39:$F$46=""))=0,1,0)</f>
        <v>0</v>
      </c>
    </row>
    <row r="32" spans="1:18">
      <c r="A32" s="17" t="s">
        <v>319</v>
      </c>
      <c r="B32" s="5" t="s">
        <v>258</v>
      </c>
      <c r="P32" s="31" t="s">
        <v>545</v>
      </c>
      <c r="Q32" s="31" t="s">
        <v>546</v>
      </c>
      <c r="R32" s="31">
        <f>IF(OR(NOT(AND($B$17="P1",ISNUMBER($B$48),N($B$48)&gt;=P_N3_V,N($B$48)&lt;P_N3_F)),$B$50&lt;&gt;""),1,0)</f>
        <v>0</v>
      </c>
    </row>
    <row r="33" spans="1:18">
      <c r="A33" s="17" t="s">
        <v>320</v>
      </c>
      <c r="B33" s="40"/>
      <c r="P33" s="31" t="s">
        <v>547</v>
      </c>
      <c r="Q33" s="31" t="s">
        <v>548</v>
      </c>
      <c r="R33" s="31">
        <f>IF(ISNUMBER($B$70),1,0)</f>
        <v>0</v>
      </c>
    </row>
    <row r="34" spans="1:18" ht="30" customHeight="1">
      <c r="A34" s="21" t="s">
        <v>321</v>
      </c>
      <c r="B34" s="14">
        <f>IF(OR(B22="",B22=0,B15=""),"",IF(OR(B22&gt;P_L_CAPEX,N(B23)&gt;P_L_EXPO,B15="R4",B29="Oui",N(B153)&gt;0,B30="Oui",B31="Oui",B32="Oui",N(B33)&gt;P_L_NBCP),"L",IF(AND(B22&lt;=P_S_CAPEX,B23&lt;&gt;"",N(B23)&lt;=P_S_EXPO,OR(B15="R1",B15="R2"),B26="Oui",B24="Oui",B25&lt;&gt;"",N(B25)&lt;=P_S_DUREE,OR(B17&lt;&gt;"P1",B27="Oui"),B28="Oui",COUNTIF($F$222:$F$233,"Oui")=0),"S","M")))</f>
        <v>0</v>
      </c>
      <c r="C34" s="13">
        <f>IF(B34="","",IF(B34="L","Escalade : "&amp;IF(B22&gt;P_L_CAPEX,"CAPEX &gt; "&amp;P_L_CAPEX&amp;" MMAD ; ","")&amp;IF(N(B23)&gt;P_L_EXPO,"exposition &gt; "&amp;P_L_EXPO&amp;" MMAD ; ","")&amp;IF(B15="R4","régime de revenus R4 ; ","")&amp;IF(B29="Oui","première référence technologique ; ","")&amp;IF(N(B153)&gt;0,"devises non intégralement couvertes ; ","")&amp;IF(B30="Oui","opération consortiale ; ","")&amp;IF(B31="Oui","contrat de revenus &gt; 20 ans ; ","")&amp;IF(B32="Oui","risque climatique élevé ; ","")&amp;IF(N(B33)&gt;P_L_NBCP,"plus de "&amp;P_L_NBCP&amp;" contreparties clés ; ",""),IF(B34="S","Toutes les conditions du régime simplifié sont réunies.","Régime standard par défaut : une condition du régime S manque, aucune condition d'escalade.")))</f>
        <v>0</v>
      </c>
      <c r="D34" s="13"/>
      <c r="E34" s="13"/>
      <c r="F34" s="13"/>
      <c r="G34" s="13"/>
      <c r="H34" s="13"/>
      <c r="P34" s="31" t="s">
        <v>549</v>
      </c>
      <c r="Q34" s="31" t="s">
        <v>550</v>
      </c>
      <c r="R34" s="31">
        <f>IF(COUNT($B$72:$B$131)&gt;=2,1,0)</f>
        <v>0</v>
      </c>
    </row>
    <row r="35" spans="1:18">
      <c r="A35" s="21" t="s">
        <v>322</v>
      </c>
      <c r="B35" s="14">
        <f>IF(B34="","",IF(AND(IF(AND(B34="S",COUNTIF($F$222:$F$233,"Oui")&gt;0),"M",B34)="M",COUNTIF($E$237:$E$251,"Oui")&gt;0),"L",IF(AND(B34="S",COUNTIF($F$222:$F$233,"Oui")&gt;0),"M",B34)))</f>
        <v>0</v>
      </c>
      <c r="C35" s="13">
        <f>IF(B35=B34,"Aucune escalade.",IF(B35="L","Escalade : un plafond de note est actif (M passe en L).","Escalade : un verrou est actif (S passe en M)."))</f>
        <v>0</v>
      </c>
      <c r="D35" s="13"/>
      <c r="E35" s="13"/>
      <c r="F35" s="13"/>
      <c r="G35" s="13"/>
      <c r="H35" s="13"/>
      <c r="P35" s="31" t="s">
        <v>551</v>
      </c>
      <c r="Q35" s="31" t="s">
        <v>552</v>
      </c>
      <c r="R35" s="31">
        <f>IF(SUMPRODUCT(ISNUMBER($B$72:$B$131)*(1-ISNUMBER($C$72:$C$131)))=0,1,0)</f>
        <v>0</v>
      </c>
    </row>
    <row r="36" spans="1:18">
      <c r="P36" s="31" t="s">
        <v>553</v>
      </c>
      <c r="Q36" s="31" t="s">
        <v>554</v>
      </c>
      <c r="R36" s="31">
        <f>IF($B$145&lt;&gt;"",1,0)</f>
        <v>0</v>
      </c>
    </row>
    <row r="37" spans="1:18">
      <c r="A37" s="3" t="s">
        <v>323</v>
      </c>
      <c r="B37" s="3"/>
      <c r="C37" s="3"/>
      <c r="D37" s="3"/>
      <c r="E37" s="3"/>
      <c r="F37" s="3"/>
      <c r="G37" s="3"/>
      <c r="H37" s="3"/>
      <c r="P37" s="31" t="s">
        <v>555</v>
      </c>
      <c r="Q37" s="31" t="s">
        <v>556</v>
      </c>
      <c r="R37" s="31">
        <f>IF($B$146&lt;&gt;"",1,0)</f>
        <v>0</v>
      </c>
    </row>
    <row r="38" spans="1:18">
      <c r="A38" s="11" t="s">
        <v>324</v>
      </c>
      <c r="B38" s="11" t="s">
        <v>325</v>
      </c>
      <c r="C38" s="11"/>
      <c r="D38" s="11" t="s">
        <v>326</v>
      </c>
      <c r="E38" s="11" t="s">
        <v>325</v>
      </c>
      <c r="F38" s="11" t="s">
        <v>327</v>
      </c>
      <c r="P38" s="31" t="s">
        <v>557</v>
      </c>
      <c r="Q38" s="31" t="s">
        <v>558</v>
      </c>
      <c r="R38" s="31">
        <f>IF($B$147&lt;&gt;"",1,0)</f>
        <v>0</v>
      </c>
    </row>
    <row r="39" spans="1:18">
      <c r="A39" s="41" t="s">
        <v>328</v>
      </c>
      <c r="B39" s="39">
        <v>590</v>
      </c>
      <c r="D39" s="41" t="s">
        <v>329</v>
      </c>
      <c r="E39" s="39">
        <v>465</v>
      </c>
      <c r="F39" s="41" t="s">
        <v>266</v>
      </c>
      <c r="P39" s="31" t="s">
        <v>559</v>
      </c>
      <c r="Q39" s="31" t="s">
        <v>560</v>
      </c>
      <c r="R39" s="31">
        <f>IF(OR($B$17="P1",$B$150&lt;&gt;""),1,0)</f>
        <v>0</v>
      </c>
    </row>
    <row r="40" spans="1:18">
      <c r="A40" s="41" t="s">
        <v>330</v>
      </c>
      <c r="B40" s="39">
        <v>25</v>
      </c>
      <c r="D40" s="41" t="s">
        <v>331</v>
      </c>
      <c r="E40" s="39">
        <v>242</v>
      </c>
      <c r="F40" s="41" t="s">
        <v>269</v>
      </c>
      <c r="P40" s="31" t="s">
        <v>561</v>
      </c>
      <c r="Q40" s="31" t="s">
        <v>562</v>
      </c>
      <c r="R40" s="31">
        <f>IF(ISNUMBER($B$151),1,0)</f>
        <v>0</v>
      </c>
    </row>
    <row r="41" spans="1:18">
      <c r="A41" s="41" t="s">
        <v>332</v>
      </c>
      <c r="B41" s="39">
        <v>20</v>
      </c>
      <c r="D41" s="41" t="s">
        <v>333</v>
      </c>
      <c r="E41" s="39">
        <v>40</v>
      </c>
      <c r="F41" s="41" t="s">
        <v>270</v>
      </c>
      <c r="P41" s="31" t="s">
        <v>563</v>
      </c>
      <c r="Q41" s="31" t="s">
        <v>564</v>
      </c>
      <c r="R41" s="31">
        <f>IF(ISNUMBER($B$152),1,0)</f>
        <v>0</v>
      </c>
    </row>
    <row r="42" spans="1:18">
      <c r="A42" s="41" t="s">
        <v>334</v>
      </c>
      <c r="B42" s="39">
        <v>30</v>
      </c>
      <c r="D42" s="41"/>
      <c r="E42" s="39"/>
      <c r="F42" s="41"/>
      <c r="P42" s="31" t="s">
        <v>565</v>
      </c>
      <c r="Q42" s="31" t="s">
        <v>566</v>
      </c>
      <c r="R42" s="31">
        <f>IF(ISNUMBER($B$153),1,0)</f>
        <v>0</v>
      </c>
    </row>
    <row r="43" spans="1:18">
      <c r="A43" s="41" t="s">
        <v>335</v>
      </c>
      <c r="B43" s="39">
        <v>18</v>
      </c>
      <c r="D43" s="41"/>
      <c r="E43" s="39"/>
      <c r="F43" s="41"/>
      <c r="P43" s="31" t="s">
        <v>567</v>
      </c>
      <c r="Q43" s="31" t="s">
        <v>568</v>
      </c>
      <c r="R43" s="31">
        <f>IF(ISNUMBER($B$154),1,0)</f>
        <v>0</v>
      </c>
    </row>
    <row r="44" spans="1:18">
      <c r="A44" s="41" t="s">
        <v>336</v>
      </c>
      <c r="B44" s="39">
        <v>20</v>
      </c>
      <c r="D44" s="41"/>
      <c r="E44" s="39"/>
      <c r="F44" s="41"/>
      <c r="P44" s="31" t="s">
        <v>569</v>
      </c>
      <c r="Q44" s="31" t="s">
        <v>570</v>
      </c>
      <c r="R44" s="31">
        <f>IF(OR(N($B$154)&lt;=P_C8,$B$155&lt;&gt;""),1,0)</f>
        <v>0</v>
      </c>
    </row>
    <row r="45" spans="1:18">
      <c r="A45" s="41" t="s">
        <v>337</v>
      </c>
      <c r="B45" s="39">
        <v>4</v>
      </c>
      <c r="D45" s="41"/>
      <c r="E45" s="39"/>
      <c r="F45" s="41"/>
      <c r="P45" s="31" t="s">
        <v>571</v>
      </c>
      <c r="Q45" s="31" t="s">
        <v>572</v>
      </c>
      <c r="R45" s="31">
        <f>IF(ISNUMBER($B$156),1,0)</f>
        <v>0</v>
      </c>
    </row>
    <row r="46" spans="1:18">
      <c r="A46" s="41"/>
      <c r="B46" s="39"/>
      <c r="D46" s="41"/>
      <c r="E46" s="39"/>
      <c r="F46" s="41"/>
      <c r="P46" s="31" t="s">
        <v>573</v>
      </c>
      <c r="Q46" s="31" t="s">
        <v>574</v>
      </c>
      <c r="R46" s="31">
        <f>IF($B$157&lt;&gt;"",1,0)</f>
        <v>0</v>
      </c>
    </row>
    <row r="47" spans="1:18">
      <c r="A47" s="21" t="s">
        <v>338</v>
      </c>
      <c r="B47" s="42">
        <f>SUM(B39:B46)</f>
        <v>0</v>
      </c>
      <c r="D47" s="21" t="s">
        <v>339</v>
      </c>
      <c r="E47" s="42">
        <f>SUM(E39:E46)</f>
        <v>0</v>
      </c>
      <c r="P47" s="31" t="s">
        <v>575</v>
      </c>
      <c r="Q47" s="31" t="s">
        <v>576</v>
      </c>
      <c r="R47" s="31">
        <f>IF(OR($B$15="R4",ISNUMBER($B$158)),1,0)</f>
        <v>0</v>
      </c>
    </row>
    <row r="48" spans="1:18">
      <c r="A48" s="17" t="s">
        <v>340</v>
      </c>
      <c r="B48" s="27">
        <f>IF(N(B47)=0,"",E47/B47)</f>
        <v>0</v>
      </c>
      <c r="P48" s="31" t="s">
        <v>577</v>
      </c>
      <c r="Q48" s="31" t="s">
        <v>578</v>
      </c>
      <c r="R48" s="31">
        <f>IF(ISNUMBER($B$159),1,0)</f>
        <v>0</v>
      </c>
    </row>
    <row r="49" spans="1:18">
      <c r="A49" s="17" t="s">
        <v>341</v>
      </c>
      <c r="B49" s="27">
        <f>IF(N(B47)=0,"",(SUMIF(F39:F46,"Dette senior",E39:E46)+SUMIF(F39:F46,"Dette subordonnée",E39:E46))/B47)</f>
        <v>0</v>
      </c>
      <c r="P49" s="31" t="s">
        <v>579</v>
      </c>
      <c r="Q49" s="31" t="s">
        <v>580</v>
      </c>
      <c r="R49" s="31">
        <f>IF(OR(NOT(AND(ISNUMBER($B$158),ISNUMBER($B$159))),N($B$158)&gt;=N($B$159),$B$160&lt;&gt;""),1,0)</f>
        <v>0</v>
      </c>
    </row>
    <row r="50" spans="1:18">
      <c r="A50" s="17" t="s">
        <v>342</v>
      </c>
      <c r="B50" s="5" t="s">
        <v>258</v>
      </c>
      <c r="P50" s="31" t="s">
        <v>581</v>
      </c>
      <c r="Q50" s="31" t="s">
        <v>582</v>
      </c>
      <c r="R50" s="31">
        <f>IF(OR($B$32&lt;&gt;"Oui",$B$161&lt;&gt;""),1,0)</f>
        <v>0</v>
      </c>
    </row>
    <row r="51" spans="1:18">
      <c r="P51" s="31" t="s">
        <v>583</v>
      </c>
      <c r="Q51" s="31" t="s">
        <v>584</v>
      </c>
      <c r="R51" s="31">
        <f>IF($B$162&lt;&gt;"",1,0)</f>
        <v>0</v>
      </c>
    </row>
    <row r="52" spans="1:18">
      <c r="A52" s="3" t="s">
        <v>343</v>
      </c>
      <c r="B52" s="3"/>
      <c r="C52" s="3"/>
      <c r="D52" s="3"/>
      <c r="E52" s="3"/>
      <c r="F52" s="3"/>
      <c r="G52" s="3"/>
      <c r="H52" s="3"/>
      <c r="P52" s="31" t="s">
        <v>585</v>
      </c>
      <c r="Q52" s="31" t="s">
        <v>586</v>
      </c>
      <c r="R52" s="31">
        <f>IF($B$163&lt;&gt;"",1,0)</f>
        <v>0</v>
      </c>
    </row>
    <row r="53" spans="1:18">
      <c r="A53" s="41" t="s">
        <v>344</v>
      </c>
      <c r="B53" s="41" t="s">
        <v>345</v>
      </c>
      <c r="C53" s="41"/>
      <c r="D53" s="41"/>
      <c r="E53" s="41"/>
      <c r="F53" s="41"/>
      <c r="G53" s="41"/>
      <c r="H53" s="41"/>
      <c r="P53" s="31" t="s">
        <v>587</v>
      </c>
      <c r="Q53" s="31" t="s">
        <v>588</v>
      </c>
      <c r="R53" s="31">
        <f>IF(OR($B$163&lt;&gt;"Non",ISNUMBER($B$164)),1,0)</f>
        <v>0</v>
      </c>
    </row>
    <row r="54" spans="1:18">
      <c r="A54" s="41" t="s">
        <v>346</v>
      </c>
      <c r="B54" s="41" t="s">
        <v>347</v>
      </c>
      <c r="C54" s="41"/>
      <c r="D54" s="41"/>
      <c r="E54" s="41"/>
      <c r="F54" s="41"/>
      <c r="G54" s="41"/>
      <c r="H54" s="41"/>
      <c r="P54" s="31" t="s">
        <v>589</v>
      </c>
      <c r="Q54" s="31" t="s">
        <v>590</v>
      </c>
      <c r="R54" s="31">
        <f>IF($B$165&lt;&gt;"",1,0)</f>
        <v>0</v>
      </c>
    </row>
    <row r="55" spans="1:18">
      <c r="A55" s="41" t="s">
        <v>348</v>
      </c>
      <c r="B55" s="41" t="s">
        <v>349</v>
      </c>
      <c r="C55" s="41"/>
      <c r="D55" s="41"/>
      <c r="E55" s="41"/>
      <c r="F55" s="41"/>
      <c r="G55" s="41"/>
      <c r="H55" s="41"/>
      <c r="P55" s="31" t="s">
        <v>591</v>
      </c>
      <c r="Q55" s="31">
        <f>"B"&amp;IF(COUNT($P$169:$P$201)=0,169,MIN($P$169:$P$201))</f>
        <v>0</v>
      </c>
      <c r="R55" s="31">
        <f>IF(COUNT($P$169:$P$201)=0,1,0)</f>
        <v>0</v>
      </c>
    </row>
    <row r="56" spans="1:18">
      <c r="A56" s="41" t="s">
        <v>350</v>
      </c>
      <c r="B56" s="41" t="s">
        <v>351</v>
      </c>
      <c r="C56" s="41"/>
      <c r="D56" s="41"/>
      <c r="E56" s="41"/>
      <c r="F56" s="41"/>
      <c r="G56" s="41"/>
      <c r="H56" s="41"/>
      <c r="P56" s="31" t="s">
        <v>592</v>
      </c>
      <c r="Q56" s="31" t="s">
        <v>593</v>
      </c>
      <c r="R56" s="31">
        <f>IF(COUNTBLANK($E$222:$E$233)=0,1,0)</f>
        <v>0</v>
      </c>
    </row>
    <row r="57" spans="1:18">
      <c r="A57" s="41" t="s">
        <v>352</v>
      </c>
      <c r="B57" s="41" t="s">
        <v>353</v>
      </c>
      <c r="C57" s="41"/>
      <c r="D57" s="41"/>
      <c r="E57" s="41"/>
      <c r="F57" s="41"/>
      <c r="G57" s="41"/>
      <c r="H57" s="41"/>
    </row>
    <row r="58" spans="1:18">
      <c r="A58" s="41" t="s">
        <v>354</v>
      </c>
      <c r="B58" s="41" t="s">
        <v>355</v>
      </c>
      <c r="C58" s="41"/>
      <c r="D58" s="41"/>
      <c r="E58" s="41"/>
      <c r="F58" s="41"/>
      <c r="G58" s="41"/>
      <c r="H58" s="41"/>
    </row>
    <row r="59" spans="1:18">
      <c r="A59" s="41" t="s">
        <v>356</v>
      </c>
      <c r="B59" s="41" t="s">
        <v>357</v>
      </c>
      <c r="C59" s="41"/>
      <c r="D59" s="41"/>
      <c r="E59" s="41"/>
      <c r="F59" s="41"/>
      <c r="G59" s="41"/>
      <c r="H59" s="41"/>
    </row>
    <row r="60" spans="1:18">
      <c r="A60" s="41"/>
      <c r="B60" s="41"/>
      <c r="C60" s="41"/>
      <c r="D60" s="41"/>
      <c r="E60" s="41"/>
      <c r="F60" s="41"/>
      <c r="G60" s="41"/>
      <c r="H60" s="41"/>
    </row>
    <row r="62" spans="1:18">
      <c r="A62" s="3" t="s">
        <v>358</v>
      </c>
      <c r="B62" s="3"/>
      <c r="C62" s="3"/>
      <c r="D62" s="3"/>
      <c r="E62" s="3"/>
      <c r="F62" s="3"/>
      <c r="G62" s="3"/>
      <c r="H62" s="3"/>
    </row>
    <row r="63" spans="1:18">
      <c r="A63" s="17" t="s">
        <v>359</v>
      </c>
      <c r="B63" s="18">
        <f>IFERROR(INDEX(P_Crit,MATCH($B$15,P_Regimes,0)),"")</f>
        <v>0</v>
      </c>
    </row>
    <row r="64" spans="1:18">
      <c r="A64" s="17" t="s">
        <v>360</v>
      </c>
      <c r="B64" s="18">
        <f>IFERROR(INDEX(P_SecDelta,MATCH($B$16,P_SecCodes,0)),"")</f>
        <v>0</v>
      </c>
    </row>
    <row r="65" spans="1:8">
      <c r="A65" s="17" t="s">
        <v>361</v>
      </c>
      <c r="B65" s="18">
        <f>IFERROR(INDEX(P_PhaseMaj,MATCH($B$17,P_PhaseCodes,0)),"")</f>
        <v>0</v>
      </c>
    </row>
    <row r="66" spans="1:8">
      <c r="A66" s="11" t="s">
        <v>362</v>
      </c>
      <c r="B66" s="11" t="s">
        <v>5</v>
      </c>
      <c r="C66" s="11" t="s">
        <v>6</v>
      </c>
      <c r="D66" s="11" t="s">
        <v>7</v>
      </c>
      <c r="E66" s="11" t="s">
        <v>363</v>
      </c>
    </row>
    <row r="67" spans="1:8">
      <c r="A67" s="21" t="s">
        <v>364</v>
      </c>
      <c r="B67" s="18">
        <f>IFERROR(INDEX(P_Crit,MATCH($B$15,P_Regimes,0))+$B$64+$B$65,"")</f>
        <v>0</v>
      </c>
      <c r="C67" s="18">
        <f>IFERROR(INDEX(P_Vig,MATCH($B$15,P_Regimes,0))+$B$64+$B$65,"")</f>
        <v>0</v>
      </c>
      <c r="D67" s="18">
        <f>IFERROR(INDEX(P_Fav,MATCH($B$15,P_Regimes,0))+$B$64+$B$65,"")</f>
        <v>0</v>
      </c>
      <c r="E67" s="18">
        <f>D67</f>
        <v>0</v>
      </c>
    </row>
    <row r="69" spans="1:8">
      <c r="A69" s="3" t="s">
        <v>365</v>
      </c>
      <c r="B69" s="3"/>
      <c r="C69" s="3"/>
      <c r="D69" s="3"/>
      <c r="E69" s="3"/>
      <c r="F69" s="3"/>
      <c r="G69" s="3"/>
      <c r="H69" s="3"/>
    </row>
    <row r="70" spans="1:8">
      <c r="A70" s="17" t="s">
        <v>366</v>
      </c>
      <c r="B70" s="43">
        <v>0.137871</v>
      </c>
      <c r="C70" s="44" t="s">
        <v>367</v>
      </c>
      <c r="D70" s="44"/>
      <c r="E70" s="44"/>
      <c r="F70" s="44"/>
      <c r="G70" s="44"/>
      <c r="H70" s="44"/>
    </row>
    <row r="71" spans="1:8" ht="30" customHeight="1">
      <c r="A71" s="11" t="s">
        <v>368</v>
      </c>
      <c r="B71" s="11" t="s">
        <v>369</v>
      </c>
      <c r="C71" s="11" t="s">
        <v>356</v>
      </c>
      <c r="D71" s="11" t="s">
        <v>370</v>
      </c>
      <c r="E71" s="11" t="s">
        <v>371</v>
      </c>
      <c r="F71" s="11" t="s">
        <v>372</v>
      </c>
      <c r="G71" s="11" t="s">
        <v>373</v>
      </c>
      <c r="H71" s="11" t="s">
        <v>374</v>
      </c>
    </row>
    <row r="72" spans="1:8">
      <c r="A72" s="41" t="s">
        <v>375</v>
      </c>
      <c r="B72" s="39">
        <v>25.9</v>
      </c>
      <c r="C72" s="45">
        <v>19.45</v>
      </c>
      <c r="D72" s="19">
        <f>IF(OR(B72="",C72=""),"",IF(C72=0,"",B72/C72))</f>
        <v>0</v>
      </c>
      <c r="E72" s="7">
        <f>IF(B72="","",IF(C72=0,"Différé",IF(B72&lt;0,"Critique",IF(D72&lt;$B$67,"Critique",IF(D72&lt;$C$67,"Vigilance",IF(D72&lt;$D$67,"Favorable","Très favorable"))))))</f>
        <v>0</v>
      </c>
      <c r="F72" s="39"/>
      <c r="G72" s="19">
        <f>IF(OR(B72="",C72="",C72=0),"",IF(F72&lt;&gt;"",F72,B72*(1-$B$70))/C72)</f>
        <v>0</v>
      </c>
      <c r="H72" s="19"/>
    </row>
    <row r="73" spans="1:8">
      <c r="A73" s="41" t="s">
        <v>376</v>
      </c>
      <c r="B73" s="39">
        <v>28.1</v>
      </c>
      <c r="C73" s="45">
        <v>19.45</v>
      </c>
      <c r="D73" s="19">
        <f>IF(OR(B73="",C73=""),"",IF(C73=0,"",B73/C73))</f>
        <v>0</v>
      </c>
      <c r="E73" s="7">
        <f>IF(B73="","",IF(C73=0,"Différé",IF(B73&lt;0,"Critique",IF(D73&lt;$B$67,"Critique",IF(D73&lt;$C$67,"Vigilance",IF(D73&lt;$D$67,"Favorable","Très favorable"))))))</f>
        <v>0</v>
      </c>
      <c r="F73" s="39"/>
      <c r="G73" s="19">
        <f>IF(OR(B73="",C73="",C73=0),"",IF(F73&lt;&gt;"",F73,B73*(1-$B$70))/C73)</f>
        <v>0</v>
      </c>
      <c r="H73" s="19">
        <f>IF(AND($B$18="Semestrielle",B73&lt;&gt;"",B72&lt;&gt;"",N(C73)+N(C72)&gt;0),(B73+B72)/(C73+C72),"")</f>
        <v>0</v>
      </c>
    </row>
    <row r="74" spans="1:8">
      <c r="A74" s="41" t="s">
        <v>377</v>
      </c>
      <c r="B74" s="39">
        <v>25.5</v>
      </c>
      <c r="C74" s="45">
        <v>19.45</v>
      </c>
      <c r="D74" s="19">
        <f>IF(OR(B74="",C74=""),"",IF(C74=0,"",B74/C74))</f>
        <v>0</v>
      </c>
      <c r="E74" s="7">
        <f>IF(B74="","",IF(C74=0,"Différé",IF(B74&lt;0,"Critique",IF(D74&lt;$B$67,"Critique",IF(D74&lt;$C$67,"Vigilance",IF(D74&lt;$D$67,"Favorable","Très favorable"))))))</f>
        <v>0</v>
      </c>
      <c r="F74" s="39"/>
      <c r="G74" s="19">
        <f>IF(OR(B74="",C74="",C74=0),"",IF(F74&lt;&gt;"",F74,B74*(1-$B$70))/C74)</f>
        <v>0</v>
      </c>
      <c r="H74" s="19"/>
    </row>
    <row r="75" spans="1:8">
      <c r="A75" s="41" t="s">
        <v>378</v>
      </c>
      <c r="B75" s="39">
        <v>27.7</v>
      </c>
      <c r="C75" s="45">
        <v>19.45</v>
      </c>
      <c r="D75" s="19">
        <f>IF(OR(B75="",C75=""),"",IF(C75=0,"",B75/C75))</f>
        <v>0</v>
      </c>
      <c r="E75" s="7">
        <f>IF(B75="","",IF(C75=0,"Différé",IF(B75&lt;0,"Critique",IF(D75&lt;$B$67,"Critique",IF(D75&lt;$C$67,"Vigilance",IF(D75&lt;$D$67,"Favorable","Très favorable"))))))</f>
        <v>0</v>
      </c>
      <c r="F75" s="39"/>
      <c r="G75" s="19">
        <f>IF(OR(B75="",C75="",C75=0),"",IF(F75&lt;&gt;"",F75,B75*(1-$B$70))/C75)</f>
        <v>0</v>
      </c>
      <c r="H75" s="19">
        <f>IF(AND($B$18="Semestrielle",B75&lt;&gt;"",B74&lt;&gt;"",N(C75)+N(C74)&gt;0),(B75+B74)/(C75+C74),"")</f>
        <v>0</v>
      </c>
    </row>
    <row r="76" spans="1:8">
      <c r="A76" s="41" t="s">
        <v>379</v>
      </c>
      <c r="B76" s="39">
        <v>25.2</v>
      </c>
      <c r="C76" s="45">
        <v>19.45</v>
      </c>
      <c r="D76" s="19">
        <f>IF(OR(B76="",C76=""),"",IF(C76=0,"",B76/C76))</f>
        <v>0</v>
      </c>
      <c r="E76" s="7">
        <f>IF(B76="","",IF(C76=0,"Différé",IF(B76&lt;0,"Critique",IF(D76&lt;$B$67,"Critique",IF(D76&lt;$C$67,"Vigilance",IF(D76&lt;$D$67,"Favorable","Très favorable"))))))</f>
        <v>0</v>
      </c>
      <c r="F76" s="39"/>
      <c r="G76" s="19">
        <f>IF(OR(B76="",C76="",C76=0),"",IF(F76&lt;&gt;"",F76,B76*(1-$B$70))/C76)</f>
        <v>0</v>
      </c>
      <c r="H76" s="19"/>
    </row>
    <row r="77" spans="1:8">
      <c r="A77" s="41" t="s">
        <v>380</v>
      </c>
      <c r="B77" s="39">
        <v>27.2</v>
      </c>
      <c r="C77" s="45">
        <v>19.45</v>
      </c>
      <c r="D77" s="19">
        <f>IF(OR(B77="",C77=""),"",IF(C77=0,"",B77/C77))</f>
        <v>0</v>
      </c>
      <c r="E77" s="7">
        <f>IF(B77="","",IF(C77=0,"Différé",IF(B77&lt;0,"Critique",IF(D77&lt;$B$67,"Critique",IF(D77&lt;$C$67,"Vigilance",IF(D77&lt;$D$67,"Favorable","Très favorable"))))))</f>
        <v>0</v>
      </c>
      <c r="F77" s="39"/>
      <c r="G77" s="19">
        <f>IF(OR(B77="",C77="",C77=0),"",IF(F77&lt;&gt;"",F77,B77*(1-$B$70))/C77)</f>
        <v>0</v>
      </c>
      <c r="H77" s="19">
        <f>IF(AND($B$18="Semestrielle",B77&lt;&gt;"",B76&lt;&gt;"",N(C77)+N(C76)&gt;0),(B77+B76)/(C77+C76),"")</f>
        <v>0</v>
      </c>
    </row>
    <row r="78" spans="1:8">
      <c r="A78" s="41"/>
      <c r="B78" s="39"/>
      <c r="C78" s="45"/>
      <c r="D78" s="19">
        <f>IF(OR(B78="",C78=""),"",IF(C78=0,"",B78/C78))</f>
        <v>0</v>
      </c>
      <c r="E78" s="7">
        <f>IF(B78="","",IF(C78=0,"Différé",IF(B78&lt;0,"Critique",IF(D78&lt;$B$67,"Critique",IF(D78&lt;$C$67,"Vigilance",IF(D78&lt;$D$67,"Favorable","Très favorable"))))))</f>
        <v>0</v>
      </c>
      <c r="F78" s="39"/>
      <c r="G78" s="19">
        <f>IF(OR(B78="",C78="",C78=0),"",IF(F78&lt;&gt;"",F78,B78*(1-$B$70))/C78)</f>
        <v>0</v>
      </c>
      <c r="H78" s="19"/>
    </row>
    <row r="79" spans="1:8">
      <c r="A79" s="41"/>
      <c r="B79" s="39"/>
      <c r="C79" s="45"/>
      <c r="D79" s="19">
        <f>IF(OR(B79="",C79=""),"",IF(C79=0,"",B79/C79))</f>
        <v>0</v>
      </c>
      <c r="E79" s="7">
        <f>IF(B79="","",IF(C79=0,"Différé",IF(B79&lt;0,"Critique",IF(D79&lt;$B$67,"Critique",IF(D79&lt;$C$67,"Vigilance",IF(D79&lt;$D$67,"Favorable","Très favorable"))))))</f>
        <v>0</v>
      </c>
      <c r="F79" s="39"/>
      <c r="G79" s="19">
        <f>IF(OR(B79="",C79="",C79=0),"",IF(F79&lt;&gt;"",F79,B79*(1-$B$70))/C79)</f>
        <v>0</v>
      </c>
      <c r="H79" s="19">
        <f>IF(AND($B$18="Semestrielle",B79&lt;&gt;"",B78&lt;&gt;"",N(C79)+N(C78)&gt;0),(B79+B78)/(C79+C78),"")</f>
        <v>0</v>
      </c>
    </row>
    <row r="80" spans="1:8">
      <c r="A80" s="41"/>
      <c r="B80" s="39"/>
      <c r="C80" s="45"/>
      <c r="D80" s="19">
        <f>IF(OR(B80="",C80=""),"",IF(C80=0,"",B80/C80))</f>
        <v>0</v>
      </c>
      <c r="E80" s="7">
        <f>IF(B80="","",IF(C80=0,"Différé",IF(B80&lt;0,"Critique",IF(D80&lt;$B$67,"Critique",IF(D80&lt;$C$67,"Vigilance",IF(D80&lt;$D$67,"Favorable","Très favorable"))))))</f>
        <v>0</v>
      </c>
      <c r="F80" s="39"/>
      <c r="G80" s="19">
        <f>IF(OR(B80="",C80="",C80=0),"",IF(F80&lt;&gt;"",F80,B80*(1-$B$70))/C80)</f>
        <v>0</v>
      </c>
      <c r="H80" s="19"/>
    </row>
    <row r="81" spans="1:8">
      <c r="A81" s="41"/>
      <c r="B81" s="39"/>
      <c r="C81" s="45"/>
      <c r="D81" s="19">
        <f>IF(OR(B81="",C81=""),"",IF(C81=0,"",B81/C81))</f>
        <v>0</v>
      </c>
      <c r="E81" s="7">
        <f>IF(B81="","",IF(C81=0,"Différé",IF(B81&lt;0,"Critique",IF(D81&lt;$B$67,"Critique",IF(D81&lt;$C$67,"Vigilance",IF(D81&lt;$D$67,"Favorable","Très favorable"))))))</f>
        <v>0</v>
      </c>
      <c r="F81" s="39"/>
      <c r="G81" s="19">
        <f>IF(OR(B81="",C81="",C81=0),"",IF(F81&lt;&gt;"",F81,B81*(1-$B$70))/C81)</f>
        <v>0</v>
      </c>
      <c r="H81" s="19">
        <f>IF(AND($B$18="Semestrielle",B81&lt;&gt;"",B80&lt;&gt;"",N(C81)+N(C80)&gt;0),(B81+B80)/(C81+C80),"")</f>
        <v>0</v>
      </c>
    </row>
    <row r="82" spans="1:8">
      <c r="A82" s="41"/>
      <c r="B82" s="39"/>
      <c r="C82" s="45"/>
      <c r="D82" s="19">
        <f>IF(OR(B82="",C82=""),"",IF(C82=0,"",B82/C82))</f>
        <v>0</v>
      </c>
      <c r="E82" s="7">
        <f>IF(B82="","",IF(C82=0,"Différé",IF(B82&lt;0,"Critique",IF(D82&lt;$B$67,"Critique",IF(D82&lt;$C$67,"Vigilance",IF(D82&lt;$D$67,"Favorable","Très favorable"))))))</f>
        <v>0</v>
      </c>
      <c r="F82" s="39"/>
      <c r="G82" s="19">
        <f>IF(OR(B82="",C82="",C82=0),"",IF(F82&lt;&gt;"",F82,B82*(1-$B$70))/C82)</f>
        <v>0</v>
      </c>
      <c r="H82" s="19"/>
    </row>
    <row r="83" spans="1:8">
      <c r="A83" s="41"/>
      <c r="B83" s="39"/>
      <c r="C83" s="45"/>
      <c r="D83" s="19">
        <f>IF(OR(B83="",C83=""),"",IF(C83=0,"",B83/C83))</f>
        <v>0</v>
      </c>
      <c r="E83" s="7">
        <f>IF(B83="","",IF(C83=0,"Différé",IF(B83&lt;0,"Critique",IF(D83&lt;$B$67,"Critique",IF(D83&lt;$C$67,"Vigilance",IF(D83&lt;$D$67,"Favorable","Très favorable"))))))</f>
        <v>0</v>
      </c>
      <c r="F83" s="39"/>
      <c r="G83" s="19">
        <f>IF(OR(B83="",C83="",C83=0),"",IF(F83&lt;&gt;"",F83,B83*(1-$B$70))/C83)</f>
        <v>0</v>
      </c>
      <c r="H83" s="19">
        <f>IF(AND($B$18="Semestrielle",B83&lt;&gt;"",B82&lt;&gt;"",N(C83)+N(C82)&gt;0),(B83+B82)/(C83+C82),"")</f>
        <v>0</v>
      </c>
    </row>
    <row r="84" spans="1:8">
      <c r="A84" s="41"/>
      <c r="B84" s="39"/>
      <c r="C84" s="45"/>
      <c r="D84" s="19">
        <f>IF(OR(B84="",C84=""),"",IF(C84=0,"",B84/C84))</f>
        <v>0</v>
      </c>
      <c r="E84" s="7">
        <f>IF(B84="","",IF(C84=0,"Différé",IF(B84&lt;0,"Critique",IF(D84&lt;$B$67,"Critique",IF(D84&lt;$C$67,"Vigilance",IF(D84&lt;$D$67,"Favorable","Très favorable"))))))</f>
        <v>0</v>
      </c>
      <c r="F84" s="39"/>
      <c r="G84" s="19">
        <f>IF(OR(B84="",C84="",C84=0),"",IF(F84&lt;&gt;"",F84,B84*(1-$B$70))/C84)</f>
        <v>0</v>
      </c>
      <c r="H84" s="19"/>
    </row>
    <row r="85" spans="1:8">
      <c r="A85" s="41"/>
      <c r="B85" s="39"/>
      <c r="C85" s="45"/>
      <c r="D85" s="19">
        <f>IF(OR(B85="",C85=""),"",IF(C85=0,"",B85/C85))</f>
        <v>0</v>
      </c>
      <c r="E85" s="7">
        <f>IF(B85="","",IF(C85=0,"Différé",IF(B85&lt;0,"Critique",IF(D85&lt;$B$67,"Critique",IF(D85&lt;$C$67,"Vigilance",IF(D85&lt;$D$67,"Favorable","Très favorable"))))))</f>
        <v>0</v>
      </c>
      <c r="F85" s="39"/>
      <c r="G85" s="19">
        <f>IF(OR(B85="",C85="",C85=0),"",IF(F85&lt;&gt;"",F85,B85*(1-$B$70))/C85)</f>
        <v>0</v>
      </c>
      <c r="H85" s="19">
        <f>IF(AND($B$18="Semestrielle",B85&lt;&gt;"",B84&lt;&gt;"",N(C85)+N(C84)&gt;0),(B85+B84)/(C85+C84),"")</f>
        <v>0</v>
      </c>
    </row>
    <row r="86" spans="1:8">
      <c r="A86" s="41"/>
      <c r="B86" s="39"/>
      <c r="C86" s="45"/>
      <c r="D86" s="19">
        <f>IF(OR(B86="",C86=""),"",IF(C86=0,"",B86/C86))</f>
        <v>0</v>
      </c>
      <c r="E86" s="7">
        <f>IF(B86="","",IF(C86=0,"Différé",IF(B86&lt;0,"Critique",IF(D86&lt;$B$67,"Critique",IF(D86&lt;$C$67,"Vigilance",IF(D86&lt;$D$67,"Favorable","Très favorable"))))))</f>
        <v>0</v>
      </c>
      <c r="F86" s="39"/>
      <c r="G86" s="19">
        <f>IF(OR(B86="",C86="",C86=0),"",IF(F86&lt;&gt;"",F86,B86*(1-$B$70))/C86)</f>
        <v>0</v>
      </c>
      <c r="H86" s="19"/>
    </row>
    <row r="87" spans="1:8">
      <c r="A87" s="41"/>
      <c r="B87" s="39"/>
      <c r="C87" s="45"/>
      <c r="D87" s="19">
        <f>IF(OR(B87="",C87=""),"",IF(C87=0,"",B87/C87))</f>
        <v>0</v>
      </c>
      <c r="E87" s="7">
        <f>IF(B87="","",IF(C87=0,"Différé",IF(B87&lt;0,"Critique",IF(D87&lt;$B$67,"Critique",IF(D87&lt;$C$67,"Vigilance",IF(D87&lt;$D$67,"Favorable","Très favorable"))))))</f>
        <v>0</v>
      </c>
      <c r="F87" s="39"/>
      <c r="G87" s="19">
        <f>IF(OR(B87="",C87="",C87=0),"",IF(F87&lt;&gt;"",F87,B87*(1-$B$70))/C87)</f>
        <v>0</v>
      </c>
      <c r="H87" s="19">
        <f>IF(AND($B$18="Semestrielle",B87&lt;&gt;"",B86&lt;&gt;"",N(C87)+N(C86)&gt;0),(B87+B86)/(C87+C86),"")</f>
        <v>0</v>
      </c>
    </row>
    <row r="88" spans="1:8">
      <c r="A88" s="41"/>
      <c r="B88" s="39"/>
      <c r="C88" s="45"/>
      <c r="D88" s="19">
        <f>IF(OR(B88="",C88=""),"",IF(C88=0,"",B88/C88))</f>
        <v>0</v>
      </c>
      <c r="E88" s="7">
        <f>IF(B88="","",IF(C88=0,"Différé",IF(B88&lt;0,"Critique",IF(D88&lt;$B$67,"Critique",IF(D88&lt;$C$67,"Vigilance",IF(D88&lt;$D$67,"Favorable","Très favorable"))))))</f>
        <v>0</v>
      </c>
      <c r="F88" s="39"/>
      <c r="G88" s="19">
        <f>IF(OR(B88="",C88="",C88=0),"",IF(F88&lt;&gt;"",F88,B88*(1-$B$70))/C88)</f>
        <v>0</v>
      </c>
      <c r="H88" s="19"/>
    </row>
    <row r="89" spans="1:8">
      <c r="A89" s="41"/>
      <c r="B89" s="39"/>
      <c r="C89" s="45"/>
      <c r="D89" s="19">
        <f>IF(OR(B89="",C89=""),"",IF(C89=0,"",B89/C89))</f>
        <v>0</v>
      </c>
      <c r="E89" s="7">
        <f>IF(B89="","",IF(C89=0,"Différé",IF(B89&lt;0,"Critique",IF(D89&lt;$B$67,"Critique",IF(D89&lt;$C$67,"Vigilance",IF(D89&lt;$D$67,"Favorable","Très favorable"))))))</f>
        <v>0</v>
      </c>
      <c r="F89" s="39"/>
      <c r="G89" s="19">
        <f>IF(OR(B89="",C89="",C89=0),"",IF(F89&lt;&gt;"",F89,B89*(1-$B$70))/C89)</f>
        <v>0</v>
      </c>
      <c r="H89" s="19">
        <f>IF(AND($B$18="Semestrielle",B89&lt;&gt;"",B88&lt;&gt;"",N(C89)+N(C88)&gt;0),(B89+B88)/(C89+C88),"")</f>
        <v>0</v>
      </c>
    </row>
    <row r="90" spans="1:8">
      <c r="A90" s="41"/>
      <c r="B90" s="39"/>
      <c r="C90" s="45"/>
      <c r="D90" s="19">
        <f>IF(OR(B90="",C90=""),"",IF(C90=0,"",B90/C90))</f>
        <v>0</v>
      </c>
      <c r="E90" s="7">
        <f>IF(B90="","",IF(C90=0,"Différé",IF(B90&lt;0,"Critique",IF(D90&lt;$B$67,"Critique",IF(D90&lt;$C$67,"Vigilance",IF(D90&lt;$D$67,"Favorable","Très favorable"))))))</f>
        <v>0</v>
      </c>
      <c r="F90" s="39"/>
      <c r="G90" s="19">
        <f>IF(OR(B90="",C90="",C90=0),"",IF(F90&lt;&gt;"",F90,B90*(1-$B$70))/C90)</f>
        <v>0</v>
      </c>
      <c r="H90" s="19"/>
    </row>
    <row r="91" spans="1:8">
      <c r="A91" s="41"/>
      <c r="B91" s="39"/>
      <c r="C91" s="45"/>
      <c r="D91" s="19">
        <f>IF(OR(B91="",C91=""),"",IF(C91=0,"",B91/C91))</f>
        <v>0</v>
      </c>
      <c r="E91" s="7">
        <f>IF(B91="","",IF(C91=0,"Différé",IF(B91&lt;0,"Critique",IF(D91&lt;$B$67,"Critique",IF(D91&lt;$C$67,"Vigilance",IF(D91&lt;$D$67,"Favorable","Très favorable"))))))</f>
        <v>0</v>
      </c>
      <c r="F91" s="39"/>
      <c r="G91" s="19">
        <f>IF(OR(B91="",C91="",C91=0),"",IF(F91&lt;&gt;"",F91,B91*(1-$B$70))/C91)</f>
        <v>0</v>
      </c>
      <c r="H91" s="19">
        <f>IF(AND($B$18="Semestrielle",B91&lt;&gt;"",B90&lt;&gt;"",N(C91)+N(C90)&gt;0),(B91+B90)/(C91+C90),"")</f>
        <v>0</v>
      </c>
    </row>
    <row r="92" spans="1:8">
      <c r="A92" s="41"/>
      <c r="B92" s="39"/>
      <c r="C92" s="45"/>
      <c r="D92" s="19">
        <f>IF(OR(B92="",C92=""),"",IF(C92=0,"",B92/C92))</f>
        <v>0</v>
      </c>
      <c r="E92" s="7">
        <f>IF(B92="","",IF(C92=0,"Différé",IF(B92&lt;0,"Critique",IF(D92&lt;$B$67,"Critique",IF(D92&lt;$C$67,"Vigilance",IF(D92&lt;$D$67,"Favorable","Très favorable"))))))</f>
        <v>0</v>
      </c>
      <c r="F92" s="39"/>
      <c r="G92" s="19">
        <f>IF(OR(B92="",C92="",C92=0),"",IF(F92&lt;&gt;"",F92,B92*(1-$B$70))/C92)</f>
        <v>0</v>
      </c>
      <c r="H92" s="19"/>
    </row>
    <row r="93" spans="1:8">
      <c r="A93" s="41"/>
      <c r="B93" s="39"/>
      <c r="C93" s="45"/>
      <c r="D93" s="19">
        <f>IF(OR(B93="",C93=""),"",IF(C93=0,"",B93/C93))</f>
        <v>0</v>
      </c>
      <c r="E93" s="7">
        <f>IF(B93="","",IF(C93=0,"Différé",IF(B93&lt;0,"Critique",IF(D93&lt;$B$67,"Critique",IF(D93&lt;$C$67,"Vigilance",IF(D93&lt;$D$67,"Favorable","Très favorable"))))))</f>
        <v>0</v>
      </c>
      <c r="F93" s="39"/>
      <c r="G93" s="19">
        <f>IF(OR(B93="",C93="",C93=0),"",IF(F93&lt;&gt;"",F93,B93*(1-$B$70))/C93)</f>
        <v>0</v>
      </c>
      <c r="H93" s="19">
        <f>IF(AND($B$18="Semestrielle",B93&lt;&gt;"",B92&lt;&gt;"",N(C93)+N(C92)&gt;0),(B93+B92)/(C93+C92),"")</f>
        <v>0</v>
      </c>
    </row>
    <row r="94" spans="1:8">
      <c r="A94" s="41"/>
      <c r="B94" s="39"/>
      <c r="C94" s="45"/>
      <c r="D94" s="19">
        <f>IF(OR(B94="",C94=""),"",IF(C94=0,"",B94/C94))</f>
        <v>0</v>
      </c>
      <c r="E94" s="7">
        <f>IF(B94="","",IF(C94=0,"Différé",IF(B94&lt;0,"Critique",IF(D94&lt;$B$67,"Critique",IF(D94&lt;$C$67,"Vigilance",IF(D94&lt;$D$67,"Favorable","Très favorable"))))))</f>
        <v>0</v>
      </c>
      <c r="F94" s="39"/>
      <c r="G94" s="19">
        <f>IF(OR(B94="",C94="",C94=0),"",IF(F94&lt;&gt;"",F94,B94*(1-$B$70))/C94)</f>
        <v>0</v>
      </c>
      <c r="H94" s="19"/>
    </row>
    <row r="95" spans="1:8">
      <c r="A95" s="41"/>
      <c r="B95" s="39"/>
      <c r="C95" s="45"/>
      <c r="D95" s="19">
        <f>IF(OR(B95="",C95=""),"",IF(C95=0,"",B95/C95))</f>
        <v>0</v>
      </c>
      <c r="E95" s="7">
        <f>IF(B95="","",IF(C95=0,"Différé",IF(B95&lt;0,"Critique",IF(D95&lt;$B$67,"Critique",IF(D95&lt;$C$67,"Vigilance",IF(D95&lt;$D$67,"Favorable","Très favorable"))))))</f>
        <v>0</v>
      </c>
      <c r="F95" s="39"/>
      <c r="G95" s="19">
        <f>IF(OR(B95="",C95="",C95=0),"",IF(F95&lt;&gt;"",F95,B95*(1-$B$70))/C95)</f>
        <v>0</v>
      </c>
      <c r="H95" s="19">
        <f>IF(AND($B$18="Semestrielle",B95&lt;&gt;"",B94&lt;&gt;"",N(C95)+N(C94)&gt;0),(B95+B94)/(C95+C94),"")</f>
        <v>0</v>
      </c>
    </row>
    <row r="96" spans="1:8">
      <c r="A96" s="41"/>
      <c r="B96" s="39"/>
      <c r="C96" s="45"/>
      <c r="D96" s="19">
        <f>IF(OR(B96="",C96=""),"",IF(C96=0,"",B96/C96))</f>
        <v>0</v>
      </c>
      <c r="E96" s="7">
        <f>IF(B96="","",IF(C96=0,"Différé",IF(B96&lt;0,"Critique",IF(D96&lt;$B$67,"Critique",IF(D96&lt;$C$67,"Vigilance",IF(D96&lt;$D$67,"Favorable","Très favorable"))))))</f>
        <v>0</v>
      </c>
      <c r="F96" s="39"/>
      <c r="G96" s="19">
        <f>IF(OR(B96="",C96="",C96=0),"",IF(F96&lt;&gt;"",F96,B96*(1-$B$70))/C96)</f>
        <v>0</v>
      </c>
      <c r="H96" s="19"/>
    </row>
    <row r="97" spans="1:8">
      <c r="A97" s="41"/>
      <c r="B97" s="39"/>
      <c r="C97" s="45"/>
      <c r="D97" s="19">
        <f>IF(OR(B97="",C97=""),"",IF(C97=0,"",B97/C97))</f>
        <v>0</v>
      </c>
      <c r="E97" s="7">
        <f>IF(B97="","",IF(C97=0,"Différé",IF(B97&lt;0,"Critique",IF(D97&lt;$B$67,"Critique",IF(D97&lt;$C$67,"Vigilance",IF(D97&lt;$D$67,"Favorable","Très favorable"))))))</f>
        <v>0</v>
      </c>
      <c r="F97" s="39"/>
      <c r="G97" s="19">
        <f>IF(OR(B97="",C97="",C97=0),"",IF(F97&lt;&gt;"",F97,B97*(1-$B$70))/C97)</f>
        <v>0</v>
      </c>
      <c r="H97" s="19">
        <f>IF(AND($B$18="Semestrielle",B97&lt;&gt;"",B96&lt;&gt;"",N(C97)+N(C96)&gt;0),(B97+B96)/(C97+C96),"")</f>
        <v>0</v>
      </c>
    </row>
    <row r="98" spans="1:8">
      <c r="A98" s="41"/>
      <c r="B98" s="39"/>
      <c r="C98" s="45"/>
      <c r="D98" s="19">
        <f>IF(OR(B98="",C98=""),"",IF(C98=0,"",B98/C98))</f>
        <v>0</v>
      </c>
      <c r="E98" s="7">
        <f>IF(B98="","",IF(C98=0,"Différé",IF(B98&lt;0,"Critique",IF(D98&lt;$B$67,"Critique",IF(D98&lt;$C$67,"Vigilance",IF(D98&lt;$D$67,"Favorable","Très favorable"))))))</f>
        <v>0</v>
      </c>
      <c r="F98" s="39"/>
      <c r="G98" s="19">
        <f>IF(OR(B98="",C98="",C98=0),"",IF(F98&lt;&gt;"",F98,B98*(1-$B$70))/C98)</f>
        <v>0</v>
      </c>
      <c r="H98" s="19"/>
    </row>
    <row r="99" spans="1:8">
      <c r="A99" s="41"/>
      <c r="B99" s="39"/>
      <c r="C99" s="45"/>
      <c r="D99" s="19">
        <f>IF(OR(B99="",C99=""),"",IF(C99=0,"",B99/C99))</f>
        <v>0</v>
      </c>
      <c r="E99" s="7">
        <f>IF(B99="","",IF(C99=0,"Différé",IF(B99&lt;0,"Critique",IF(D99&lt;$B$67,"Critique",IF(D99&lt;$C$67,"Vigilance",IF(D99&lt;$D$67,"Favorable","Très favorable"))))))</f>
        <v>0</v>
      </c>
      <c r="F99" s="39"/>
      <c r="G99" s="19">
        <f>IF(OR(B99="",C99="",C99=0),"",IF(F99&lt;&gt;"",F99,B99*(1-$B$70))/C99)</f>
        <v>0</v>
      </c>
      <c r="H99" s="19">
        <f>IF(AND($B$18="Semestrielle",B99&lt;&gt;"",B98&lt;&gt;"",N(C99)+N(C98)&gt;0),(B99+B98)/(C99+C98),"")</f>
        <v>0</v>
      </c>
    </row>
    <row r="100" spans="1:8">
      <c r="A100" s="41"/>
      <c r="B100" s="39"/>
      <c r="C100" s="45"/>
      <c r="D100" s="19">
        <f>IF(OR(B100="",C100=""),"",IF(C100=0,"",B100/C100))</f>
        <v>0</v>
      </c>
      <c r="E100" s="7">
        <f>IF(B100="","",IF(C100=0,"Différé",IF(B100&lt;0,"Critique",IF(D100&lt;$B$67,"Critique",IF(D100&lt;$C$67,"Vigilance",IF(D100&lt;$D$67,"Favorable","Très favorable"))))))</f>
        <v>0</v>
      </c>
      <c r="F100" s="39"/>
      <c r="G100" s="19">
        <f>IF(OR(B100="",C100="",C100=0),"",IF(F100&lt;&gt;"",F100,B100*(1-$B$70))/C100)</f>
        <v>0</v>
      </c>
      <c r="H100" s="19"/>
    </row>
    <row r="101" spans="1:8">
      <c r="A101" s="41"/>
      <c r="B101" s="39"/>
      <c r="C101" s="45"/>
      <c r="D101" s="19">
        <f>IF(OR(B101="",C101=""),"",IF(C101=0,"",B101/C101))</f>
        <v>0</v>
      </c>
      <c r="E101" s="7">
        <f>IF(B101="","",IF(C101=0,"Différé",IF(B101&lt;0,"Critique",IF(D101&lt;$B$67,"Critique",IF(D101&lt;$C$67,"Vigilance",IF(D101&lt;$D$67,"Favorable","Très favorable"))))))</f>
        <v>0</v>
      </c>
      <c r="F101" s="39"/>
      <c r="G101" s="19">
        <f>IF(OR(B101="",C101="",C101=0),"",IF(F101&lt;&gt;"",F101,B101*(1-$B$70))/C101)</f>
        <v>0</v>
      </c>
      <c r="H101" s="19">
        <f>IF(AND($B$18="Semestrielle",B101&lt;&gt;"",B100&lt;&gt;"",N(C101)+N(C100)&gt;0),(B101+B100)/(C101+C100),"")</f>
        <v>0</v>
      </c>
    </row>
    <row r="102" spans="1:8">
      <c r="A102" s="41"/>
      <c r="B102" s="39"/>
      <c r="C102" s="45"/>
      <c r="D102" s="19">
        <f>IF(OR(B102="",C102=""),"",IF(C102=0,"",B102/C102))</f>
        <v>0</v>
      </c>
      <c r="E102" s="7">
        <f>IF(B102="","",IF(C102=0,"Différé",IF(B102&lt;0,"Critique",IF(D102&lt;$B$67,"Critique",IF(D102&lt;$C$67,"Vigilance",IF(D102&lt;$D$67,"Favorable","Très favorable"))))))</f>
        <v>0</v>
      </c>
      <c r="F102" s="39"/>
      <c r="G102" s="19">
        <f>IF(OR(B102="",C102="",C102=0),"",IF(F102&lt;&gt;"",F102,B102*(1-$B$70))/C102)</f>
        <v>0</v>
      </c>
      <c r="H102" s="19"/>
    </row>
    <row r="103" spans="1:8">
      <c r="A103" s="41"/>
      <c r="B103" s="39"/>
      <c r="C103" s="45"/>
      <c r="D103" s="19">
        <f>IF(OR(B103="",C103=""),"",IF(C103=0,"",B103/C103))</f>
        <v>0</v>
      </c>
      <c r="E103" s="7">
        <f>IF(B103="","",IF(C103=0,"Différé",IF(B103&lt;0,"Critique",IF(D103&lt;$B$67,"Critique",IF(D103&lt;$C$67,"Vigilance",IF(D103&lt;$D$67,"Favorable","Très favorable"))))))</f>
        <v>0</v>
      </c>
      <c r="F103" s="39"/>
      <c r="G103" s="19">
        <f>IF(OR(B103="",C103="",C103=0),"",IF(F103&lt;&gt;"",F103,B103*(1-$B$70))/C103)</f>
        <v>0</v>
      </c>
      <c r="H103" s="19">
        <f>IF(AND($B$18="Semestrielle",B103&lt;&gt;"",B102&lt;&gt;"",N(C103)+N(C102)&gt;0),(B103+B102)/(C103+C102),"")</f>
        <v>0</v>
      </c>
    </row>
    <row r="104" spans="1:8">
      <c r="A104" s="41"/>
      <c r="B104" s="39"/>
      <c r="C104" s="45"/>
      <c r="D104" s="19">
        <f>IF(OR(B104="",C104=""),"",IF(C104=0,"",B104/C104))</f>
        <v>0</v>
      </c>
      <c r="E104" s="7">
        <f>IF(B104="","",IF(C104=0,"Différé",IF(B104&lt;0,"Critique",IF(D104&lt;$B$67,"Critique",IF(D104&lt;$C$67,"Vigilance",IF(D104&lt;$D$67,"Favorable","Très favorable"))))))</f>
        <v>0</v>
      </c>
      <c r="F104" s="39"/>
      <c r="G104" s="19">
        <f>IF(OR(B104="",C104="",C104=0),"",IF(F104&lt;&gt;"",F104,B104*(1-$B$70))/C104)</f>
        <v>0</v>
      </c>
      <c r="H104" s="19"/>
    </row>
    <row r="105" spans="1:8">
      <c r="A105" s="41"/>
      <c r="B105" s="39"/>
      <c r="C105" s="45"/>
      <c r="D105" s="19">
        <f>IF(OR(B105="",C105=""),"",IF(C105=0,"",B105/C105))</f>
        <v>0</v>
      </c>
      <c r="E105" s="7">
        <f>IF(B105="","",IF(C105=0,"Différé",IF(B105&lt;0,"Critique",IF(D105&lt;$B$67,"Critique",IF(D105&lt;$C$67,"Vigilance",IF(D105&lt;$D$67,"Favorable","Très favorable"))))))</f>
        <v>0</v>
      </c>
      <c r="F105" s="39"/>
      <c r="G105" s="19">
        <f>IF(OR(B105="",C105="",C105=0),"",IF(F105&lt;&gt;"",F105,B105*(1-$B$70))/C105)</f>
        <v>0</v>
      </c>
      <c r="H105" s="19">
        <f>IF(AND($B$18="Semestrielle",B105&lt;&gt;"",B104&lt;&gt;"",N(C105)+N(C104)&gt;0),(B105+B104)/(C105+C104),"")</f>
        <v>0</v>
      </c>
    </row>
    <row r="106" spans="1:8">
      <c r="A106" s="41"/>
      <c r="B106" s="39"/>
      <c r="C106" s="45"/>
      <c r="D106" s="19">
        <f>IF(OR(B106="",C106=""),"",IF(C106=0,"",B106/C106))</f>
        <v>0</v>
      </c>
      <c r="E106" s="7">
        <f>IF(B106="","",IF(C106=0,"Différé",IF(B106&lt;0,"Critique",IF(D106&lt;$B$67,"Critique",IF(D106&lt;$C$67,"Vigilance",IF(D106&lt;$D$67,"Favorable","Très favorable"))))))</f>
        <v>0</v>
      </c>
      <c r="F106" s="39"/>
      <c r="G106" s="19">
        <f>IF(OR(B106="",C106="",C106=0),"",IF(F106&lt;&gt;"",F106,B106*(1-$B$70))/C106)</f>
        <v>0</v>
      </c>
      <c r="H106" s="19"/>
    </row>
    <row r="107" spans="1:8">
      <c r="A107" s="41"/>
      <c r="B107" s="39"/>
      <c r="C107" s="45"/>
      <c r="D107" s="19">
        <f>IF(OR(B107="",C107=""),"",IF(C107=0,"",B107/C107))</f>
        <v>0</v>
      </c>
      <c r="E107" s="7">
        <f>IF(B107="","",IF(C107=0,"Différé",IF(B107&lt;0,"Critique",IF(D107&lt;$B$67,"Critique",IF(D107&lt;$C$67,"Vigilance",IF(D107&lt;$D$67,"Favorable","Très favorable"))))))</f>
        <v>0</v>
      </c>
      <c r="F107" s="39"/>
      <c r="G107" s="19">
        <f>IF(OR(B107="",C107="",C107=0),"",IF(F107&lt;&gt;"",F107,B107*(1-$B$70))/C107)</f>
        <v>0</v>
      </c>
      <c r="H107" s="19">
        <f>IF(AND($B$18="Semestrielle",B107&lt;&gt;"",B106&lt;&gt;"",N(C107)+N(C106)&gt;0),(B107+B106)/(C107+C106),"")</f>
        <v>0</v>
      </c>
    </row>
    <row r="108" spans="1:8">
      <c r="A108" s="41"/>
      <c r="B108" s="39"/>
      <c r="C108" s="45"/>
      <c r="D108" s="19">
        <f>IF(OR(B108="",C108=""),"",IF(C108=0,"",B108/C108))</f>
        <v>0</v>
      </c>
      <c r="E108" s="7">
        <f>IF(B108="","",IF(C108=0,"Différé",IF(B108&lt;0,"Critique",IF(D108&lt;$B$67,"Critique",IF(D108&lt;$C$67,"Vigilance",IF(D108&lt;$D$67,"Favorable","Très favorable"))))))</f>
        <v>0</v>
      </c>
      <c r="F108" s="39"/>
      <c r="G108" s="19">
        <f>IF(OR(B108="",C108="",C108=0),"",IF(F108&lt;&gt;"",F108,B108*(1-$B$70))/C108)</f>
        <v>0</v>
      </c>
      <c r="H108" s="19"/>
    </row>
    <row r="109" spans="1:8">
      <c r="A109" s="41"/>
      <c r="B109" s="39"/>
      <c r="C109" s="45"/>
      <c r="D109" s="19">
        <f>IF(OR(B109="",C109=""),"",IF(C109=0,"",B109/C109))</f>
        <v>0</v>
      </c>
      <c r="E109" s="7">
        <f>IF(B109="","",IF(C109=0,"Différé",IF(B109&lt;0,"Critique",IF(D109&lt;$B$67,"Critique",IF(D109&lt;$C$67,"Vigilance",IF(D109&lt;$D$67,"Favorable","Très favorable"))))))</f>
        <v>0</v>
      </c>
      <c r="F109" s="39"/>
      <c r="G109" s="19">
        <f>IF(OR(B109="",C109="",C109=0),"",IF(F109&lt;&gt;"",F109,B109*(1-$B$70))/C109)</f>
        <v>0</v>
      </c>
      <c r="H109" s="19">
        <f>IF(AND($B$18="Semestrielle",B109&lt;&gt;"",B108&lt;&gt;"",N(C109)+N(C108)&gt;0),(B109+B108)/(C109+C108),"")</f>
        <v>0</v>
      </c>
    </row>
    <row r="110" spans="1:8">
      <c r="A110" s="41"/>
      <c r="B110" s="39"/>
      <c r="C110" s="45"/>
      <c r="D110" s="19">
        <f>IF(OR(B110="",C110=""),"",IF(C110=0,"",B110/C110))</f>
        <v>0</v>
      </c>
      <c r="E110" s="7">
        <f>IF(B110="","",IF(C110=0,"Différé",IF(B110&lt;0,"Critique",IF(D110&lt;$B$67,"Critique",IF(D110&lt;$C$67,"Vigilance",IF(D110&lt;$D$67,"Favorable","Très favorable"))))))</f>
        <v>0</v>
      </c>
      <c r="F110" s="39"/>
      <c r="G110" s="19">
        <f>IF(OR(B110="",C110="",C110=0),"",IF(F110&lt;&gt;"",F110,B110*(1-$B$70))/C110)</f>
        <v>0</v>
      </c>
      <c r="H110" s="19"/>
    </row>
    <row r="111" spans="1:8">
      <c r="A111" s="41"/>
      <c r="B111" s="39"/>
      <c r="C111" s="45"/>
      <c r="D111" s="19">
        <f>IF(OR(B111="",C111=""),"",IF(C111=0,"",B111/C111))</f>
        <v>0</v>
      </c>
      <c r="E111" s="7">
        <f>IF(B111="","",IF(C111=0,"Différé",IF(B111&lt;0,"Critique",IF(D111&lt;$B$67,"Critique",IF(D111&lt;$C$67,"Vigilance",IF(D111&lt;$D$67,"Favorable","Très favorable"))))))</f>
        <v>0</v>
      </c>
      <c r="F111" s="39"/>
      <c r="G111" s="19">
        <f>IF(OR(B111="",C111="",C111=0),"",IF(F111&lt;&gt;"",F111,B111*(1-$B$70))/C111)</f>
        <v>0</v>
      </c>
      <c r="H111" s="19">
        <f>IF(AND($B$18="Semestrielle",B111&lt;&gt;"",B110&lt;&gt;"",N(C111)+N(C110)&gt;0),(B111+B110)/(C111+C110),"")</f>
        <v>0</v>
      </c>
    </row>
    <row r="112" spans="1:8">
      <c r="A112" s="41"/>
      <c r="B112" s="39"/>
      <c r="C112" s="45"/>
      <c r="D112" s="19">
        <f>IF(OR(B112="",C112=""),"",IF(C112=0,"",B112/C112))</f>
        <v>0</v>
      </c>
      <c r="E112" s="7">
        <f>IF(B112="","",IF(C112=0,"Différé",IF(B112&lt;0,"Critique",IF(D112&lt;$B$67,"Critique",IF(D112&lt;$C$67,"Vigilance",IF(D112&lt;$D$67,"Favorable","Très favorable"))))))</f>
        <v>0</v>
      </c>
      <c r="F112" s="39"/>
      <c r="G112" s="19">
        <f>IF(OR(B112="",C112="",C112=0),"",IF(F112&lt;&gt;"",F112,B112*(1-$B$70))/C112)</f>
        <v>0</v>
      </c>
      <c r="H112" s="19"/>
    </row>
    <row r="113" spans="1:8">
      <c r="A113" s="41"/>
      <c r="B113" s="39"/>
      <c r="C113" s="45"/>
      <c r="D113" s="19">
        <f>IF(OR(B113="",C113=""),"",IF(C113=0,"",B113/C113))</f>
        <v>0</v>
      </c>
      <c r="E113" s="7">
        <f>IF(B113="","",IF(C113=0,"Différé",IF(B113&lt;0,"Critique",IF(D113&lt;$B$67,"Critique",IF(D113&lt;$C$67,"Vigilance",IF(D113&lt;$D$67,"Favorable","Très favorable"))))))</f>
        <v>0</v>
      </c>
      <c r="F113" s="39"/>
      <c r="G113" s="19">
        <f>IF(OR(B113="",C113="",C113=0),"",IF(F113&lt;&gt;"",F113,B113*(1-$B$70))/C113)</f>
        <v>0</v>
      </c>
      <c r="H113" s="19">
        <f>IF(AND($B$18="Semestrielle",B113&lt;&gt;"",B112&lt;&gt;"",N(C113)+N(C112)&gt;0),(B113+B112)/(C113+C112),"")</f>
        <v>0</v>
      </c>
    </row>
    <row r="114" spans="1:8">
      <c r="A114" s="41"/>
      <c r="B114" s="39"/>
      <c r="C114" s="45"/>
      <c r="D114" s="19">
        <f>IF(OR(B114="",C114=""),"",IF(C114=0,"",B114/C114))</f>
        <v>0</v>
      </c>
      <c r="E114" s="7">
        <f>IF(B114="","",IF(C114=0,"Différé",IF(B114&lt;0,"Critique",IF(D114&lt;$B$67,"Critique",IF(D114&lt;$C$67,"Vigilance",IF(D114&lt;$D$67,"Favorable","Très favorable"))))))</f>
        <v>0</v>
      </c>
      <c r="F114" s="39"/>
      <c r="G114" s="19">
        <f>IF(OR(B114="",C114="",C114=0),"",IF(F114&lt;&gt;"",F114,B114*(1-$B$70))/C114)</f>
        <v>0</v>
      </c>
      <c r="H114" s="19"/>
    </row>
    <row r="115" spans="1:8">
      <c r="A115" s="41"/>
      <c r="B115" s="39"/>
      <c r="C115" s="45"/>
      <c r="D115" s="19">
        <f>IF(OR(B115="",C115=""),"",IF(C115=0,"",B115/C115))</f>
        <v>0</v>
      </c>
      <c r="E115" s="7">
        <f>IF(B115="","",IF(C115=0,"Différé",IF(B115&lt;0,"Critique",IF(D115&lt;$B$67,"Critique",IF(D115&lt;$C$67,"Vigilance",IF(D115&lt;$D$67,"Favorable","Très favorable"))))))</f>
        <v>0</v>
      </c>
      <c r="F115" s="39"/>
      <c r="G115" s="19">
        <f>IF(OR(B115="",C115="",C115=0),"",IF(F115&lt;&gt;"",F115,B115*(1-$B$70))/C115)</f>
        <v>0</v>
      </c>
      <c r="H115" s="19">
        <f>IF(AND($B$18="Semestrielle",B115&lt;&gt;"",B114&lt;&gt;"",N(C115)+N(C114)&gt;0),(B115+B114)/(C115+C114),"")</f>
        <v>0</v>
      </c>
    </row>
    <row r="116" spans="1:8">
      <c r="A116" s="41"/>
      <c r="B116" s="39"/>
      <c r="C116" s="45"/>
      <c r="D116" s="19">
        <f>IF(OR(B116="",C116=""),"",IF(C116=0,"",B116/C116))</f>
        <v>0</v>
      </c>
      <c r="E116" s="7">
        <f>IF(B116="","",IF(C116=0,"Différé",IF(B116&lt;0,"Critique",IF(D116&lt;$B$67,"Critique",IF(D116&lt;$C$67,"Vigilance",IF(D116&lt;$D$67,"Favorable","Très favorable"))))))</f>
        <v>0</v>
      </c>
      <c r="F116" s="39"/>
      <c r="G116" s="19">
        <f>IF(OR(B116="",C116="",C116=0),"",IF(F116&lt;&gt;"",F116,B116*(1-$B$70))/C116)</f>
        <v>0</v>
      </c>
      <c r="H116" s="19"/>
    </row>
    <row r="117" spans="1:8">
      <c r="A117" s="41"/>
      <c r="B117" s="39"/>
      <c r="C117" s="45"/>
      <c r="D117" s="19">
        <f>IF(OR(B117="",C117=""),"",IF(C117=0,"",B117/C117))</f>
        <v>0</v>
      </c>
      <c r="E117" s="7">
        <f>IF(B117="","",IF(C117=0,"Différé",IF(B117&lt;0,"Critique",IF(D117&lt;$B$67,"Critique",IF(D117&lt;$C$67,"Vigilance",IF(D117&lt;$D$67,"Favorable","Très favorable"))))))</f>
        <v>0</v>
      </c>
      <c r="F117" s="39"/>
      <c r="G117" s="19">
        <f>IF(OR(B117="",C117="",C117=0),"",IF(F117&lt;&gt;"",F117,B117*(1-$B$70))/C117)</f>
        <v>0</v>
      </c>
      <c r="H117" s="19">
        <f>IF(AND($B$18="Semestrielle",B117&lt;&gt;"",B116&lt;&gt;"",N(C117)+N(C116)&gt;0),(B117+B116)/(C117+C116),"")</f>
        <v>0</v>
      </c>
    </row>
    <row r="118" spans="1:8">
      <c r="A118" s="41"/>
      <c r="B118" s="39"/>
      <c r="C118" s="45"/>
      <c r="D118" s="19">
        <f>IF(OR(B118="",C118=""),"",IF(C118=0,"",B118/C118))</f>
        <v>0</v>
      </c>
      <c r="E118" s="7">
        <f>IF(B118="","",IF(C118=0,"Différé",IF(B118&lt;0,"Critique",IF(D118&lt;$B$67,"Critique",IF(D118&lt;$C$67,"Vigilance",IF(D118&lt;$D$67,"Favorable","Très favorable"))))))</f>
        <v>0</v>
      </c>
      <c r="F118" s="39"/>
      <c r="G118" s="19">
        <f>IF(OR(B118="",C118="",C118=0),"",IF(F118&lt;&gt;"",F118,B118*(1-$B$70))/C118)</f>
        <v>0</v>
      </c>
      <c r="H118" s="19"/>
    </row>
    <row r="119" spans="1:8">
      <c r="A119" s="41"/>
      <c r="B119" s="39"/>
      <c r="C119" s="45"/>
      <c r="D119" s="19">
        <f>IF(OR(B119="",C119=""),"",IF(C119=0,"",B119/C119))</f>
        <v>0</v>
      </c>
      <c r="E119" s="7">
        <f>IF(B119="","",IF(C119=0,"Différé",IF(B119&lt;0,"Critique",IF(D119&lt;$B$67,"Critique",IF(D119&lt;$C$67,"Vigilance",IF(D119&lt;$D$67,"Favorable","Très favorable"))))))</f>
        <v>0</v>
      </c>
      <c r="F119" s="39"/>
      <c r="G119" s="19">
        <f>IF(OR(B119="",C119="",C119=0),"",IF(F119&lt;&gt;"",F119,B119*(1-$B$70))/C119)</f>
        <v>0</v>
      </c>
      <c r="H119" s="19">
        <f>IF(AND($B$18="Semestrielle",B119&lt;&gt;"",B118&lt;&gt;"",N(C119)+N(C118)&gt;0),(B119+B118)/(C119+C118),"")</f>
        <v>0</v>
      </c>
    </row>
    <row r="120" spans="1:8">
      <c r="A120" s="41"/>
      <c r="B120" s="39"/>
      <c r="C120" s="45"/>
      <c r="D120" s="19">
        <f>IF(OR(B120="",C120=""),"",IF(C120=0,"",B120/C120))</f>
        <v>0</v>
      </c>
      <c r="E120" s="7">
        <f>IF(B120="","",IF(C120=0,"Différé",IF(B120&lt;0,"Critique",IF(D120&lt;$B$67,"Critique",IF(D120&lt;$C$67,"Vigilance",IF(D120&lt;$D$67,"Favorable","Très favorable"))))))</f>
        <v>0</v>
      </c>
      <c r="F120" s="39"/>
      <c r="G120" s="19">
        <f>IF(OR(B120="",C120="",C120=0),"",IF(F120&lt;&gt;"",F120,B120*(1-$B$70))/C120)</f>
        <v>0</v>
      </c>
      <c r="H120" s="19"/>
    </row>
    <row r="121" spans="1:8">
      <c r="A121" s="41"/>
      <c r="B121" s="39"/>
      <c r="C121" s="45"/>
      <c r="D121" s="19">
        <f>IF(OR(B121="",C121=""),"",IF(C121=0,"",B121/C121))</f>
        <v>0</v>
      </c>
      <c r="E121" s="7">
        <f>IF(B121="","",IF(C121=0,"Différé",IF(B121&lt;0,"Critique",IF(D121&lt;$B$67,"Critique",IF(D121&lt;$C$67,"Vigilance",IF(D121&lt;$D$67,"Favorable","Très favorable"))))))</f>
        <v>0</v>
      </c>
      <c r="F121" s="39"/>
      <c r="G121" s="19">
        <f>IF(OR(B121="",C121="",C121=0),"",IF(F121&lt;&gt;"",F121,B121*(1-$B$70))/C121)</f>
        <v>0</v>
      </c>
      <c r="H121" s="19">
        <f>IF(AND($B$18="Semestrielle",B121&lt;&gt;"",B120&lt;&gt;"",N(C121)+N(C120)&gt;0),(B121+B120)/(C121+C120),"")</f>
        <v>0</v>
      </c>
    </row>
    <row r="122" spans="1:8">
      <c r="A122" s="41"/>
      <c r="B122" s="39"/>
      <c r="C122" s="45"/>
      <c r="D122" s="19">
        <f>IF(OR(B122="",C122=""),"",IF(C122=0,"",B122/C122))</f>
        <v>0</v>
      </c>
      <c r="E122" s="7">
        <f>IF(B122="","",IF(C122=0,"Différé",IF(B122&lt;0,"Critique",IF(D122&lt;$B$67,"Critique",IF(D122&lt;$C$67,"Vigilance",IF(D122&lt;$D$67,"Favorable","Très favorable"))))))</f>
        <v>0</v>
      </c>
      <c r="F122" s="39"/>
      <c r="G122" s="19">
        <f>IF(OR(B122="",C122="",C122=0),"",IF(F122&lt;&gt;"",F122,B122*(1-$B$70))/C122)</f>
        <v>0</v>
      </c>
      <c r="H122" s="19"/>
    </row>
    <row r="123" spans="1:8">
      <c r="A123" s="41"/>
      <c r="B123" s="39"/>
      <c r="C123" s="45"/>
      <c r="D123" s="19">
        <f>IF(OR(B123="",C123=""),"",IF(C123=0,"",B123/C123))</f>
        <v>0</v>
      </c>
      <c r="E123" s="7">
        <f>IF(B123="","",IF(C123=0,"Différé",IF(B123&lt;0,"Critique",IF(D123&lt;$B$67,"Critique",IF(D123&lt;$C$67,"Vigilance",IF(D123&lt;$D$67,"Favorable","Très favorable"))))))</f>
        <v>0</v>
      </c>
      <c r="F123" s="39"/>
      <c r="G123" s="19">
        <f>IF(OR(B123="",C123="",C123=0),"",IF(F123&lt;&gt;"",F123,B123*(1-$B$70))/C123)</f>
        <v>0</v>
      </c>
      <c r="H123" s="19">
        <f>IF(AND($B$18="Semestrielle",B123&lt;&gt;"",B122&lt;&gt;"",N(C123)+N(C122)&gt;0),(B123+B122)/(C123+C122),"")</f>
        <v>0</v>
      </c>
    </row>
    <row r="124" spans="1:8">
      <c r="A124" s="41"/>
      <c r="B124" s="39"/>
      <c r="C124" s="45"/>
      <c r="D124" s="19">
        <f>IF(OR(B124="",C124=""),"",IF(C124=0,"",B124/C124))</f>
        <v>0</v>
      </c>
      <c r="E124" s="7">
        <f>IF(B124="","",IF(C124=0,"Différé",IF(B124&lt;0,"Critique",IF(D124&lt;$B$67,"Critique",IF(D124&lt;$C$67,"Vigilance",IF(D124&lt;$D$67,"Favorable","Très favorable"))))))</f>
        <v>0</v>
      </c>
      <c r="F124" s="39"/>
      <c r="G124" s="19">
        <f>IF(OR(B124="",C124="",C124=0),"",IF(F124&lt;&gt;"",F124,B124*(1-$B$70))/C124)</f>
        <v>0</v>
      </c>
      <c r="H124" s="19"/>
    </row>
    <row r="125" spans="1:8">
      <c r="A125" s="41"/>
      <c r="B125" s="39"/>
      <c r="C125" s="45"/>
      <c r="D125" s="19">
        <f>IF(OR(B125="",C125=""),"",IF(C125=0,"",B125/C125))</f>
        <v>0</v>
      </c>
      <c r="E125" s="7">
        <f>IF(B125="","",IF(C125=0,"Différé",IF(B125&lt;0,"Critique",IF(D125&lt;$B$67,"Critique",IF(D125&lt;$C$67,"Vigilance",IF(D125&lt;$D$67,"Favorable","Très favorable"))))))</f>
        <v>0</v>
      </c>
      <c r="F125" s="39"/>
      <c r="G125" s="19">
        <f>IF(OR(B125="",C125="",C125=0),"",IF(F125&lt;&gt;"",F125,B125*(1-$B$70))/C125)</f>
        <v>0</v>
      </c>
      <c r="H125" s="19">
        <f>IF(AND($B$18="Semestrielle",B125&lt;&gt;"",B124&lt;&gt;"",N(C125)+N(C124)&gt;0),(B125+B124)/(C125+C124),"")</f>
        <v>0</v>
      </c>
    </row>
    <row r="126" spans="1:8">
      <c r="A126" s="41"/>
      <c r="B126" s="39"/>
      <c r="C126" s="45"/>
      <c r="D126" s="19">
        <f>IF(OR(B126="",C126=""),"",IF(C126=0,"",B126/C126))</f>
        <v>0</v>
      </c>
      <c r="E126" s="7">
        <f>IF(B126="","",IF(C126=0,"Différé",IF(B126&lt;0,"Critique",IF(D126&lt;$B$67,"Critique",IF(D126&lt;$C$67,"Vigilance",IF(D126&lt;$D$67,"Favorable","Très favorable"))))))</f>
        <v>0</v>
      </c>
      <c r="F126" s="39"/>
      <c r="G126" s="19">
        <f>IF(OR(B126="",C126="",C126=0),"",IF(F126&lt;&gt;"",F126,B126*(1-$B$70))/C126)</f>
        <v>0</v>
      </c>
      <c r="H126" s="19"/>
    </row>
    <row r="127" spans="1:8">
      <c r="A127" s="41"/>
      <c r="B127" s="39"/>
      <c r="C127" s="45"/>
      <c r="D127" s="19">
        <f>IF(OR(B127="",C127=""),"",IF(C127=0,"",B127/C127))</f>
        <v>0</v>
      </c>
      <c r="E127" s="7">
        <f>IF(B127="","",IF(C127=0,"Différé",IF(B127&lt;0,"Critique",IF(D127&lt;$B$67,"Critique",IF(D127&lt;$C$67,"Vigilance",IF(D127&lt;$D$67,"Favorable","Très favorable"))))))</f>
        <v>0</v>
      </c>
      <c r="F127" s="39"/>
      <c r="G127" s="19">
        <f>IF(OR(B127="",C127="",C127=0),"",IF(F127&lt;&gt;"",F127,B127*(1-$B$70))/C127)</f>
        <v>0</v>
      </c>
      <c r="H127" s="19">
        <f>IF(AND($B$18="Semestrielle",B127&lt;&gt;"",B126&lt;&gt;"",N(C127)+N(C126)&gt;0),(B127+B126)/(C127+C126),"")</f>
        <v>0</v>
      </c>
    </row>
    <row r="128" spans="1:8">
      <c r="A128" s="41"/>
      <c r="B128" s="39"/>
      <c r="C128" s="45"/>
      <c r="D128" s="19">
        <f>IF(OR(B128="",C128=""),"",IF(C128=0,"",B128/C128))</f>
        <v>0</v>
      </c>
      <c r="E128" s="7">
        <f>IF(B128="","",IF(C128=0,"Différé",IF(B128&lt;0,"Critique",IF(D128&lt;$B$67,"Critique",IF(D128&lt;$C$67,"Vigilance",IF(D128&lt;$D$67,"Favorable","Très favorable"))))))</f>
        <v>0</v>
      </c>
      <c r="F128" s="39"/>
      <c r="G128" s="19">
        <f>IF(OR(B128="",C128="",C128=0),"",IF(F128&lt;&gt;"",F128,B128*(1-$B$70))/C128)</f>
        <v>0</v>
      </c>
      <c r="H128" s="19"/>
    </row>
    <row r="129" spans="1:8">
      <c r="A129" s="41"/>
      <c r="B129" s="39"/>
      <c r="C129" s="45"/>
      <c r="D129" s="19">
        <f>IF(OR(B129="",C129=""),"",IF(C129=0,"",B129/C129))</f>
        <v>0</v>
      </c>
      <c r="E129" s="7">
        <f>IF(B129="","",IF(C129=0,"Différé",IF(B129&lt;0,"Critique",IF(D129&lt;$B$67,"Critique",IF(D129&lt;$C$67,"Vigilance",IF(D129&lt;$D$67,"Favorable","Très favorable"))))))</f>
        <v>0</v>
      </c>
      <c r="F129" s="39"/>
      <c r="G129" s="19">
        <f>IF(OR(B129="",C129="",C129=0),"",IF(F129&lt;&gt;"",F129,B129*(1-$B$70))/C129)</f>
        <v>0</v>
      </c>
      <c r="H129" s="19">
        <f>IF(AND($B$18="Semestrielle",B129&lt;&gt;"",B128&lt;&gt;"",N(C129)+N(C128)&gt;0),(B129+B128)/(C129+C128),"")</f>
        <v>0</v>
      </c>
    </row>
    <row r="130" spans="1:8">
      <c r="A130" s="41"/>
      <c r="B130" s="39"/>
      <c r="C130" s="45"/>
      <c r="D130" s="19">
        <f>IF(OR(B130="",C130=""),"",IF(C130=0,"",B130/C130))</f>
        <v>0</v>
      </c>
      <c r="E130" s="7">
        <f>IF(B130="","",IF(C130=0,"Différé",IF(B130&lt;0,"Critique",IF(D130&lt;$B$67,"Critique",IF(D130&lt;$C$67,"Vigilance",IF(D130&lt;$D$67,"Favorable","Très favorable"))))))</f>
        <v>0</v>
      </c>
      <c r="F130" s="39"/>
      <c r="G130" s="19">
        <f>IF(OR(B130="",C130="",C130=0),"",IF(F130&lt;&gt;"",F130,B130*(1-$B$70))/C130)</f>
        <v>0</v>
      </c>
      <c r="H130" s="19"/>
    </row>
    <row r="131" spans="1:8">
      <c r="A131" s="41"/>
      <c r="B131" s="39"/>
      <c r="C131" s="45"/>
      <c r="D131" s="19">
        <f>IF(OR(B131="",C131=""),"",IF(C131=0,"",B131/C131))</f>
        <v>0</v>
      </c>
      <c r="E131" s="7">
        <f>IF(B131="","",IF(C131=0,"Différé",IF(B131&lt;0,"Critique",IF(D131&lt;$B$67,"Critique",IF(D131&lt;$C$67,"Vigilance",IF(D131&lt;$D$67,"Favorable","Très favorable"))))))</f>
        <v>0</v>
      </c>
      <c r="F131" s="39"/>
      <c r="G131" s="19">
        <f>IF(OR(B131="",C131="",C131=0),"",IF(F131&lt;&gt;"",F131,B131*(1-$B$70))/C131)</f>
        <v>0</v>
      </c>
      <c r="H131" s="19">
        <f>IF(AND($B$18="Semestrielle",B131&lt;&gt;"",B130&lt;&gt;"",N(C131)+N(C130)&gt;0),(B131+B130)/(C131+C130),"")</f>
        <v>0</v>
      </c>
    </row>
    <row r="133" spans="1:8">
      <c r="A133" s="21" t="s">
        <v>381</v>
      </c>
      <c r="D133" s="35">
        <f>IF(COUNT(D72:D131)=0,"",MIN(D72:D131))</f>
        <v>0</v>
      </c>
      <c r="E133" s="7">
        <f>IF(D133="","",IF(F133&gt;0,"Critique",IF(D133&lt;$B$67,"Critique",IF(D133&lt;$C$67,"Vigilance",IF(D133&lt;$D$67,"Favorable","Très favorable")))))</f>
        <v>0</v>
      </c>
      <c r="F133" s="31">
        <f>COUNTIF(B72:B131,"&lt;0")</f>
        <v>0</v>
      </c>
    </row>
    <row r="134" spans="1:8">
      <c r="A134" s="21" t="s">
        <v>382</v>
      </c>
      <c r="D134" s="35">
        <f>IF(COUNT(G72:G131)=0,"",MIN(G72:G131))</f>
        <v>0</v>
      </c>
      <c r="E134" s="7">
        <f>IF(D134="","",IF(D134&lt;$B$67,"Critique",IF(D134&lt;$C$67,"Vigilance",IF(D134&lt;$D$67,"Favorable","Très favorable"))))</f>
        <v>0</v>
      </c>
    </row>
    <row r="135" spans="1:8">
      <c r="A135" s="17" t="s">
        <v>383</v>
      </c>
      <c r="D135" s="19">
        <f>IF(SUM(C72:C131)=0,"",SUM(B72:B131)/SUM(C72:C131))</f>
        <v>0</v>
      </c>
    </row>
    <row r="136" spans="1:8">
      <c r="A136" s="17" t="s">
        <v>384</v>
      </c>
      <c r="D136" s="19">
        <f>IF(COUNT(H72:H131)=0,"",MIN(H72:H131))</f>
        <v>0</v>
      </c>
    </row>
    <row r="137" spans="1:8">
      <c r="A137" s="17" t="s">
        <v>385</v>
      </c>
      <c r="D137" s="15">
        <f>COUNT(B72:B131)</f>
        <v>0</v>
      </c>
    </row>
    <row r="140" spans="1:8">
      <c r="A140" s="3" t="s">
        <v>386</v>
      </c>
      <c r="B140" s="3"/>
      <c r="C140" s="3"/>
      <c r="D140" s="3"/>
      <c r="E140" s="3"/>
      <c r="F140" s="3"/>
      <c r="G140" s="3"/>
      <c r="H140" s="3"/>
    </row>
    <row r="141" spans="1:8">
      <c r="A141" s="11" t="s">
        <v>76</v>
      </c>
      <c r="B141" s="11" t="s">
        <v>108</v>
      </c>
      <c r="C141" s="11" t="s">
        <v>77</v>
      </c>
      <c r="D141" s="11" t="s">
        <v>387</v>
      </c>
      <c r="E141" s="11" t="s">
        <v>388</v>
      </c>
      <c r="F141" s="11"/>
      <c r="G141" s="11"/>
      <c r="H141" s="11"/>
    </row>
    <row r="142" spans="1:8">
      <c r="A142" s="17" t="s">
        <v>389</v>
      </c>
      <c r="B142" s="7">
        <f>IF($D$133="","",IF($F$133&gt;0,P_Ancre_C,IF($D$133&lt;$B$67,P_Ancre_C,IF($D$133&lt;$C$67,P_Ancre_V,IF($D$133&lt;$D$67,P_Ancre_F,P_Ancre_TF)))))</f>
        <v>0</v>
      </c>
      <c r="C142" s="27">
        <f>INDEX(P_PoidsN,1)</f>
        <v>0</v>
      </c>
      <c r="D142" s="20">
        <f>IF(ISNUMBER(B142),B142,P_InfoInsuff)*C142</f>
        <v>0</v>
      </c>
      <c r="E142" s="13">
        <f>IF($D$133="","",IF($F$133&gt;0,"CFADS négatif sur au moins une période : Critique d'office","DSCR minimum "&amp;FIXED($D$133,3)&amp;" face au seuil critique "&amp;FIXED($B$67,2)&amp;" du couple "&amp;$B$15&amp;" × "&amp;$B$16))</f>
        <v>0</v>
      </c>
      <c r="F142" s="13"/>
      <c r="G142" s="13"/>
      <c r="H142" s="13"/>
    </row>
    <row r="143" spans="1:8">
      <c r="A143" s="17" t="s">
        <v>390</v>
      </c>
      <c r="B143" s="7">
        <f>IF($D$134="","",IF($D$134&lt;$B$67,P_Ancre_C,IF($D$134&lt;$C$67,P_Ancre_V,IF($D$134&lt;$D$67,P_Ancre_F,P_Ancre_TF))))</f>
        <v>0</v>
      </c>
      <c r="C143" s="27">
        <f>INDEX(P_PoidsN,2)</f>
        <v>0</v>
      </c>
      <c r="D143" s="20">
        <f>IF(ISNUMBER(B143),B143,P_InfoInsuff)*C143</f>
        <v>0</v>
      </c>
      <c r="E143" s="13">
        <f>IF($D$134="","","DSCR stressé minimum "&amp;FIXED($D$134,3)&amp;" — "&amp;$C$70)</f>
        <v>0</v>
      </c>
      <c r="F143" s="13"/>
      <c r="G143" s="13"/>
      <c r="H143" s="13"/>
    </row>
    <row r="144" spans="1:8">
      <c r="A144" s="17" t="s">
        <v>391</v>
      </c>
      <c r="B144" s="7">
        <f>IF($B$17="P1",IF($B$48="","",IF($B$48&gt;=P_N3_TF,P_Ancre_TF,IF($B$48&gt;=P_N3_F,P_Ancre_F,IF(AND($B$48&gt;=P_N3_V,$B$50="Oui"),P_Ancre_V,P_Ancre_C)))),IF($B$150="","",$B$150))</f>
        <v>0</v>
      </c>
      <c r="C144" s="27">
        <f>INDEX(P_PoidsN,3)</f>
        <v>0</v>
      </c>
      <c r="D144" s="20">
        <f>IF(ISNUMBER(B144),B144,P_InfoInsuff)*C144</f>
        <v>0</v>
      </c>
      <c r="E144" s="13">
        <f>IF($B$17="P1",IF($B$48="","","Phase P1 : test de financement à terminaison, couverture "&amp;FIXED($B$48*100,1)&amp;" %"),"LLCR "&amp;IF($B$151="","non renseigné",FIXED($B$151,2))&amp;" — note N3 saisie ligne 150")</f>
        <v>0</v>
      </c>
      <c r="F144" s="13"/>
      <c r="G144" s="13"/>
      <c r="H144" s="13"/>
    </row>
    <row r="145" spans="1:8">
      <c r="A145" s="17" t="s">
        <v>392</v>
      </c>
      <c r="B145" s="5">
        <v>100</v>
      </c>
      <c r="C145" s="27">
        <f>INDEX(P_PoidsN,4)</f>
        <v>0</v>
      </c>
      <c r="D145" s="20">
        <f>IF(ISNUMBER(B145),B145,P_InfoInsuff)*C145</f>
        <v>0</v>
      </c>
      <c r="E145" s="44" t="s">
        <v>393</v>
      </c>
      <c r="F145" s="44"/>
      <c r="G145" s="44"/>
      <c r="H145" s="44"/>
    </row>
    <row r="146" spans="1:8">
      <c r="A146" s="17" t="s">
        <v>394</v>
      </c>
      <c r="B146" s="5">
        <v>100</v>
      </c>
      <c r="C146" s="27">
        <f>INDEX(P_PoidsN,5)</f>
        <v>0</v>
      </c>
      <c r="D146" s="20">
        <f>IF(ISNUMBER(B146),B146,P_InfoInsuff)*C146</f>
        <v>0</v>
      </c>
      <c r="E146" s="44" t="s">
        <v>395</v>
      </c>
      <c r="F146" s="44"/>
      <c r="G146" s="44"/>
      <c r="H146" s="44"/>
    </row>
    <row r="147" spans="1:8">
      <c r="A147" s="17" t="s">
        <v>396</v>
      </c>
      <c r="B147" s="5">
        <v>100</v>
      </c>
      <c r="C147" s="27">
        <f>INDEX(P_PoidsN,6)</f>
        <v>0</v>
      </c>
      <c r="D147" s="20">
        <f>IF(ISNUMBER(B147),B147,P_InfoInsuff)*C147</f>
        <v>0</v>
      </c>
      <c r="E147" s="44" t="s">
        <v>397</v>
      </c>
      <c r="F147" s="44"/>
      <c r="G147" s="44"/>
      <c r="H147" s="44"/>
    </row>
    <row r="148" spans="1:8">
      <c r="A148" s="21" t="s">
        <v>398</v>
      </c>
      <c r="D148" s="14">
        <f>SUM(D142:D147)</f>
        <v>0</v>
      </c>
    </row>
    <row r="149" spans="1:8">
      <c r="A149" s="11" t="s">
        <v>399</v>
      </c>
      <c r="B149" s="11"/>
      <c r="C149" s="11"/>
      <c r="D149" s="11"/>
      <c r="E149" s="11"/>
      <c r="F149" s="11"/>
      <c r="G149" s="11"/>
      <c r="H149" s="11"/>
    </row>
    <row r="150" spans="1:8">
      <c r="A150" s="17" t="s">
        <v>400</v>
      </c>
      <c r="B150" s="5"/>
    </row>
    <row r="151" spans="1:8">
      <c r="A151" s="17" t="s">
        <v>401</v>
      </c>
      <c r="B151" s="45">
        <v>1.36</v>
      </c>
    </row>
    <row r="152" spans="1:8">
      <c r="A152" s="17" t="s">
        <v>402</v>
      </c>
      <c r="B152" s="39">
        <v>6</v>
      </c>
    </row>
    <row r="153" spans="1:8">
      <c r="A153" s="17" t="s">
        <v>403</v>
      </c>
      <c r="B153" s="43">
        <v>0</v>
      </c>
    </row>
    <row r="154" spans="1:8">
      <c r="A154" s="17" t="s">
        <v>404</v>
      </c>
      <c r="B154" s="43">
        <v>0</v>
      </c>
    </row>
    <row r="155" spans="1:8">
      <c r="A155" s="17" t="s">
        <v>405</v>
      </c>
      <c r="B155" s="5"/>
    </row>
    <row r="156" spans="1:8">
      <c r="A156" s="17" t="s">
        <v>406</v>
      </c>
      <c r="B156" s="43">
        <v>1</v>
      </c>
    </row>
    <row r="157" spans="1:8">
      <c r="A157" s="17" t="s">
        <v>407</v>
      </c>
      <c r="B157" s="5" t="s">
        <v>275</v>
      </c>
    </row>
    <row r="158" spans="1:8">
      <c r="A158" s="17" t="s">
        <v>408</v>
      </c>
      <c r="B158" s="39">
        <v>25</v>
      </c>
    </row>
    <row r="159" spans="1:8">
      <c r="A159" s="17" t="s">
        <v>409</v>
      </c>
      <c r="B159" s="39">
        <v>20</v>
      </c>
    </row>
    <row r="160" spans="1:8">
      <c r="A160" s="17" t="s">
        <v>410</v>
      </c>
      <c r="B160" s="5"/>
    </row>
    <row r="161" spans="1:16">
      <c r="A161" s="17" t="s">
        <v>411</v>
      </c>
      <c r="B161" s="5"/>
    </row>
    <row r="162" spans="1:16">
      <c r="A162" s="17" t="s">
        <v>412</v>
      </c>
      <c r="B162" s="5" t="s">
        <v>257</v>
      </c>
    </row>
    <row r="163" spans="1:16">
      <c r="A163" s="17" t="s">
        <v>413</v>
      </c>
      <c r="B163" s="5" t="s">
        <v>257</v>
      </c>
    </row>
    <row r="164" spans="1:16">
      <c r="A164" s="17" t="s">
        <v>414</v>
      </c>
      <c r="B164" s="39"/>
    </row>
    <row r="165" spans="1:16">
      <c r="A165" s="17" t="s">
        <v>415</v>
      </c>
      <c r="B165" s="5" t="s">
        <v>258</v>
      </c>
    </row>
    <row r="167" spans="1:16">
      <c r="A167" s="3" t="s">
        <v>416</v>
      </c>
      <c r="B167" s="3"/>
      <c r="C167" s="3"/>
      <c r="D167" s="3"/>
      <c r="E167" s="3"/>
      <c r="F167" s="3"/>
      <c r="G167" s="3"/>
      <c r="H167" s="3"/>
    </row>
    <row r="168" spans="1:16">
      <c r="A168" s="11" t="s">
        <v>417</v>
      </c>
      <c r="B168" s="11" t="s">
        <v>108</v>
      </c>
      <c r="C168" s="11" t="s">
        <v>77</v>
      </c>
      <c r="D168" s="11" t="s">
        <v>418</v>
      </c>
      <c r="E168" s="11" t="s">
        <v>419</v>
      </c>
      <c r="F168" s="11"/>
      <c r="G168" s="11"/>
      <c r="H168" s="11"/>
    </row>
    <row r="169" spans="1:16" ht="45" customHeight="1">
      <c r="A169" s="21" t="s">
        <v>420</v>
      </c>
      <c r="B169" s="17"/>
      <c r="C169" s="27">
        <f>IFERROR(INDEX(P_PoidsDom,1,MATCH($B$17,P_PoidsHdr,0)),"")</f>
        <v>0</v>
      </c>
      <c r="D169" s="14">
        <f>IF(N(C169)=0,"",SUMPRODUCT(B170:B172,C170:C172)+P_InfoInsuff*SUMPRODUCT((1-ISNUMBER(B170:B172))*C170:C172))</f>
        <v>0</v>
      </c>
      <c r="E169" s="44" t="s">
        <v>421</v>
      </c>
      <c r="F169" s="44"/>
      <c r="G169" s="44"/>
      <c r="H169" s="44"/>
      <c r="J169" s="31" t="s">
        <v>422</v>
      </c>
      <c r="K169" s="31">
        <f>IF(N(C169)&gt;0,1,0)</f>
        <v>0</v>
      </c>
      <c r="M169" s="31">
        <f>N(C169)*SUMPRODUCT(ISNUMBER(B170:B172)*C170:C172)</f>
        <v>0</v>
      </c>
    </row>
    <row r="170" spans="1:16">
      <c r="A170" s="17" t="s">
        <v>423</v>
      </c>
      <c r="B170" s="5">
        <v>80</v>
      </c>
      <c r="C170" s="27">
        <f>INDEX(P_SCPoids,MATCH(L170,P_SCCle,0))</f>
        <v>0</v>
      </c>
      <c r="J170" s="31" t="s">
        <v>424</v>
      </c>
      <c r="K170" s="31">
        <f>K169</f>
        <v>0</v>
      </c>
      <c r="L170" s="31" t="s">
        <v>205</v>
      </c>
      <c r="P170" s="31">
        <f>IF(AND(K170=1,B170=""),ROW(),"")</f>
        <v>0</v>
      </c>
    </row>
    <row r="171" spans="1:16">
      <c r="A171" s="17" t="s">
        <v>425</v>
      </c>
      <c r="B171" s="5">
        <v>100</v>
      </c>
      <c r="C171" s="27">
        <f>INDEX(P_SCPoids,MATCH(L171,P_SCCle,0))</f>
        <v>0</v>
      </c>
      <c r="J171" s="31" t="s">
        <v>424</v>
      </c>
      <c r="K171" s="31">
        <f>K169</f>
        <v>0</v>
      </c>
      <c r="L171" s="31" t="s">
        <v>207</v>
      </c>
      <c r="P171" s="31">
        <f>IF(AND(K171=1,B171=""),ROW(),"")</f>
        <v>0</v>
      </c>
    </row>
    <row r="172" spans="1:16">
      <c r="A172" s="17" t="s">
        <v>426</v>
      </c>
      <c r="B172" s="5">
        <v>80</v>
      </c>
      <c r="C172" s="27">
        <f>INDEX(P_SCPoids,MATCH(L172,P_SCCle,0))</f>
        <v>0</v>
      </c>
      <c r="J172" s="31" t="s">
        <v>424</v>
      </c>
      <c r="K172" s="31">
        <f>K169</f>
        <v>0</v>
      </c>
      <c r="L172" s="31" t="s">
        <v>209</v>
      </c>
      <c r="P172" s="31">
        <f>IF(AND(K172=1,B172=""),ROW(),"")</f>
        <v>0</v>
      </c>
    </row>
    <row r="173" spans="1:16">
      <c r="A173" s="21" t="s">
        <v>427</v>
      </c>
      <c r="B173" s="17"/>
      <c r="C173" s="27">
        <f>IFERROR(INDEX(P_PoidsDom,2,MATCH($B$17,P_PoidsHdr,0)),"")</f>
        <v>0</v>
      </c>
      <c r="D173" s="14">
        <f>IF(N(C173)=0,"",SUMPRODUCT(B174:B176,C174:C176)+P_InfoInsuff*SUMPRODUCT((1-ISNUMBER(B174:B176))*C174:C176))</f>
        <v>0</v>
      </c>
      <c r="E173" s="44"/>
      <c r="F173" s="44"/>
      <c r="G173" s="44"/>
      <c r="H173" s="44"/>
      <c r="J173" s="31" t="s">
        <v>422</v>
      </c>
      <c r="K173" s="31">
        <f>IF(N(C173)&gt;0,1,0)</f>
        <v>0</v>
      </c>
      <c r="M173" s="31">
        <f>N(C173)*SUMPRODUCT(ISNUMBER(B174:B176)*C174:C176)</f>
        <v>0</v>
      </c>
    </row>
    <row r="174" spans="1:16">
      <c r="A174" s="17" t="s">
        <v>428</v>
      </c>
      <c r="B174" s="5">
        <v>100</v>
      </c>
      <c r="C174" s="27">
        <f>INDEX(P_SCPoids,MATCH(L174,P_SCCle,0))</f>
        <v>0</v>
      </c>
      <c r="J174" s="31" t="s">
        <v>424</v>
      </c>
      <c r="K174" s="31">
        <f>K173</f>
        <v>0</v>
      </c>
      <c r="L174" s="31" t="s">
        <v>211</v>
      </c>
      <c r="P174" s="31">
        <f>IF(AND(K174=1,B174=""),ROW(),"")</f>
        <v>0</v>
      </c>
    </row>
    <row r="175" spans="1:16">
      <c r="A175" s="17" t="s">
        <v>429</v>
      </c>
      <c r="B175" s="5">
        <v>80</v>
      </c>
      <c r="C175" s="27">
        <f>INDEX(P_SCPoids,MATCH(L175,P_SCCle,0))</f>
        <v>0</v>
      </c>
      <c r="J175" s="31" t="s">
        <v>424</v>
      </c>
      <c r="K175" s="31">
        <f>K173</f>
        <v>0</v>
      </c>
      <c r="L175" s="31" t="s">
        <v>213</v>
      </c>
      <c r="P175" s="31">
        <f>IF(AND(K175=1,B175=""),ROW(),"")</f>
        <v>0</v>
      </c>
    </row>
    <row r="176" spans="1:16">
      <c r="A176" s="17" t="s">
        <v>430</v>
      </c>
      <c r="B176" s="5">
        <v>80</v>
      </c>
      <c r="C176" s="27">
        <f>INDEX(P_SCPoids,MATCH(L176,P_SCCle,0))</f>
        <v>0</v>
      </c>
      <c r="J176" s="31" t="s">
        <v>424</v>
      </c>
      <c r="K176" s="31">
        <f>K173</f>
        <v>0</v>
      </c>
      <c r="L176" s="31" t="s">
        <v>215</v>
      </c>
      <c r="P176" s="31">
        <f>IF(AND(K176=1,B176=""),ROW(),"")</f>
        <v>0</v>
      </c>
    </row>
    <row r="177" spans="1:16" ht="45" customHeight="1">
      <c r="A177" s="21" t="s">
        <v>431</v>
      </c>
      <c r="B177" s="17"/>
      <c r="C177" s="27">
        <f>IFERROR(INDEX(P_PoidsDom,3,MATCH($B$17,P_PoidsHdr,0)),"")</f>
        <v>0</v>
      </c>
      <c r="D177" s="14">
        <f>IF(N(C177)=0,"",SUMPRODUCT(B178:B180,C178:C180)+P_InfoInsuff*SUMPRODUCT((1-ISNUMBER(B178:B180))*C178:C180))</f>
        <v>0</v>
      </c>
      <c r="E177" s="44" t="s">
        <v>432</v>
      </c>
      <c r="F177" s="44"/>
      <c r="G177" s="44"/>
      <c r="H177" s="44"/>
      <c r="J177" s="31" t="s">
        <v>422</v>
      </c>
      <c r="K177" s="31">
        <f>IF(N(C177)&gt;0,1,0)</f>
        <v>0</v>
      </c>
      <c r="M177" s="31">
        <f>N(C177)*SUMPRODUCT(ISNUMBER(B178:B180)*C178:C180)</f>
        <v>0</v>
      </c>
    </row>
    <row r="178" spans="1:16">
      <c r="A178" s="17" t="s">
        <v>433</v>
      </c>
      <c r="B178" s="5">
        <v>100</v>
      </c>
      <c r="C178" s="27">
        <f>INDEX(P_SCPoids,MATCH(L178,P_SCCle,0))</f>
        <v>0</v>
      </c>
      <c r="J178" s="31" t="s">
        <v>424</v>
      </c>
      <c r="K178" s="31">
        <f>K177</f>
        <v>0</v>
      </c>
      <c r="L178" s="31" t="s">
        <v>217</v>
      </c>
      <c r="P178" s="31">
        <f>IF(AND(K178=1,B178=""),ROW(),"")</f>
        <v>0</v>
      </c>
    </row>
    <row r="179" spans="1:16">
      <c r="A179" s="17" t="s">
        <v>434</v>
      </c>
      <c r="B179" s="5">
        <v>80</v>
      </c>
      <c r="C179" s="27">
        <f>INDEX(P_SCPoids,MATCH(L179,P_SCCle,0))</f>
        <v>0</v>
      </c>
      <c r="J179" s="31" t="s">
        <v>424</v>
      </c>
      <c r="K179" s="31">
        <f>K177</f>
        <v>0</v>
      </c>
      <c r="L179" s="31" t="s">
        <v>219</v>
      </c>
      <c r="P179" s="31">
        <f>IF(AND(K179=1,B179=""),ROW(),"")</f>
        <v>0</v>
      </c>
    </row>
    <row r="180" spans="1:16">
      <c r="A180" s="17" t="s">
        <v>435</v>
      </c>
      <c r="B180" s="5">
        <v>80</v>
      </c>
      <c r="C180" s="27">
        <f>INDEX(P_SCPoids,MATCH(L180,P_SCCle,0))</f>
        <v>0</v>
      </c>
      <c r="J180" s="31" t="s">
        <v>424</v>
      </c>
      <c r="K180" s="31">
        <f>K177</f>
        <v>0</v>
      </c>
      <c r="L180" s="31" t="s">
        <v>221</v>
      </c>
      <c r="P180" s="31">
        <f>IF(AND(K180=1,B180=""),ROW(),"")</f>
        <v>0</v>
      </c>
    </row>
    <row r="181" spans="1:16" ht="45" customHeight="1">
      <c r="A181" s="21" t="s">
        <v>436</v>
      </c>
      <c r="B181" s="17"/>
      <c r="C181" s="27">
        <f>IFERROR(INDEX(P_PoidsDom,4,MATCH($B$17,P_PoidsHdr,0)),"")</f>
        <v>0</v>
      </c>
      <c r="D181" s="14">
        <f>IF(N(C181)=0,"",SUMPRODUCT(B182:B184,C182:C184)+P_InfoInsuff*SUMPRODUCT((1-ISNUMBER(B182:B184))*C182:C184))</f>
        <v>0</v>
      </c>
      <c r="E181" s="44" t="s">
        <v>437</v>
      </c>
      <c r="F181" s="44"/>
      <c r="G181" s="44"/>
      <c r="H181" s="44"/>
      <c r="J181" s="31" t="s">
        <v>422</v>
      </c>
      <c r="K181" s="31">
        <f>IF(N(C181)&gt;0,1,0)</f>
        <v>0</v>
      </c>
      <c r="M181" s="31">
        <f>N(C181)*SUMPRODUCT(ISNUMBER(B182:B184)*C182:C184)</f>
        <v>0</v>
      </c>
    </row>
    <row r="182" spans="1:16">
      <c r="A182" s="17" t="s">
        <v>438</v>
      </c>
      <c r="B182" s="5">
        <v>100</v>
      </c>
      <c r="C182" s="27">
        <f>INDEX(P_SCPoids,MATCH(L182,P_SCCle,0))</f>
        <v>0</v>
      </c>
      <c r="J182" s="31" t="s">
        <v>424</v>
      </c>
      <c r="K182" s="31">
        <f>K181</f>
        <v>0</v>
      </c>
      <c r="L182" s="31" t="s">
        <v>223</v>
      </c>
      <c r="P182" s="31">
        <f>IF(AND(K182=1,B182=""),ROW(),"")</f>
        <v>0</v>
      </c>
    </row>
    <row r="183" spans="1:16">
      <c r="A183" s="17" t="s">
        <v>439</v>
      </c>
      <c r="B183" s="5">
        <v>80</v>
      </c>
      <c r="C183" s="27">
        <f>INDEX(P_SCPoids,MATCH(L183,P_SCCle,0))</f>
        <v>0</v>
      </c>
      <c r="J183" s="31" t="s">
        <v>424</v>
      </c>
      <c r="K183" s="31">
        <f>K181</f>
        <v>0</v>
      </c>
      <c r="L183" s="31" t="s">
        <v>225</v>
      </c>
      <c r="P183" s="31">
        <f>IF(AND(K183=1,B183=""),ROW(),"")</f>
        <v>0</v>
      </c>
    </row>
    <row r="184" spans="1:16">
      <c r="A184" s="17" t="s">
        <v>440</v>
      </c>
      <c r="B184" s="5">
        <v>100</v>
      </c>
      <c r="C184" s="27">
        <f>INDEX(P_SCPoids,MATCH(L184,P_SCCle,0))</f>
        <v>0</v>
      </c>
      <c r="J184" s="31" t="s">
        <v>424</v>
      </c>
      <c r="K184" s="31">
        <f>K181</f>
        <v>0</v>
      </c>
      <c r="L184" s="31" t="s">
        <v>227</v>
      </c>
      <c r="P184" s="31">
        <f>IF(AND(K184=1,B184=""),ROW(),"")</f>
        <v>0</v>
      </c>
    </row>
    <row r="185" spans="1:16">
      <c r="A185" s="21" t="s">
        <v>441</v>
      </c>
      <c r="B185" s="17"/>
      <c r="C185" s="27">
        <f>IFERROR(INDEX(P_PoidsDom,5,MATCH($B$17,P_PoidsHdr,0)),"")</f>
        <v>0</v>
      </c>
      <c r="D185" s="14">
        <f>IF(N(C185)=0,"",SUMPRODUCT(B186:B188,C186:C188)+P_InfoInsuff*SUMPRODUCT((1-ISNUMBER(B186:B188))*C186:C188))</f>
        <v>0</v>
      </c>
      <c r="E185" s="44"/>
      <c r="F185" s="44"/>
      <c r="G185" s="44"/>
      <c r="H185" s="44"/>
      <c r="J185" s="31" t="s">
        <v>422</v>
      </c>
      <c r="K185" s="31">
        <f>IF(N(C185)&gt;0,1,0)</f>
        <v>0</v>
      </c>
      <c r="M185" s="31">
        <f>N(C185)*SUMPRODUCT(ISNUMBER(B186:B188)*C186:C188)</f>
        <v>0</v>
      </c>
    </row>
    <row r="186" spans="1:16">
      <c r="A186" s="17" t="s">
        <v>442</v>
      </c>
      <c r="B186" s="5">
        <v>80</v>
      </c>
      <c r="C186" s="27">
        <f>INDEX(P_SCPoids,MATCH(L186,P_SCCle,0))</f>
        <v>0</v>
      </c>
      <c r="J186" s="31" t="s">
        <v>424</v>
      </c>
      <c r="K186" s="31">
        <f>K185</f>
        <v>0</v>
      </c>
      <c r="L186" s="31" t="s">
        <v>229</v>
      </c>
      <c r="P186" s="31">
        <f>IF(AND(K186=1,B186=""),ROW(),"")</f>
        <v>0</v>
      </c>
    </row>
    <row r="187" spans="1:16">
      <c r="A187" s="17" t="s">
        <v>443</v>
      </c>
      <c r="B187" s="5">
        <v>80</v>
      </c>
      <c r="C187" s="27">
        <f>INDEX(P_SCPoids,MATCH(L187,P_SCCle,0))</f>
        <v>0</v>
      </c>
      <c r="J187" s="31" t="s">
        <v>424</v>
      </c>
      <c r="K187" s="31">
        <f>K185</f>
        <v>0</v>
      </c>
      <c r="L187" s="31" t="s">
        <v>231</v>
      </c>
      <c r="P187" s="31">
        <f>IF(AND(K187=1,B187=""),ROW(),"")</f>
        <v>0</v>
      </c>
    </row>
    <row r="188" spans="1:16">
      <c r="A188" s="17" t="s">
        <v>444</v>
      </c>
      <c r="B188" s="5">
        <v>80</v>
      </c>
      <c r="C188" s="27">
        <f>INDEX(P_SCPoids,MATCH(L188,P_SCCle,0))</f>
        <v>0</v>
      </c>
      <c r="J188" s="31" t="s">
        <v>424</v>
      </c>
      <c r="K188" s="31">
        <f>K185</f>
        <v>0</v>
      </c>
      <c r="L188" s="31" t="s">
        <v>233</v>
      </c>
      <c r="P188" s="31">
        <f>IF(AND(K188=1,B188=""),ROW(),"")</f>
        <v>0</v>
      </c>
    </row>
    <row r="189" spans="1:16" ht="45" customHeight="1">
      <c r="A189" s="21" t="s">
        <v>445</v>
      </c>
      <c r="B189" s="17"/>
      <c r="C189" s="27">
        <f>IFERROR(INDEX(P_PoidsDom,6,MATCH($B$17,P_PoidsHdr,0)),"")</f>
        <v>0</v>
      </c>
      <c r="D189" s="14">
        <f>IF(N(C189)=0,"",SUMPRODUCT(B190:B192,C190:C192)+P_InfoInsuff*SUMPRODUCT((1-ISNUMBER(B190:B192))*C190:C192))</f>
        <v>0</v>
      </c>
      <c r="E189" s="44" t="s">
        <v>446</v>
      </c>
      <c r="F189" s="44"/>
      <c r="G189" s="44"/>
      <c r="H189" s="44"/>
      <c r="J189" s="31" t="s">
        <v>422</v>
      </c>
      <c r="K189" s="31">
        <f>IF(N(C189)&gt;0,1,0)</f>
        <v>0</v>
      </c>
      <c r="M189" s="31">
        <f>N(C189)*SUMPRODUCT(ISNUMBER(B190:B192)*C190:C192)</f>
        <v>0</v>
      </c>
    </row>
    <row r="190" spans="1:16">
      <c r="A190" s="17" t="s">
        <v>447</v>
      </c>
      <c r="B190" s="5">
        <v>80</v>
      </c>
      <c r="C190" s="27">
        <f>INDEX(P_SCPoids,MATCH(L190,P_SCCle,0))</f>
        <v>0</v>
      </c>
      <c r="J190" s="31" t="s">
        <v>424</v>
      </c>
      <c r="K190" s="31">
        <f>K189</f>
        <v>0</v>
      </c>
      <c r="L190" s="31" t="s">
        <v>235</v>
      </c>
      <c r="P190" s="31">
        <f>IF(AND(K190=1,B190=""),ROW(),"")</f>
        <v>0</v>
      </c>
    </row>
    <row r="191" spans="1:16">
      <c r="A191" s="17" t="s">
        <v>448</v>
      </c>
      <c r="B191" s="5">
        <v>50</v>
      </c>
      <c r="C191" s="27">
        <f>INDEX(P_SCPoids,MATCH(L191,P_SCCle,0))</f>
        <v>0</v>
      </c>
      <c r="J191" s="31" t="s">
        <v>424</v>
      </c>
      <c r="K191" s="31">
        <f>K189</f>
        <v>0</v>
      </c>
      <c r="L191" s="31" t="s">
        <v>237</v>
      </c>
      <c r="P191" s="31">
        <f>IF(AND(K191=1,B191=""),ROW(),"")</f>
        <v>0</v>
      </c>
    </row>
    <row r="192" spans="1:16">
      <c r="A192" s="17" t="s">
        <v>449</v>
      </c>
      <c r="B192" s="5">
        <v>100</v>
      </c>
      <c r="C192" s="27">
        <f>INDEX(P_SCPoids,MATCH(L192,P_SCCle,0))</f>
        <v>0</v>
      </c>
      <c r="J192" s="31" t="s">
        <v>424</v>
      </c>
      <c r="K192" s="31">
        <f>K189</f>
        <v>0</v>
      </c>
      <c r="L192" s="31" t="s">
        <v>239</v>
      </c>
      <c r="P192" s="31">
        <f>IF(AND(K192=1,B192=""),ROW(),"")</f>
        <v>0</v>
      </c>
    </row>
    <row r="193" spans="1:16">
      <c r="A193" s="21" t="s">
        <v>450</v>
      </c>
      <c r="B193" s="17"/>
      <c r="C193" s="27">
        <f>IFERROR(INDEX(P_PoidsDom,8,MATCH($B$17,P_PoidsHdr,0)),"")</f>
        <v>0</v>
      </c>
      <c r="D193" s="14">
        <f>IF(N(C193)=0,"",SUMPRODUCT(B194:B196,C194:C196)+P_InfoInsuff*SUMPRODUCT((1-ISNUMBER(B194:B196))*C194:C196))</f>
        <v>0</v>
      </c>
      <c r="E193" s="44"/>
      <c r="F193" s="44"/>
      <c r="G193" s="44"/>
      <c r="H193" s="44"/>
      <c r="J193" s="31" t="s">
        <v>422</v>
      </c>
      <c r="K193" s="31">
        <f>IF(N(C193)&gt;0,1,0)</f>
        <v>0</v>
      </c>
      <c r="M193" s="31">
        <f>N(C193)*SUMPRODUCT(ISNUMBER(B194:B196)*C194:C196)</f>
        <v>0</v>
      </c>
    </row>
    <row r="194" spans="1:16">
      <c r="A194" s="17" t="s">
        <v>451</v>
      </c>
      <c r="B194" s="5">
        <v>80</v>
      </c>
      <c r="C194" s="27">
        <f>INDEX(P_SCPoids,MATCH(L194,P_SCCle,0))</f>
        <v>0</v>
      </c>
      <c r="J194" s="31" t="s">
        <v>424</v>
      </c>
      <c r="K194" s="31">
        <f>K193</f>
        <v>0</v>
      </c>
      <c r="L194" s="31" t="s">
        <v>241</v>
      </c>
      <c r="P194" s="31">
        <f>IF(AND(K194=1,B194=""),ROW(),"")</f>
        <v>0</v>
      </c>
    </row>
    <row r="195" spans="1:16">
      <c r="A195" s="17" t="s">
        <v>452</v>
      </c>
      <c r="B195" s="5">
        <v>80</v>
      </c>
      <c r="C195" s="27">
        <f>INDEX(P_SCPoids,MATCH(L195,P_SCCle,0))</f>
        <v>0</v>
      </c>
      <c r="J195" s="31" t="s">
        <v>424</v>
      </c>
      <c r="K195" s="31">
        <f>K193</f>
        <v>0</v>
      </c>
      <c r="L195" s="31" t="s">
        <v>243</v>
      </c>
      <c r="P195" s="31">
        <f>IF(AND(K195=1,B195=""),ROW(),"")</f>
        <v>0</v>
      </c>
    </row>
    <row r="196" spans="1:16">
      <c r="A196" s="17" t="s">
        <v>453</v>
      </c>
      <c r="B196" s="5">
        <v>100</v>
      </c>
      <c r="C196" s="27">
        <f>INDEX(P_SCPoids,MATCH(L196,P_SCCle,0))</f>
        <v>0</v>
      </c>
      <c r="J196" s="31" t="s">
        <v>424</v>
      </c>
      <c r="K196" s="31">
        <f>K193</f>
        <v>0</v>
      </c>
      <c r="L196" s="31" t="s">
        <v>245</v>
      </c>
      <c r="P196" s="31">
        <f>IF(AND(K196=1,B196=""),ROW(),"")</f>
        <v>0</v>
      </c>
    </row>
    <row r="197" spans="1:16">
      <c r="A197" s="21" t="s">
        <v>454</v>
      </c>
      <c r="B197" s="17"/>
      <c r="C197" s="27">
        <f>IFERROR(INDEX(P_PoidsDom,9,MATCH($B$17,P_PoidsHdr,0)),"")</f>
        <v>0</v>
      </c>
      <c r="D197" s="14">
        <f>IF(N(C197)=0,"",SUMPRODUCT(B198:B201,C198:C201)+P_InfoInsuff*SUMPRODUCT((1-ISNUMBER(B198:B201))*C198:C201))</f>
        <v>0</v>
      </c>
      <c r="E197" s="44"/>
      <c r="F197" s="44"/>
      <c r="G197" s="44"/>
      <c r="H197" s="44"/>
      <c r="J197" s="31" t="s">
        <v>422</v>
      </c>
      <c r="K197" s="31">
        <f>IF(N(C197)&gt;0,1,0)</f>
        <v>0</v>
      </c>
      <c r="M197" s="31">
        <f>N(C197)*SUMPRODUCT(ISNUMBER(B198:B201)*C198:C201)</f>
        <v>0</v>
      </c>
    </row>
    <row r="198" spans="1:16">
      <c r="A198" s="17" t="s">
        <v>455</v>
      </c>
      <c r="B198" s="5">
        <v>100</v>
      </c>
      <c r="C198" s="27">
        <f>INDEX(P_SCPoids,MATCH(L198,P_SCCle,0))</f>
        <v>0</v>
      </c>
      <c r="J198" s="31" t="s">
        <v>424</v>
      </c>
      <c r="K198" s="31">
        <f>K197</f>
        <v>0</v>
      </c>
      <c r="L198" s="31" t="s">
        <v>247</v>
      </c>
      <c r="P198" s="31">
        <f>IF(AND(K198=1,B198=""),ROW(),"")</f>
        <v>0</v>
      </c>
    </row>
    <row r="199" spans="1:16">
      <c r="A199" s="17" t="s">
        <v>456</v>
      </c>
      <c r="B199" s="5">
        <v>80</v>
      </c>
      <c r="C199" s="27">
        <f>INDEX(P_SCPoids,MATCH(L199,P_SCCle,0))</f>
        <v>0</v>
      </c>
      <c r="J199" s="31" t="s">
        <v>424</v>
      </c>
      <c r="K199" s="31">
        <f>K197</f>
        <v>0</v>
      </c>
      <c r="L199" s="31" t="s">
        <v>249</v>
      </c>
      <c r="P199" s="31">
        <f>IF(AND(K199=1,B199=""),ROW(),"")</f>
        <v>0</v>
      </c>
    </row>
    <row r="200" spans="1:16">
      <c r="A200" s="17" t="s">
        <v>457</v>
      </c>
      <c r="B200" s="5">
        <v>80</v>
      </c>
      <c r="C200" s="27">
        <f>INDEX(P_SCPoids,MATCH(L200,P_SCCle,0))</f>
        <v>0</v>
      </c>
      <c r="J200" s="31" t="s">
        <v>424</v>
      </c>
      <c r="K200" s="31">
        <f>K197</f>
        <v>0</v>
      </c>
      <c r="L200" s="31" t="s">
        <v>251</v>
      </c>
      <c r="P200" s="31">
        <f>IF(AND(K200=1,B200=""),ROW(),"")</f>
        <v>0</v>
      </c>
    </row>
    <row r="201" spans="1:16">
      <c r="A201" s="17" t="s">
        <v>458</v>
      </c>
      <c r="B201" s="5">
        <v>80</v>
      </c>
      <c r="C201" s="27">
        <f>INDEX(P_SCPoids,MATCH(L201,P_SCCle,0))</f>
        <v>0</v>
      </c>
      <c r="J201" s="31" t="s">
        <v>424</v>
      </c>
      <c r="K201" s="31">
        <f>K197</f>
        <v>0</v>
      </c>
      <c r="L201" s="31" t="s">
        <v>253</v>
      </c>
      <c r="P201" s="31">
        <f>IF(AND(K201=1,B201=""),ROW(),"")</f>
        <v>0</v>
      </c>
    </row>
    <row r="203" spans="1:16">
      <c r="A203" s="17" t="s">
        <v>459</v>
      </c>
      <c r="B203" s="27">
        <f>IF(SUMIF(J169:J201,"DOM",C169:C201)=0,"",SUM(M169:M201)/SUMIF(J169:J201,"DOM",C169:C201))</f>
        <v>0</v>
      </c>
    </row>
    <row r="204" spans="1:16">
      <c r="A204" s="17" t="s">
        <v>460</v>
      </c>
      <c r="B204" s="27">
        <f>IF(SUMIF(J169:J201,"SC",K169:K201)=0,"",(COUNT(B142:B147)+SUMPRODUCT((J169:J201="SC")*(K169:K201=1)*ISNUMBER(B169:B201)))/(6+SUMIF(J169:J201,"SC",K169:K201)))</f>
        <v>0</v>
      </c>
    </row>
    <row r="206" spans="1:16">
      <c r="A206" s="3" t="s">
        <v>461</v>
      </c>
      <c r="B206" s="3"/>
      <c r="C206" s="3"/>
      <c r="D206" s="3"/>
      <c r="E206" s="3"/>
      <c r="F206" s="3"/>
      <c r="G206" s="3"/>
      <c r="H206" s="3"/>
    </row>
    <row r="207" spans="1:16">
      <c r="A207" s="11" t="s">
        <v>55</v>
      </c>
      <c r="B207" s="11" t="s">
        <v>462</v>
      </c>
      <c r="C207" s="11" t="s">
        <v>463</v>
      </c>
      <c r="D207" s="11" t="s">
        <v>387</v>
      </c>
    </row>
    <row r="208" spans="1:16">
      <c r="A208" s="17" t="s">
        <v>420</v>
      </c>
      <c r="B208" s="20">
        <f>D169</f>
        <v>0</v>
      </c>
      <c r="C208" s="27">
        <f>IFERROR(INDEX(P_PoidsDom,1,MATCH($B$17,P_PoidsHdr,0)),"")</f>
        <v>0</v>
      </c>
      <c r="D208" s="20">
        <f>IF(ISNUMBER(B208),B208,0)*N(C208)</f>
        <v>0</v>
      </c>
    </row>
    <row r="209" spans="1:8">
      <c r="A209" s="17" t="s">
        <v>427</v>
      </c>
      <c r="B209" s="20">
        <f>D173</f>
        <v>0</v>
      </c>
      <c r="C209" s="27">
        <f>IFERROR(INDEX(P_PoidsDom,2,MATCH($B$17,P_PoidsHdr,0)),"")</f>
        <v>0</v>
      </c>
      <c r="D209" s="20">
        <f>IF(ISNUMBER(B209),B209,0)*N(C209)</f>
        <v>0</v>
      </c>
    </row>
    <row r="210" spans="1:8">
      <c r="A210" s="17" t="s">
        <v>431</v>
      </c>
      <c r="B210" s="20">
        <f>D177</f>
        <v>0</v>
      </c>
      <c r="C210" s="27">
        <f>IFERROR(INDEX(P_PoidsDom,3,MATCH($B$17,P_PoidsHdr,0)),"")</f>
        <v>0</v>
      </c>
      <c r="D210" s="20">
        <f>IF(ISNUMBER(B210),B210,0)*N(C210)</f>
        <v>0</v>
      </c>
    </row>
    <row r="211" spans="1:8">
      <c r="A211" s="17" t="s">
        <v>436</v>
      </c>
      <c r="B211" s="20">
        <f>D181</f>
        <v>0</v>
      </c>
      <c r="C211" s="27">
        <f>IFERROR(INDEX(P_PoidsDom,4,MATCH($B$17,P_PoidsHdr,0)),"")</f>
        <v>0</v>
      </c>
      <c r="D211" s="20">
        <f>IF(ISNUMBER(B211),B211,0)*N(C211)</f>
        <v>0</v>
      </c>
    </row>
    <row r="212" spans="1:8">
      <c r="A212" s="17" t="s">
        <v>441</v>
      </c>
      <c r="B212" s="20">
        <f>D185</f>
        <v>0</v>
      </c>
      <c r="C212" s="27">
        <f>IFERROR(INDEX(P_PoidsDom,5,MATCH($B$17,P_PoidsHdr,0)),"")</f>
        <v>0</v>
      </c>
      <c r="D212" s="20">
        <f>IF(ISNUMBER(B212),B212,0)*N(C212)</f>
        <v>0</v>
      </c>
    </row>
    <row r="213" spans="1:8">
      <c r="A213" s="17" t="s">
        <v>445</v>
      </c>
      <c r="B213" s="20">
        <f>D189</f>
        <v>0</v>
      </c>
      <c r="C213" s="27">
        <f>IFERROR(INDEX(P_PoidsDom,6,MATCH($B$17,P_PoidsHdr,0)),"")</f>
        <v>0</v>
      </c>
      <c r="D213" s="20">
        <f>IF(ISNUMBER(B213),B213,0)*N(C213)</f>
        <v>0</v>
      </c>
    </row>
    <row r="214" spans="1:8">
      <c r="A214" s="17" t="s">
        <v>464</v>
      </c>
      <c r="B214" s="20">
        <f>D148</f>
        <v>0</v>
      </c>
      <c r="C214" s="27">
        <f>IFERROR(INDEX(P_PoidsDom,7,MATCH($B$17,P_PoidsHdr,0)),"")</f>
        <v>0</v>
      </c>
      <c r="D214" s="20">
        <f>IF(ISNUMBER(B214),B214,0)*N(C214)</f>
        <v>0</v>
      </c>
    </row>
    <row r="215" spans="1:8">
      <c r="A215" s="17" t="s">
        <v>450</v>
      </c>
      <c r="B215" s="20">
        <f>D193</f>
        <v>0</v>
      </c>
      <c r="C215" s="27">
        <f>IFERROR(INDEX(P_PoidsDom,8,MATCH($B$17,P_PoidsHdr,0)),"")</f>
        <v>0</v>
      </c>
      <c r="D215" s="20">
        <f>IF(ISNUMBER(B215),B215,0)*N(C215)</f>
        <v>0</v>
      </c>
    </row>
    <row r="216" spans="1:8">
      <c r="A216" s="17" t="s">
        <v>454</v>
      </c>
      <c r="B216" s="20">
        <f>D197</f>
        <v>0</v>
      </c>
      <c r="C216" s="27">
        <f>IFERROR(INDEX(P_PoidsDom,9,MATCH($B$17,P_PoidsHdr,0)),"")</f>
        <v>0</v>
      </c>
      <c r="D216" s="20">
        <f>IF(ISNUMBER(B216),B216,0)*N(C216)</f>
        <v>0</v>
      </c>
    </row>
    <row r="217" spans="1:8">
      <c r="A217" s="21" t="s">
        <v>465</v>
      </c>
      <c r="B217" s="14">
        <f>IF(N(C208)+N(C216)=0,"",SUM(D208:D216))</f>
        <v>0</v>
      </c>
    </row>
    <row r="218" spans="1:8">
      <c r="A218" s="21" t="s">
        <v>466</v>
      </c>
      <c r="B218" s="14">
        <f>IF(B217="","",INDEX(P_ConvNote,MATCH(B217,P_ConvSeuil,1)))</f>
        <v>0</v>
      </c>
      <c r="C218" s="7">
        <f>IF(B217="","",INDEX(P_ConvLib,MATCH(B217,P_ConvSeuil,1)))</f>
        <v>0</v>
      </c>
    </row>
    <row r="220" spans="1:8">
      <c r="A220" s="3" t="s">
        <v>467</v>
      </c>
      <c r="B220" s="3"/>
      <c r="C220" s="3"/>
      <c r="D220" s="3"/>
      <c r="E220" s="3"/>
      <c r="F220" s="3"/>
      <c r="G220" s="3"/>
      <c r="H220" s="3"/>
    </row>
    <row r="221" spans="1:8">
      <c r="A221" s="11" t="s">
        <v>18</v>
      </c>
      <c r="B221" s="11" t="s">
        <v>130</v>
      </c>
      <c r="C221" s="11"/>
      <c r="D221" s="11"/>
      <c r="E221" s="11" t="s">
        <v>468</v>
      </c>
      <c r="F221" s="11" t="s">
        <v>469</v>
      </c>
      <c r="G221" s="11" t="s">
        <v>470</v>
      </c>
      <c r="H221" s="11" t="s">
        <v>471</v>
      </c>
    </row>
    <row r="222" spans="1:8">
      <c r="A222" s="21" t="s">
        <v>472</v>
      </c>
      <c r="B222" s="13" t="s">
        <v>473</v>
      </c>
      <c r="C222" s="13"/>
      <c r="D222" s="13"/>
      <c r="E222" s="5" t="s">
        <v>258</v>
      </c>
      <c r="F222" s="7">
        <f>IF(OR(E222="Oui",H222="Oui"),"Oui","Non")</f>
        <v>0</v>
      </c>
      <c r="G222" s="17" t="s">
        <v>474</v>
      </c>
      <c r="H222" s="7"/>
    </row>
    <row r="223" spans="1:8">
      <c r="A223" s="21" t="s">
        <v>475</v>
      </c>
      <c r="B223" s="13" t="s">
        <v>476</v>
      </c>
      <c r="C223" s="13"/>
      <c r="D223" s="13"/>
      <c r="E223" s="5" t="s">
        <v>258</v>
      </c>
      <c r="F223" s="7">
        <f>IF(OR(E223="Oui",H223="Oui"),"Oui","Non")</f>
        <v>0</v>
      </c>
      <c r="G223" s="17" t="s">
        <v>474</v>
      </c>
      <c r="H223" s="7"/>
    </row>
    <row r="224" spans="1:8">
      <c r="A224" s="21" t="s">
        <v>477</v>
      </c>
      <c r="B224" s="13" t="s">
        <v>478</v>
      </c>
      <c r="C224" s="13"/>
      <c r="D224" s="13"/>
      <c r="E224" s="5" t="s">
        <v>258</v>
      </c>
      <c r="F224" s="7">
        <f>IF(OR(E224="Oui",H224="Oui"),"Oui","Non")</f>
        <v>0</v>
      </c>
      <c r="G224" s="17" t="s">
        <v>474</v>
      </c>
      <c r="H224" s="7"/>
    </row>
    <row r="225" spans="1:8">
      <c r="A225" s="21" t="s">
        <v>479</v>
      </c>
      <c r="B225" s="13" t="s">
        <v>480</v>
      </c>
      <c r="C225" s="13"/>
      <c r="D225" s="13"/>
      <c r="E225" s="5" t="s">
        <v>258</v>
      </c>
      <c r="F225" s="7">
        <f>IF(OR(E225="Oui",H225="Oui"),"Oui","Non")</f>
        <v>0</v>
      </c>
      <c r="G225" s="17" t="s">
        <v>474</v>
      </c>
      <c r="H225" s="7"/>
    </row>
    <row r="226" spans="1:8">
      <c r="A226" s="21" t="s">
        <v>481</v>
      </c>
      <c r="B226" s="13" t="s">
        <v>482</v>
      </c>
      <c r="C226" s="13"/>
      <c r="D226" s="13"/>
      <c r="E226" s="5" t="s">
        <v>258</v>
      </c>
      <c r="F226" s="7">
        <f>IF(OR(E226="Oui",H226="Oui"),"Oui","Non")</f>
        <v>0</v>
      </c>
      <c r="G226" s="17" t="s">
        <v>483</v>
      </c>
      <c r="H226" s="7"/>
    </row>
    <row r="227" spans="1:8">
      <c r="A227" s="21" t="s">
        <v>484</v>
      </c>
      <c r="B227" s="13" t="s">
        <v>485</v>
      </c>
      <c r="C227" s="13"/>
      <c r="D227" s="13"/>
      <c r="E227" s="5" t="s">
        <v>258</v>
      </c>
      <c r="F227" s="7">
        <f>IF(OR(E227="Oui",H227="Oui"),"Oui","Non")</f>
        <v>0</v>
      </c>
      <c r="G227" s="17" t="s">
        <v>483</v>
      </c>
      <c r="H227" s="7"/>
    </row>
    <row r="228" spans="1:8">
      <c r="A228" s="21" t="s">
        <v>486</v>
      </c>
      <c r="B228" s="13" t="s">
        <v>487</v>
      </c>
      <c r="C228" s="13"/>
      <c r="D228" s="13"/>
      <c r="E228" s="5" t="s">
        <v>258</v>
      </c>
      <c r="F228" s="7">
        <f>IF(OR(E228="Oui",H228="Oui"),"Oui","Non")</f>
        <v>0</v>
      </c>
      <c r="G228" s="17" t="s">
        <v>488</v>
      </c>
      <c r="H228" s="7">
        <f>IF(AND($B$17="P1",ISNUMBER($B$48),$B$48&lt;P_N3_V),"Oui","")</f>
        <v>0</v>
      </c>
    </row>
    <row r="229" spans="1:8">
      <c r="A229" s="21" t="s">
        <v>489</v>
      </c>
      <c r="B229" s="13" t="s">
        <v>490</v>
      </c>
      <c r="C229" s="13"/>
      <c r="D229" s="13"/>
      <c r="E229" s="5" t="s">
        <v>258</v>
      </c>
      <c r="F229" s="7">
        <f>IF(OR(E229="Oui",H229="Oui"),"Oui","Non")</f>
        <v>0</v>
      </c>
      <c r="G229" s="17" t="s">
        <v>483</v>
      </c>
      <c r="H229" s="7"/>
    </row>
    <row r="230" spans="1:8">
      <c r="A230" s="21" t="s">
        <v>491</v>
      </c>
      <c r="B230" s="13" t="s">
        <v>492</v>
      </c>
      <c r="C230" s="13"/>
      <c r="D230" s="13"/>
      <c r="E230" s="5" t="s">
        <v>258</v>
      </c>
      <c r="F230" s="7">
        <f>IF(OR(E230="Oui",H230="Oui"),"Oui","Non")</f>
        <v>0</v>
      </c>
      <c r="G230" s="17" t="s">
        <v>488</v>
      </c>
      <c r="H230" s="7"/>
    </row>
    <row r="231" spans="1:8">
      <c r="A231" s="21" t="s">
        <v>493</v>
      </c>
      <c r="B231" s="13" t="s">
        <v>494</v>
      </c>
      <c r="C231" s="13"/>
      <c r="D231" s="13"/>
      <c r="E231" s="5" t="s">
        <v>257</v>
      </c>
      <c r="F231" s="7">
        <f>IF(H231="Oui","Oui","Non")</f>
        <v>0</v>
      </c>
      <c r="G231" s="17" t="s">
        <v>495</v>
      </c>
      <c r="H231" s="7">
        <f>IF(E231="Non","Oui","")</f>
        <v>0</v>
      </c>
    </row>
    <row r="232" spans="1:8">
      <c r="A232" s="21" t="s">
        <v>496</v>
      </c>
      <c r="B232" s="13" t="s">
        <v>497</v>
      </c>
      <c r="C232" s="13"/>
      <c r="D232" s="13"/>
      <c r="E232" s="5" t="s">
        <v>258</v>
      </c>
      <c r="F232" s="7">
        <f>IF(OR(E232="Oui",H232="Oui"),"Oui","Non")</f>
        <v>0</v>
      </c>
      <c r="G232" s="17" t="s">
        <v>495</v>
      </c>
      <c r="H232" s="7">
        <f>IF(AND(ISNUMBER($B$204),$B$204&lt;1),"Oui","")</f>
        <v>0</v>
      </c>
    </row>
    <row r="233" spans="1:8">
      <c r="A233" s="21" t="s">
        <v>498</v>
      </c>
      <c r="B233" s="13" t="s">
        <v>499</v>
      </c>
      <c r="C233" s="13"/>
      <c r="D233" s="13"/>
      <c r="E233" s="5" t="s">
        <v>258</v>
      </c>
      <c r="F233" s="7">
        <f>IF(OR(E233="Oui",H233="Oui"),"Oui","Non")</f>
        <v>0</v>
      </c>
      <c r="G233" s="17" t="s">
        <v>483</v>
      </c>
      <c r="H233" s="7"/>
    </row>
    <row r="235" spans="1:8">
      <c r="A235" s="3" t="s">
        <v>500</v>
      </c>
      <c r="B235" s="3"/>
      <c r="C235" s="3"/>
      <c r="D235" s="3"/>
      <c r="E235" s="3"/>
      <c r="F235" s="3"/>
      <c r="G235" s="3"/>
      <c r="H235" s="3"/>
    </row>
    <row r="236" spans="1:8">
      <c r="A236" s="11" t="s">
        <v>18</v>
      </c>
      <c r="B236" s="11" t="s">
        <v>130</v>
      </c>
      <c r="C236" s="11" t="s">
        <v>501</v>
      </c>
      <c r="D236" s="11" t="s">
        <v>502</v>
      </c>
      <c r="E236" s="11" t="s">
        <v>469</v>
      </c>
      <c r="F236" s="11" t="s">
        <v>131</v>
      </c>
      <c r="G236" s="11" t="s">
        <v>503</v>
      </c>
    </row>
    <row r="237" spans="1:8" ht="27" customHeight="1">
      <c r="A237" s="21" t="s">
        <v>132</v>
      </c>
      <c r="B237" s="13" t="s">
        <v>133</v>
      </c>
      <c r="C237" s="19">
        <f>$D$133</f>
        <v>0</v>
      </c>
      <c r="D237" s="19">
        <f>P_C1</f>
        <v>0</v>
      </c>
      <c r="E237" s="7">
        <f>IF($D$133="","n.r.",IF($D$133&lt;P_C1,"Oui","Non"))</f>
        <v>0</v>
      </c>
      <c r="F237" s="15">
        <f>INDEX(P_PlafNiv,1)</f>
        <v>0</v>
      </c>
      <c r="G237" s="15">
        <f>IF(E237="Oui",F237,10)</f>
        <v>0</v>
      </c>
    </row>
    <row r="238" spans="1:8" ht="27" customHeight="1">
      <c r="A238" s="21" t="s">
        <v>134</v>
      </c>
      <c r="B238" s="13" t="s">
        <v>135</v>
      </c>
      <c r="C238" s="19">
        <f>$D$133</f>
        <v>0</v>
      </c>
      <c r="D238" s="18">
        <f>$B$67</f>
        <v>0</v>
      </c>
      <c r="E238" s="7">
        <f>IF(OR($D$133="",$B$67=""),"n.r.",IF($D$133&lt;$B$67,"Oui","Non"))</f>
        <v>0</v>
      </c>
      <c r="F238" s="15">
        <f>INDEX(P_PlafNiv,2)</f>
        <v>0</v>
      </c>
      <c r="G238" s="15">
        <f>IF(E238="Oui",F238,10)</f>
        <v>0</v>
      </c>
    </row>
    <row r="239" spans="1:8" ht="27" customHeight="1">
      <c r="A239" s="21" t="s">
        <v>136</v>
      </c>
      <c r="B239" s="13" t="s">
        <v>137</v>
      </c>
      <c r="C239" s="19">
        <f>$D$134</f>
        <v>0</v>
      </c>
      <c r="D239" s="19">
        <f>P_C3</f>
        <v>0</v>
      </c>
      <c r="E239" s="7">
        <f>IF($D$134="","n.r.",IF($D$134&lt;P_C3,"Oui","Non"))</f>
        <v>0</v>
      </c>
      <c r="F239" s="15">
        <f>INDEX(P_PlafNiv,3)</f>
        <v>0</v>
      </c>
      <c r="G239" s="15">
        <f>IF(E239="Oui",F239,10)</f>
        <v>0</v>
      </c>
    </row>
    <row r="240" spans="1:8" ht="27" customHeight="1">
      <c r="A240" s="21" t="s">
        <v>138</v>
      </c>
      <c r="B240" s="13" t="s">
        <v>139</v>
      </c>
      <c r="C240" s="18">
        <f>$B$151</f>
        <v>0</v>
      </c>
      <c r="D240" s="18">
        <f>P_C4</f>
        <v>0</v>
      </c>
      <c r="E240" s="7">
        <f>IF($B$151="","n.r.",IF($B$151&lt;P_C4,"Oui","Non"))</f>
        <v>0</v>
      </c>
      <c r="F240" s="15">
        <f>INDEX(P_PlafNiv,4)</f>
        <v>0</v>
      </c>
      <c r="G240" s="15">
        <f>IF(E240="Oui",F240,10)</f>
        <v>0</v>
      </c>
    </row>
    <row r="241" spans="1:8" ht="27" customHeight="1">
      <c r="A241" s="21" t="s">
        <v>140</v>
      </c>
      <c r="B241" s="13" t="s">
        <v>141</v>
      </c>
      <c r="C241" s="13">
        <f>IF($B$158="","",$B$158&amp;" ans / dette "&amp;$B$159&amp;" ans")</f>
        <v>0</v>
      </c>
      <c r="D241" s="13">
        <f>"contrat &lt; dette"</f>
        <v>0</v>
      </c>
      <c r="E241" s="7">
        <f>IF($B$15="R4","n.a.",IF(OR($B$158="",$B$159=""),"n.r.",IF(AND($B$158&lt;$B$159,$B$160&lt;&gt;"Oui"),"Oui","Non")))</f>
        <v>0</v>
      </c>
      <c r="F241" s="15">
        <f>INDEX(P_PlafNiv,5)</f>
        <v>0</v>
      </c>
      <c r="G241" s="15">
        <f>IF(E241="Oui",F241,10)</f>
        <v>0</v>
      </c>
    </row>
    <row r="242" spans="1:8" ht="27" customHeight="1">
      <c r="A242" s="21" t="s">
        <v>142</v>
      </c>
      <c r="B242" s="13" t="s">
        <v>143</v>
      </c>
      <c r="C242" s="27">
        <f>$B$153</f>
        <v>0</v>
      </c>
      <c r="D242" s="27">
        <f>P_C6</f>
        <v>0</v>
      </c>
      <c r="E242" s="7">
        <f>IF($B$153="","n.r.",IF($B$153&gt;P_C6,"Oui","Non"))</f>
        <v>0</v>
      </c>
      <c r="F242" s="15">
        <f>INDEX(P_PlafNiv,6)</f>
        <v>0</v>
      </c>
      <c r="G242" s="15">
        <f>IF(E242="Oui",F242,10)</f>
        <v>0</v>
      </c>
    </row>
    <row r="243" spans="1:8" ht="27" customHeight="1">
      <c r="A243" s="21" t="s">
        <v>144</v>
      </c>
      <c r="B243" s="13" t="s">
        <v>145</v>
      </c>
      <c r="C243" s="20">
        <f>$B$152</f>
        <v>0</v>
      </c>
      <c r="D243" s="20">
        <f>P_C7</f>
        <v>0</v>
      </c>
      <c r="E243" s="7">
        <f>IF($B$152="","n.r.",IF($B$152&lt;P_C7,"Oui","Non"))</f>
        <v>0</v>
      </c>
      <c r="F243" s="15">
        <f>INDEX(P_PlafNiv,7)</f>
        <v>0</v>
      </c>
      <c r="G243" s="15">
        <f>IF(E243="Oui",F243,10)</f>
        <v>0</v>
      </c>
    </row>
    <row r="244" spans="1:8" ht="27" customHeight="1">
      <c r="A244" s="21" t="s">
        <v>146</v>
      </c>
      <c r="B244" s="13" t="s">
        <v>147</v>
      </c>
      <c r="C244" s="27">
        <f>$B$154</f>
        <v>0</v>
      </c>
      <c r="D244" s="27">
        <f>P_C8</f>
        <v>0</v>
      </c>
      <c r="E244" s="7">
        <f>IF($B$154="","n.r.",IF(AND($B$154&gt;P_C8,$B$155&lt;&gt;"Oui"),"Oui","Non"))</f>
        <v>0</v>
      </c>
      <c r="F244" s="15">
        <f>INDEX(P_PlafNiv,8)</f>
        <v>0</v>
      </c>
      <c r="G244" s="15">
        <f>IF(E244="Oui",F244,10)</f>
        <v>0</v>
      </c>
    </row>
    <row r="245" spans="1:8" ht="27" customHeight="1">
      <c r="A245" s="21" t="s">
        <v>148</v>
      </c>
      <c r="B245" s="13" t="s">
        <v>149</v>
      </c>
      <c r="C245" s="27">
        <f>$B$49</f>
        <v>0</v>
      </c>
      <c r="D245" s="27">
        <f>P_C9</f>
        <v>0</v>
      </c>
      <c r="E245" s="7">
        <f>IF($B$49="","n.r.",IF($B$49&gt;P_C9,"Oui","Non"))</f>
        <v>0</v>
      </c>
      <c r="F245" s="15">
        <f>INDEX(P_PlafNiv,9)</f>
        <v>0</v>
      </c>
      <c r="G245" s="15">
        <f>IF(E245="Oui",F245,10)</f>
        <v>0</v>
      </c>
    </row>
    <row r="246" spans="1:8" ht="27" customHeight="1">
      <c r="A246" s="21" t="s">
        <v>150</v>
      </c>
      <c r="B246" s="13" t="s">
        <v>151</v>
      </c>
      <c r="C246" s="13">
        <f>IF($B$156="","",FIXED($B$156*100,0)&amp;" % — "&amp;$B$157)</f>
        <v>0</v>
      </c>
      <c r="D246" s="13">
        <f>P_C10</f>
        <v>0</v>
      </c>
      <c r="E246" s="7">
        <f>IF(OR($B$156="",$B$157=""),"n.r.",IF(AND($B$156&gt;P_C10,$B$157&lt;&gt;INDEX(L_QualAch,1)),"Oui","Non"))</f>
        <v>0</v>
      </c>
      <c r="F246" s="15">
        <f>INDEX(P_PlafNiv,10)</f>
        <v>0</v>
      </c>
      <c r="G246" s="15">
        <f>IF(E246="Oui",F246,10)</f>
        <v>0</v>
      </c>
    </row>
    <row r="247" spans="1:8" ht="27" customHeight="1">
      <c r="A247" s="21" t="s">
        <v>152</v>
      </c>
      <c r="B247" s="13" t="s">
        <v>153</v>
      </c>
      <c r="C247" s="13">
        <f>$B$32</f>
        <v>0</v>
      </c>
      <c r="D247" s="13">
        <f>"élevé sans plan"</f>
        <v>0</v>
      </c>
      <c r="E247" s="7">
        <f>IF($B$32="","n.r.",IF(AND($B$32="Oui",$B$161&lt;&gt;"Oui"),"Oui","Non"))</f>
        <v>0</v>
      </c>
      <c r="F247" s="15">
        <f>INDEX(P_PlafNiv,11)</f>
        <v>0</v>
      </c>
      <c r="G247" s="15">
        <f>IF(E247="Oui",F247,10)</f>
        <v>0</v>
      </c>
    </row>
    <row r="248" spans="1:8" ht="27" customHeight="1">
      <c r="A248" s="21" t="s">
        <v>154</v>
      </c>
      <c r="B248" s="13" t="s">
        <v>155</v>
      </c>
      <c r="C248" s="13">
        <f>$B$162</f>
        <v>0</v>
      </c>
      <c r="D248" s="13">
        <f>"insuffisante"</f>
        <v>0</v>
      </c>
      <c r="E248" s="7">
        <f>IF($B$162="","n.r.",IF($B$162="Non","Oui","Non"))</f>
        <v>0</v>
      </c>
      <c r="F248" s="15">
        <f>INDEX(P_PlafNiv,12)</f>
        <v>0</v>
      </c>
      <c r="G248" s="15">
        <f>IF(E248="Oui",F248,10)</f>
        <v>0</v>
      </c>
    </row>
    <row r="249" spans="1:8" ht="27" customHeight="1">
      <c r="A249" s="21" t="s">
        <v>156</v>
      </c>
      <c r="B249" s="13" t="s">
        <v>157</v>
      </c>
      <c r="C249" s="13">
        <f>IF($B$163="","",$B$163&amp;IF($B$164="",""," — écart "&amp;$B$164&amp;" ans"))</f>
        <v>0</v>
      </c>
      <c r="D249" s="13">
        <f>P_C13</f>
        <v>0</v>
      </c>
      <c r="E249" s="7">
        <f>IF($B$163="","n.r.",IF(AND($B$163="Non",N($B$164)&gt;P_C13),"Oui","Non"))</f>
        <v>0</v>
      </c>
      <c r="F249" s="15">
        <f>INDEX(P_PlafNiv,13)</f>
        <v>0</v>
      </c>
      <c r="G249" s="15">
        <f>IF(E249="Oui",F249,10)</f>
        <v>0</v>
      </c>
    </row>
    <row r="250" spans="1:8" ht="27" customHeight="1">
      <c r="A250" s="21" t="s">
        <v>158</v>
      </c>
      <c r="B250" s="13" t="s">
        <v>159</v>
      </c>
      <c r="C250" s="13">
        <f>$B$165</f>
        <v>0</v>
      </c>
      <c r="D250" s="13">
        <f>"au-delà limite"</f>
        <v>0</v>
      </c>
      <c r="E250" s="7">
        <f>IF($B$165="","n.r.",IF($B$165="Oui","Oui","Non"))</f>
        <v>0</v>
      </c>
      <c r="F250" s="15">
        <f>INDEX(P_PlafNiv,14)</f>
        <v>0</v>
      </c>
      <c r="G250" s="15">
        <f>IF(E250="Oui",F250,10)</f>
        <v>0</v>
      </c>
    </row>
    <row r="251" spans="1:8" ht="27" customHeight="1">
      <c r="A251" s="21" t="s">
        <v>160</v>
      </c>
      <c r="B251" s="13" t="s">
        <v>161</v>
      </c>
      <c r="C251" s="27">
        <f>$B$203</f>
        <v>0</v>
      </c>
      <c r="D251" s="27">
        <f>P_COUV</f>
        <v>0</v>
      </c>
      <c r="E251" s="7">
        <f>IF(OR($B$203="",$B$204=""),"n.r.",IF(OR($B$203&lt;P_COUV,$B$204&lt;1),"Oui","Non"))</f>
        <v>0</v>
      </c>
      <c r="F251" s="15">
        <f>INDEX(P_PlafNiv,15)</f>
        <v>0</v>
      </c>
      <c r="G251" s="15">
        <f>IF(E251="Oui",F251,10)</f>
        <v>0</v>
      </c>
    </row>
    <row r="252" spans="1:8">
      <c r="A252" s="21" t="s">
        <v>504</v>
      </c>
      <c r="B252" s="14">
        <f>MIN(G237:G251)</f>
        <v>0</v>
      </c>
    </row>
    <row r="254" spans="1:8">
      <c r="A254" s="3" t="s">
        <v>505</v>
      </c>
      <c r="B254" s="3"/>
      <c r="C254" s="3"/>
      <c r="D254" s="3"/>
      <c r="E254" s="3"/>
      <c r="F254" s="3"/>
      <c r="G254" s="3"/>
      <c r="H254" s="3"/>
    </row>
    <row r="255" spans="1:8" ht="30" customHeight="1">
      <c r="A255" s="21" t="s">
        <v>506</v>
      </c>
      <c r="B255" s="25">
        <f>IF(COUNTIF(F222:F225,"Oui")&gt;0,"—",IF(B218="","",MIN(B218,B252)))</f>
        <v>0</v>
      </c>
    </row>
    <row r="256" spans="1:8">
      <c r="A256" s="21" t="s">
        <v>286</v>
      </c>
      <c r="B256" s="34">
        <f>IF(B218="","Dossier incomplet",IF(COUNTIF(F222:F225,"Oui")&gt;0,"Hors périmètre — aucune note produite",IF(COUNTIF(F226:F233,"Oui")&gt;0,"Note provisoire — stade bloqué : "&amp;TRIM(IF(F226="Oui","B1 (Octroi)  ","")&amp;IF(F227="Oui","B2 (Octroi)  ","")&amp;IF(F228="Oui","B3 (Décaissement)  ","")&amp;IF(F229="Oui","B4 (Octroi)  ","")&amp;IF(F230="Oui","B5 (Décaissement)  ","")&amp;IF(F231="Oui","B6 (Notation validée)  ","")&amp;IF(F232="Oui","B7 (Notation validée)  ","")&amp;IF(F233="Oui","B8 (Octroi)  ","")),IF(E251="Oui","Note provisoire — évaluation partielle (C15)","Note validable, à soumettre au comité"))))</f>
        <v>0</v>
      </c>
      <c r="C256" s="34"/>
      <c r="D256" s="34"/>
      <c r="E256" s="34"/>
      <c r="F256" s="34"/>
      <c r="G256" s="34"/>
      <c r="H256" s="34"/>
    </row>
    <row r="258" spans="1:8">
      <c r="A258" s="3" t="s">
        <v>507</v>
      </c>
      <c r="B258" s="3"/>
      <c r="C258" s="3"/>
      <c r="D258" s="3"/>
      <c r="E258" s="3"/>
      <c r="F258" s="3"/>
      <c r="G258" s="3"/>
      <c r="H258" s="3"/>
    </row>
    <row r="259" spans="1:8" ht="60" customHeight="1">
      <c r="A259" s="33" t="s">
        <v>508</v>
      </c>
      <c r="B259" s="33"/>
      <c r="C259" s="33"/>
      <c r="D259" s="33"/>
      <c r="E259" s="33"/>
      <c r="F259" s="33"/>
      <c r="G259" s="33"/>
      <c r="H259" s="33"/>
    </row>
  </sheetData>
  <sheetProtection sheet="1" objects="1" scenarios="1" formatColumns="0" formatRows="0"/>
  <mergeCells count="72">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A21:H21"/>
    <mergeCell ref="C22:H22"/>
    <mergeCell ref="C34:H34"/>
    <mergeCell ref="C35:H35"/>
    <mergeCell ref="A37:H37"/>
    <mergeCell ref="A52:H52"/>
    <mergeCell ref="B53:H53"/>
    <mergeCell ref="B54:H54"/>
    <mergeCell ref="B55:H55"/>
    <mergeCell ref="B56:H56"/>
    <mergeCell ref="B57:H57"/>
    <mergeCell ref="B58:H58"/>
    <mergeCell ref="B59:H59"/>
    <mergeCell ref="B60:H60"/>
    <mergeCell ref="A62:H62"/>
    <mergeCell ref="A69:H69"/>
    <mergeCell ref="C70:H70"/>
    <mergeCell ref="A140:H140"/>
    <mergeCell ref="E141:H141"/>
    <mergeCell ref="E142:H142"/>
    <mergeCell ref="E143:H143"/>
    <mergeCell ref="E144:H144"/>
    <mergeCell ref="E145:H145"/>
    <mergeCell ref="E146:H146"/>
    <mergeCell ref="E147:H147"/>
    <mergeCell ref="A149:H149"/>
    <mergeCell ref="A167:H167"/>
    <mergeCell ref="E168:H168"/>
    <mergeCell ref="E169:H169"/>
    <mergeCell ref="E173:H173"/>
    <mergeCell ref="E177:H177"/>
    <mergeCell ref="E181:H181"/>
    <mergeCell ref="E185:H185"/>
    <mergeCell ref="E189:H189"/>
    <mergeCell ref="E193:H193"/>
    <mergeCell ref="E197:H197"/>
    <mergeCell ref="A206:H206"/>
    <mergeCell ref="A220:H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A235:H235"/>
    <mergeCell ref="A254:H254"/>
    <mergeCell ref="B256:H256"/>
    <mergeCell ref="A258:H258"/>
    <mergeCell ref="A259:H259"/>
  </mergeCells>
  <conditionalFormatting sqref="A170:D170">
    <cfRule type="expression" dxfId="4" priority="20">
      <formula>$K$170=0</formula>
    </cfRule>
  </conditionalFormatting>
  <conditionalFormatting sqref="A171:D171">
    <cfRule type="expression" dxfId="4" priority="22">
      <formula>$K$171=0</formula>
    </cfRule>
  </conditionalFormatting>
  <conditionalFormatting sqref="A172:D172">
    <cfRule type="expression" dxfId="4" priority="24">
      <formula>$K$172=0</formula>
    </cfRule>
  </conditionalFormatting>
  <conditionalFormatting sqref="A174:D174">
    <cfRule type="expression" dxfId="4" priority="26">
      <formula>$K$174=0</formula>
    </cfRule>
  </conditionalFormatting>
  <conditionalFormatting sqref="A175:D175">
    <cfRule type="expression" dxfId="4" priority="28">
      <formula>$K$175=0</formula>
    </cfRule>
  </conditionalFormatting>
  <conditionalFormatting sqref="A176:D176">
    <cfRule type="expression" dxfId="4" priority="30">
      <formula>$K$176=0</formula>
    </cfRule>
  </conditionalFormatting>
  <conditionalFormatting sqref="A178:D178">
    <cfRule type="expression" dxfId="4" priority="32">
      <formula>$K$178=0</formula>
    </cfRule>
  </conditionalFormatting>
  <conditionalFormatting sqref="A179:D179">
    <cfRule type="expression" dxfId="4" priority="34">
      <formula>$K$179=0</formula>
    </cfRule>
  </conditionalFormatting>
  <conditionalFormatting sqref="A180:D180">
    <cfRule type="expression" dxfId="4" priority="36">
      <formula>$K$180=0</formula>
    </cfRule>
  </conditionalFormatting>
  <conditionalFormatting sqref="A182:D182">
    <cfRule type="expression" dxfId="4" priority="38">
      <formula>$K$182=0</formula>
    </cfRule>
  </conditionalFormatting>
  <conditionalFormatting sqref="A183:D183">
    <cfRule type="expression" dxfId="4" priority="40">
      <formula>$K$183=0</formula>
    </cfRule>
  </conditionalFormatting>
  <conditionalFormatting sqref="A184:D184">
    <cfRule type="expression" dxfId="4" priority="42">
      <formula>$K$184=0</formula>
    </cfRule>
  </conditionalFormatting>
  <conditionalFormatting sqref="A186:D186">
    <cfRule type="expression" dxfId="4" priority="44">
      <formula>$K$186=0</formula>
    </cfRule>
  </conditionalFormatting>
  <conditionalFormatting sqref="A187:D187">
    <cfRule type="expression" dxfId="4" priority="46">
      <formula>$K$187=0</formula>
    </cfRule>
  </conditionalFormatting>
  <conditionalFormatting sqref="A188:D188">
    <cfRule type="expression" dxfId="4" priority="48">
      <formula>$K$188=0</formula>
    </cfRule>
  </conditionalFormatting>
  <conditionalFormatting sqref="A190:D190">
    <cfRule type="expression" dxfId="4" priority="50">
      <formula>$K$190=0</formula>
    </cfRule>
  </conditionalFormatting>
  <conditionalFormatting sqref="A191:D191">
    <cfRule type="expression" dxfId="4" priority="52">
      <formula>$K$191=0</formula>
    </cfRule>
  </conditionalFormatting>
  <conditionalFormatting sqref="A192:D192">
    <cfRule type="expression" dxfId="4" priority="54">
      <formula>$K$192=0</formula>
    </cfRule>
  </conditionalFormatting>
  <conditionalFormatting sqref="A194:D194">
    <cfRule type="expression" dxfId="4" priority="56">
      <formula>$K$194=0</formula>
    </cfRule>
  </conditionalFormatting>
  <conditionalFormatting sqref="A195:D195">
    <cfRule type="expression" dxfId="4" priority="58">
      <formula>$K$195=0</formula>
    </cfRule>
  </conditionalFormatting>
  <conditionalFormatting sqref="A196:D196">
    <cfRule type="expression" dxfId="4" priority="60">
      <formula>$K$196=0</formula>
    </cfRule>
  </conditionalFormatting>
  <conditionalFormatting sqref="A198:D198">
    <cfRule type="expression" dxfId="4" priority="62">
      <formula>$K$198=0</formula>
    </cfRule>
  </conditionalFormatting>
  <conditionalFormatting sqref="A199:D199">
    <cfRule type="expression" dxfId="4" priority="64">
      <formula>$K$199=0</formula>
    </cfRule>
  </conditionalFormatting>
  <conditionalFormatting sqref="A200:D200">
    <cfRule type="expression" dxfId="4" priority="66">
      <formula>$K$200=0</formula>
    </cfRule>
  </conditionalFormatting>
  <conditionalFormatting sqref="A201:D201">
    <cfRule type="expression" dxfId="4" priority="68">
      <formula>$K$201=0</formula>
    </cfRule>
  </conditionalFormatting>
  <conditionalFormatting sqref="B145">
    <cfRule type="expression" dxfId="2" priority="143">
      <formula>NOT($B$145&lt;&gt;"")</formula>
    </cfRule>
  </conditionalFormatting>
  <conditionalFormatting sqref="B146">
    <cfRule type="expression" dxfId="2" priority="144">
      <formula>NOT($B$146&lt;&gt;"")</formula>
    </cfRule>
  </conditionalFormatting>
  <conditionalFormatting sqref="B147">
    <cfRule type="expression" dxfId="2" priority="145">
      <formula>NOT($B$147&lt;&gt;"")</formula>
    </cfRule>
  </conditionalFormatting>
  <conditionalFormatting sqref="B15">
    <cfRule type="expression" dxfId="2" priority="124">
      <formula>NOT($B$15&lt;&gt;"")</formula>
    </cfRule>
  </conditionalFormatting>
  <conditionalFormatting sqref="B150">
    <cfRule type="expression" dxfId="2" priority="146">
      <formula>NOT(OR($B$17="P1",$B$150&lt;&gt;""))</formula>
    </cfRule>
  </conditionalFormatting>
  <conditionalFormatting sqref="B151">
    <cfRule type="expression" dxfId="2" priority="147">
      <formula>NOT(ISNUMBER($B$151))</formula>
    </cfRule>
  </conditionalFormatting>
  <conditionalFormatting sqref="B152">
    <cfRule type="expression" dxfId="2" priority="148">
      <formula>NOT(ISNUMBER($B$152))</formula>
    </cfRule>
  </conditionalFormatting>
  <conditionalFormatting sqref="B153">
    <cfRule type="expression" dxfId="2" priority="149">
      <formula>NOT(ISNUMBER($B$153))</formula>
    </cfRule>
  </conditionalFormatting>
  <conditionalFormatting sqref="B154">
    <cfRule type="expression" dxfId="2" priority="150">
      <formula>NOT(ISNUMBER($B$154))</formula>
    </cfRule>
  </conditionalFormatting>
  <conditionalFormatting sqref="B155">
    <cfRule type="expression" dxfId="2" priority="151">
      <formula>NOT(OR(N($B$154)&lt;=P_C8,$B$155&lt;&gt;""))</formula>
    </cfRule>
  </conditionalFormatting>
  <conditionalFormatting sqref="B156">
    <cfRule type="expression" dxfId="2" priority="152">
      <formula>NOT(ISNUMBER($B$156))</formula>
    </cfRule>
  </conditionalFormatting>
  <conditionalFormatting sqref="B157">
    <cfRule type="expression" dxfId="2" priority="153">
      <formula>NOT($B$157&lt;&gt;"")</formula>
    </cfRule>
  </conditionalFormatting>
  <conditionalFormatting sqref="B158">
    <cfRule type="expression" dxfId="2" priority="154">
      <formula>NOT(OR($B$15="R4",ISNUMBER($B$158)))</formula>
    </cfRule>
  </conditionalFormatting>
  <conditionalFormatting sqref="B159">
    <cfRule type="expression" dxfId="2" priority="155">
      <formula>NOT(ISNUMBER($B$159))</formula>
    </cfRule>
  </conditionalFormatting>
  <conditionalFormatting sqref="B16">
    <cfRule type="expression" dxfId="2" priority="125">
      <formula>NOT($B$16&lt;&gt;"")</formula>
    </cfRule>
  </conditionalFormatting>
  <conditionalFormatting sqref="B160">
    <cfRule type="expression" dxfId="2" priority="156">
      <formula>NOT(OR(NOT(AND(ISNUMBER($B$158),ISNUMBER($B$159))),N($B$158)&gt;=N($B$159),$B$160&lt;&gt;""))</formula>
    </cfRule>
  </conditionalFormatting>
  <conditionalFormatting sqref="B161">
    <cfRule type="expression" dxfId="2" priority="157">
      <formula>NOT(OR($B$32&lt;&gt;"Oui",$B$161&lt;&gt;""))</formula>
    </cfRule>
  </conditionalFormatting>
  <conditionalFormatting sqref="B162">
    <cfRule type="expression" dxfId="2" priority="158">
      <formula>NOT($B$162&lt;&gt;"")</formula>
    </cfRule>
  </conditionalFormatting>
  <conditionalFormatting sqref="B163">
    <cfRule type="expression" dxfId="2" priority="159">
      <formula>NOT($B$163&lt;&gt;"")</formula>
    </cfRule>
  </conditionalFormatting>
  <conditionalFormatting sqref="B164">
    <cfRule type="expression" dxfId="2" priority="160">
      <formula>NOT(OR($B$163&lt;&gt;"Non",ISNUMBER($B$164)))</formula>
    </cfRule>
  </conditionalFormatting>
  <conditionalFormatting sqref="B165">
    <cfRule type="expression" dxfId="2" priority="161">
      <formula>NOT($B$165&lt;&gt;"")</formula>
    </cfRule>
  </conditionalFormatting>
  <conditionalFormatting sqref="B17">
    <cfRule type="expression" dxfId="2" priority="126">
      <formula>NOT($B$17&lt;&gt;"")</formula>
    </cfRule>
  </conditionalFormatting>
  <conditionalFormatting sqref="B170">
    <cfRule type="expression" dxfId="2" priority="21">
      <formula>AND($K$170=1,$B$170="")</formula>
    </cfRule>
  </conditionalFormatting>
  <conditionalFormatting sqref="B171">
    <cfRule type="expression" dxfId="2" priority="23">
      <formula>AND($K$171=1,$B$171="")</formula>
    </cfRule>
  </conditionalFormatting>
  <conditionalFormatting sqref="B172">
    <cfRule type="expression" dxfId="2" priority="25">
      <formula>AND($K$172=1,$B$172="")</formula>
    </cfRule>
  </conditionalFormatting>
  <conditionalFormatting sqref="B174">
    <cfRule type="expression" dxfId="2" priority="27">
      <formula>AND($K$174=1,$B$174="")</formula>
    </cfRule>
  </conditionalFormatting>
  <conditionalFormatting sqref="B175">
    <cfRule type="expression" dxfId="2" priority="29">
      <formula>AND($K$175=1,$B$175="")</formula>
    </cfRule>
  </conditionalFormatting>
  <conditionalFormatting sqref="B176">
    <cfRule type="expression" dxfId="2" priority="31">
      <formula>AND($K$176=1,$B$176="")</formula>
    </cfRule>
  </conditionalFormatting>
  <conditionalFormatting sqref="B178">
    <cfRule type="expression" dxfId="2" priority="33">
      <formula>AND($K$178=1,$B$178="")</formula>
    </cfRule>
  </conditionalFormatting>
  <conditionalFormatting sqref="B179">
    <cfRule type="expression" dxfId="2" priority="35">
      <formula>AND($K$179=1,$B$179="")</formula>
    </cfRule>
  </conditionalFormatting>
  <conditionalFormatting sqref="B18">
    <cfRule type="expression" dxfId="2" priority="127">
      <formula>NOT($B$18&lt;&gt;"")</formula>
    </cfRule>
  </conditionalFormatting>
  <conditionalFormatting sqref="B180">
    <cfRule type="expression" dxfId="2" priority="37">
      <formula>AND($K$180=1,$B$180="")</formula>
    </cfRule>
  </conditionalFormatting>
  <conditionalFormatting sqref="B182">
    <cfRule type="expression" dxfId="2" priority="39">
      <formula>AND($K$182=1,$B$182="")</formula>
    </cfRule>
  </conditionalFormatting>
  <conditionalFormatting sqref="B183">
    <cfRule type="expression" dxfId="2" priority="41">
      <formula>AND($K$183=1,$B$183="")</formula>
    </cfRule>
  </conditionalFormatting>
  <conditionalFormatting sqref="B184">
    <cfRule type="expression" dxfId="2" priority="43">
      <formula>AND($K$184=1,$B$184="")</formula>
    </cfRule>
  </conditionalFormatting>
  <conditionalFormatting sqref="B186">
    <cfRule type="expression" dxfId="2" priority="45">
      <formula>AND($K$186=1,$B$186="")</formula>
    </cfRule>
  </conditionalFormatting>
  <conditionalFormatting sqref="B187">
    <cfRule type="expression" dxfId="2" priority="47">
      <formula>AND($K$187=1,$B$187="")</formula>
    </cfRule>
  </conditionalFormatting>
  <conditionalFormatting sqref="B188">
    <cfRule type="expression" dxfId="2" priority="49">
      <formula>AND($K$188=1,$B$188="")</formula>
    </cfRule>
  </conditionalFormatting>
  <conditionalFormatting sqref="B190">
    <cfRule type="expression" dxfId="2" priority="51">
      <formula>AND($K$190=1,$B$190="")</formula>
    </cfRule>
  </conditionalFormatting>
  <conditionalFormatting sqref="B191">
    <cfRule type="expression" dxfId="2" priority="53">
      <formula>AND($K$191=1,$B$191="")</formula>
    </cfRule>
  </conditionalFormatting>
  <conditionalFormatting sqref="B192">
    <cfRule type="expression" dxfId="2" priority="55">
      <formula>AND($K$192=1,$B$192="")</formula>
    </cfRule>
  </conditionalFormatting>
  <conditionalFormatting sqref="B194">
    <cfRule type="expression" dxfId="2" priority="57">
      <formula>AND($K$194=1,$B$194="")</formula>
    </cfRule>
  </conditionalFormatting>
  <conditionalFormatting sqref="B195">
    <cfRule type="expression" dxfId="2" priority="59">
      <formula>AND($K$195=1,$B$195="")</formula>
    </cfRule>
  </conditionalFormatting>
  <conditionalFormatting sqref="B196">
    <cfRule type="expression" dxfId="2" priority="61">
      <formula>AND($K$196=1,$B$196="")</formula>
    </cfRule>
  </conditionalFormatting>
  <conditionalFormatting sqref="B198">
    <cfRule type="expression" dxfId="2" priority="63">
      <formula>AND($K$198=1,$B$198="")</formula>
    </cfRule>
  </conditionalFormatting>
  <conditionalFormatting sqref="B199">
    <cfRule type="expression" dxfId="2" priority="65">
      <formula>AND($K$199=1,$B$199="")</formula>
    </cfRule>
  </conditionalFormatting>
  <conditionalFormatting sqref="B200">
    <cfRule type="expression" dxfId="2" priority="67">
      <formula>AND($K$200=1,$B$200="")</formula>
    </cfRule>
  </conditionalFormatting>
  <conditionalFormatting sqref="B201">
    <cfRule type="expression" dxfId="2" priority="69">
      <formula>AND($K$201=1,$B$201="")</formula>
    </cfRule>
  </conditionalFormatting>
  <conditionalFormatting sqref="B23">
    <cfRule type="expression" dxfId="2" priority="128">
      <formula>NOT(ISNUMBER($B$23))</formula>
    </cfRule>
  </conditionalFormatting>
  <conditionalFormatting sqref="B24">
    <cfRule type="expression" dxfId="2" priority="129">
      <formula>NOT($B$24&lt;&gt;"")</formula>
    </cfRule>
  </conditionalFormatting>
  <conditionalFormatting sqref="B25">
    <cfRule type="expression" dxfId="2" priority="130">
      <formula>NOT(ISNUMBER($B$25))</formula>
    </cfRule>
  </conditionalFormatting>
  <conditionalFormatting sqref="B26">
    <cfRule type="expression" dxfId="2" priority="131">
      <formula>NOT($B$26&lt;&gt;"")</formula>
    </cfRule>
  </conditionalFormatting>
  <conditionalFormatting sqref="B27">
    <cfRule type="expression" dxfId="2" priority="132">
      <formula>NOT(OR(NOT($B$17="P1"),$B$27&lt;&gt;""))</formula>
    </cfRule>
  </conditionalFormatting>
  <conditionalFormatting sqref="B28">
    <cfRule type="expression" dxfId="2" priority="133">
      <formula>NOT($B$28&lt;&gt;"")</formula>
    </cfRule>
  </conditionalFormatting>
  <conditionalFormatting sqref="B29">
    <cfRule type="expression" dxfId="2" priority="134">
      <formula>NOT($B$29&lt;&gt;"")</formula>
    </cfRule>
  </conditionalFormatting>
  <conditionalFormatting sqref="B30">
    <cfRule type="expression" dxfId="2" priority="135">
      <formula>NOT($B$30&lt;&gt;"")</formula>
    </cfRule>
  </conditionalFormatting>
  <conditionalFormatting sqref="B31">
    <cfRule type="expression" dxfId="2" priority="136">
      <formula>NOT($B$31&lt;&gt;"")</formula>
    </cfRule>
  </conditionalFormatting>
  <conditionalFormatting sqref="B32">
    <cfRule type="expression" dxfId="2" priority="137">
      <formula>NOT($B$32&lt;&gt;"")</formula>
    </cfRule>
  </conditionalFormatting>
  <conditionalFormatting sqref="B33">
    <cfRule type="expression" dxfId="2" priority="138">
      <formula>NOT(ISNUMBER($B$33))</formula>
    </cfRule>
  </conditionalFormatting>
  <conditionalFormatting sqref="B39">
    <cfRule type="expression" dxfId="2" priority="139">
      <formula>NOT(N($B$47)&gt;0)</formula>
    </cfRule>
  </conditionalFormatting>
  <conditionalFormatting sqref="B4">
    <cfRule type="expression" dxfId="1" priority="1">
      <formula>AND(ISNUMBER($B$4),$B$4=0)</formula>
    </cfRule>
    <cfRule type="expression" dxfId="2" priority="2">
      <formula>AND(ISNUMBER($B$4),$B$4&gt;0)</formula>
    </cfRule>
  </conditionalFormatting>
  <conditionalFormatting sqref="B50">
    <cfRule type="expression" dxfId="2" priority="141">
      <formula>NOT(OR(NOT(AND($B$17="P1",ISNUMBER($B$48),N($B$48)&gt;=P_N3_V,N($B$48)&lt;P_N3_F)),$B$50&lt;&gt;""))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70">
    <cfRule type="expression" dxfId="2" priority="142">
      <formula>NOT(ISNUMBER($B$70))</formula>
    </cfRule>
  </conditionalFormatting>
  <conditionalFormatting sqref="B72:C73">
    <cfRule type="expression" dxfId="2" priority="12">
      <formula>AND(COUNT($B$72:$B$131)&lt;2,B72="")</formula>
    </cfRule>
  </conditionalFormatting>
  <conditionalFormatting sqref="C72:C131">
    <cfRule type="expression" dxfId="2" priority="11">
      <formula>AND(ISNUMBER($B72),NOT(ISNUMBER($C72)))</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33">
    <cfRule type="cellIs" dxfId="0" priority="16" operator="equal">
      <formula>"Critique"</formula>
    </cfRule>
    <cfRule type="cellIs" dxfId="3" priority="17" operator="equal">
      <formula>"Vigilance"</formula>
    </cfRule>
  </conditionalFormatting>
  <conditionalFormatting sqref="E134">
    <cfRule type="cellIs" dxfId="0" priority="18" operator="equal">
      <formula>"Critique"</formula>
    </cfRule>
    <cfRule type="cellIs" dxfId="3" priority="19" operator="equal">
      <formula>"Vigilance"</formula>
    </cfRule>
  </conditionalFormatting>
  <conditionalFormatting sqref="E222">
    <cfRule type="expression" dxfId="2" priority="70">
      <formula>$E$222=""</formula>
    </cfRule>
  </conditionalFormatting>
  <conditionalFormatting sqref="E223">
    <cfRule type="expression" dxfId="2" priority="72">
      <formula>$E$223=""</formula>
    </cfRule>
  </conditionalFormatting>
  <conditionalFormatting sqref="E224">
    <cfRule type="expression" dxfId="2" priority="74">
      <formula>$E$224=""</formula>
    </cfRule>
  </conditionalFormatting>
  <conditionalFormatting sqref="E225">
    <cfRule type="expression" dxfId="2" priority="76">
      <formula>$E$225=""</formula>
    </cfRule>
  </conditionalFormatting>
  <conditionalFormatting sqref="E226">
    <cfRule type="expression" dxfId="2" priority="78">
      <formula>$E$226=""</formula>
    </cfRule>
  </conditionalFormatting>
  <conditionalFormatting sqref="E227">
    <cfRule type="expression" dxfId="2" priority="80">
      <formula>$E$227=""</formula>
    </cfRule>
  </conditionalFormatting>
  <conditionalFormatting sqref="E228">
    <cfRule type="expression" dxfId="2" priority="82">
      <formula>$E$228=""</formula>
    </cfRule>
  </conditionalFormatting>
  <conditionalFormatting sqref="E229">
    <cfRule type="expression" dxfId="2" priority="84">
      <formula>$E$229=""</formula>
    </cfRule>
  </conditionalFormatting>
  <conditionalFormatting sqref="E230">
    <cfRule type="expression" dxfId="2" priority="86">
      <formula>$E$230=""</formula>
    </cfRule>
  </conditionalFormatting>
  <conditionalFormatting sqref="E231">
    <cfRule type="expression" dxfId="2" priority="88">
      <formula>$E$231=""</formula>
    </cfRule>
  </conditionalFormatting>
  <conditionalFormatting sqref="E232">
    <cfRule type="expression" dxfId="2" priority="90">
      <formula>$E$232=""</formula>
    </cfRule>
  </conditionalFormatting>
  <conditionalFormatting sqref="E233">
    <cfRule type="expression" dxfId="2" priority="92">
      <formula>$E$233=""</formula>
    </cfRule>
  </conditionalFormatting>
  <conditionalFormatting sqref="E237">
    <cfRule type="cellIs" dxfId="0" priority="94" operator="equal">
      <formula>"Oui"</formula>
    </cfRule>
    <cfRule type="cellIs" dxfId="3" priority="95" operator="equal">
      <formula>"n.r."</formula>
    </cfRule>
  </conditionalFormatting>
  <conditionalFormatting sqref="E238">
    <cfRule type="cellIs" dxfId="0" priority="96" operator="equal">
      <formula>"Oui"</formula>
    </cfRule>
    <cfRule type="cellIs" dxfId="3" priority="97" operator="equal">
      <formula>"n.r."</formula>
    </cfRule>
  </conditionalFormatting>
  <conditionalFormatting sqref="E239">
    <cfRule type="cellIs" dxfId="0" priority="98" operator="equal">
      <formula>"Oui"</formula>
    </cfRule>
    <cfRule type="cellIs" dxfId="3" priority="99" operator="equal">
      <formula>"n.r."</formula>
    </cfRule>
  </conditionalFormatting>
  <conditionalFormatting sqref="E240">
    <cfRule type="cellIs" dxfId="0" priority="100" operator="equal">
      <formula>"Oui"</formula>
    </cfRule>
    <cfRule type="cellIs" dxfId="3" priority="101" operator="equal">
      <formula>"n.r."</formula>
    </cfRule>
  </conditionalFormatting>
  <conditionalFormatting sqref="E241">
    <cfRule type="cellIs" dxfId="0" priority="102" operator="equal">
      <formula>"Oui"</formula>
    </cfRule>
    <cfRule type="cellIs" dxfId="3" priority="103" operator="equal">
      <formula>"n.r."</formula>
    </cfRule>
  </conditionalFormatting>
  <conditionalFormatting sqref="E242">
    <cfRule type="cellIs" dxfId="0" priority="104" operator="equal">
      <formula>"Oui"</formula>
    </cfRule>
    <cfRule type="cellIs" dxfId="3" priority="105" operator="equal">
      <formula>"n.r."</formula>
    </cfRule>
  </conditionalFormatting>
  <conditionalFormatting sqref="E243">
    <cfRule type="cellIs" dxfId="0" priority="106" operator="equal">
      <formula>"Oui"</formula>
    </cfRule>
    <cfRule type="cellIs" dxfId="3" priority="107" operator="equal">
      <formula>"n.r."</formula>
    </cfRule>
  </conditionalFormatting>
  <conditionalFormatting sqref="E244">
    <cfRule type="cellIs" dxfId="0" priority="108" operator="equal">
      <formula>"Oui"</formula>
    </cfRule>
    <cfRule type="cellIs" dxfId="3" priority="109" operator="equal">
      <formula>"n.r."</formula>
    </cfRule>
  </conditionalFormatting>
  <conditionalFormatting sqref="E245">
    <cfRule type="cellIs" dxfId="0" priority="110" operator="equal">
      <formula>"Oui"</formula>
    </cfRule>
    <cfRule type="cellIs" dxfId="3" priority="111" operator="equal">
      <formula>"n.r."</formula>
    </cfRule>
  </conditionalFormatting>
  <conditionalFormatting sqref="E246">
    <cfRule type="cellIs" dxfId="0" priority="112" operator="equal">
      <formula>"Oui"</formula>
    </cfRule>
    <cfRule type="cellIs" dxfId="3" priority="113" operator="equal">
      <formula>"n.r."</formula>
    </cfRule>
  </conditionalFormatting>
  <conditionalFormatting sqref="E247">
    <cfRule type="cellIs" dxfId="0" priority="114" operator="equal">
      <formula>"Oui"</formula>
    </cfRule>
    <cfRule type="cellIs" dxfId="3" priority="115" operator="equal">
      <formula>"n.r."</formula>
    </cfRule>
  </conditionalFormatting>
  <conditionalFormatting sqref="E248">
    <cfRule type="cellIs" dxfId="0" priority="116" operator="equal">
      <formula>"Oui"</formula>
    </cfRule>
    <cfRule type="cellIs" dxfId="3" priority="117" operator="equal">
      <formula>"n.r."</formula>
    </cfRule>
  </conditionalFormatting>
  <conditionalFormatting sqref="E249">
    <cfRule type="cellIs" dxfId="0" priority="118" operator="equal">
      <formula>"Oui"</formula>
    </cfRule>
    <cfRule type="cellIs" dxfId="3" priority="119" operator="equal">
      <formula>"n.r."</formula>
    </cfRule>
  </conditionalFormatting>
  <conditionalFormatting sqref="E250">
    <cfRule type="cellIs" dxfId="0" priority="120" operator="equal">
      <formula>"Oui"</formula>
    </cfRule>
    <cfRule type="cellIs" dxfId="3" priority="121" operator="equal">
      <formula>"n.r."</formula>
    </cfRule>
  </conditionalFormatting>
  <conditionalFormatting sqref="E251">
    <cfRule type="cellIs" dxfId="0" priority="122" operator="equal">
      <formula>"Oui"</formula>
    </cfRule>
    <cfRule type="cellIs" dxfId="3" priority="123" operator="equal">
      <formula>"n.r."</formula>
    </cfRule>
  </conditionalFormatting>
  <conditionalFormatting sqref="E39">
    <cfRule type="expression" dxfId="2" priority="140">
      <formula>NOT(N($E$47)&gt;0)</formula>
    </cfRule>
  </conditionalFormatting>
  <conditionalFormatting sqref="E72:E131">
    <cfRule type="cellIs" dxfId="0" priority="13" operator="equal">
      <formula>"Critique"</formula>
    </cfRule>
    <cfRule type="cellIs" dxfId="3" priority="14" operator="equal">
      <formula>"Vigilance"</formula>
    </cfRule>
    <cfRule type="cellIs" dxfId="1" priority="15" operator="equal">
      <formula>"Très favorable"</formula>
    </cfRule>
  </conditionalFormatting>
  <conditionalFormatting sqref="F222">
    <cfRule type="cellIs" dxfId="0" priority="71" operator="equal">
      <formula>"Oui"</formula>
    </cfRule>
  </conditionalFormatting>
  <conditionalFormatting sqref="F223">
    <cfRule type="cellIs" dxfId="0" priority="73" operator="equal">
      <formula>"Oui"</formula>
    </cfRule>
  </conditionalFormatting>
  <conditionalFormatting sqref="F224">
    <cfRule type="cellIs" dxfId="0" priority="75" operator="equal">
      <formula>"Oui"</formula>
    </cfRule>
  </conditionalFormatting>
  <conditionalFormatting sqref="F225">
    <cfRule type="cellIs" dxfId="0" priority="77" operator="equal">
      <formula>"Oui"</formula>
    </cfRule>
  </conditionalFormatting>
  <conditionalFormatting sqref="F226">
    <cfRule type="cellIs" dxfId="0" priority="79" operator="equal">
      <formula>"Oui"</formula>
    </cfRule>
  </conditionalFormatting>
  <conditionalFormatting sqref="F227">
    <cfRule type="cellIs" dxfId="0" priority="81" operator="equal">
      <formula>"Oui"</formula>
    </cfRule>
  </conditionalFormatting>
  <conditionalFormatting sqref="F228">
    <cfRule type="cellIs" dxfId="0" priority="83" operator="equal">
      <formula>"Oui"</formula>
    </cfRule>
  </conditionalFormatting>
  <conditionalFormatting sqref="F229">
    <cfRule type="cellIs" dxfId="0" priority="85" operator="equal">
      <formula>"Oui"</formula>
    </cfRule>
  </conditionalFormatting>
  <conditionalFormatting sqref="F230">
    <cfRule type="cellIs" dxfId="0" priority="87" operator="equal">
      <formula>"Oui"</formula>
    </cfRule>
  </conditionalFormatting>
  <conditionalFormatting sqref="F231">
    <cfRule type="cellIs" dxfId="0" priority="89" operator="equal">
      <formula>"Oui"</formula>
    </cfRule>
  </conditionalFormatting>
  <conditionalFormatting sqref="F232">
    <cfRule type="cellIs" dxfId="0" priority="91" operator="equal">
      <formula>"Oui"</formula>
    </cfRule>
  </conditionalFormatting>
  <conditionalFormatting sqref="F233">
    <cfRule type="cellIs" dxfId="0" priority="93" operator="equal">
      <formula>"Oui"</formula>
    </cfRule>
  </conditionalFormatting>
  <conditionalFormatting sqref="F39:F46">
    <cfRule type="expression" dxfId="2" priority="10">
      <formula>AND(ISNUMBER($E39),$F39="")</formula>
    </cfRule>
  </conditionalFormatting>
  <dataValidations count="100">
    <dataValidation allowBlank="1" showInputMessage="1" showErrorMessage="1" promptTitle="Intitulé du dossier" prompt="Référence et nom du projet, ex. « PF-2026-014 · Centrale solaire de Ouarzazate »."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5">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sectoriel Δ au seuil DSCR du régime (onglet Paramètres)." sqref="B16">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17">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18">
      <formula1>L_Periodicite</formula1>
    </dataValidation>
    <dataValidation allowBlank="1" showInputMessage="1" showErrorMessage="1" promptTitle="Famille de financement" prompt="PF-FLUX : société de projet remboursée par les flux du projet. La vente d'actifs (R5) est hors outil." sqref="B19"/>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3">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4">
      <formula1>L_OuiNon</formula1>
    </dataValidation>
    <dataValidation type="decimal" allowBlank="1" showInputMessage="1" showErrorMessage="1" errorTitle="Valeur non admise" error="Saisissez une durée en années (0 à 99)." promptTitle="Durée du financement" prompt="Durée totale de la dette, en années. Ex. : 15." sqref="B25">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6">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27">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28">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29">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0">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1">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2">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3">
      <formula1>0</formula1>
      <formula2>99</formula2>
    </dataValidation>
    <dataValidation allowBlank="1" showInputMessage="1" showErrorMessage="1" promptTitle="Emploi" prompt="Poste du besoin à terminaison : CAPEX, intérêts intercalaires, DSRA initiale, aléas…" sqref="A39:A46"/>
    <dataValidation type="decimal" operator="greaterThanOrEqual" allowBlank="1" showInputMessage="1" showErrorMessage="1" errorTitle="Valeur non admise" error="Saisissez un nombre positif ou nul." promptTitle="Montant de l'emploi" prompt="Montant en millions de dirhams (MMAD)." sqref="B39:B46">
      <formula1>0</formula1>
    </dataValidation>
    <dataValidation allowBlank="1" showInputMessage="1" showErrorMessage="1" promptTitle="Ressource" prompt="Ressource engagée : dette senior, capital, quasi-fonds propres, subvention…" sqref="D39:D46"/>
    <dataValidation type="decimal" operator="greaterThanOrEqual" allowBlank="1" showInputMessage="1" showErrorMessage="1" errorTitle="Valeur non admise" error="Saisissez un nombre positif ou nul." promptTitle="Montant de la ressource" prompt="Montant engagé, en millions de dirhams (MMAD)." sqref="E39:E46">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39:F46">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0">
      <formula1>L_OuiNon</formula1>
    </dataValidation>
    <dataValidation allowBlank="1" showInputMessage="1" showErrorMessage="1" promptTitle="Hypothèse d'exploitation" prompt="Information libre, non utilisée par le calcul." sqref="A53:B60"/>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70">
      <formula1>0</formula1>
      <formula2>0.95</formula2>
    </dataValidation>
    <dataValidation allowBlank="1" showInputMessage="1" showErrorMessage="1" promptTitle="Description du stress" prompt="Décrivez le scénario défavorable, ex. « production P90 et tarif −10 % »." sqref="C70"/>
    <dataValidation allowBlank="1" showInputMessage="1" showErrorMessage="1" promptTitle="Période" prompt="Libellé de l'échéance, ex. « An 1 · S1 ». Le bouton « Préparer l'échéancier » les génère." sqref="A72:A131"/>
    <dataValidation type="decimal" allowBlank="1" showInputMessage="1" showErrorMessage="1" errorTitle="Valeur non admise" error="Saisissez un nombre." promptTitle="CFADS central" prompt="Flux disponible pour le service de la dette sur la période, en MMAD. Un CFADS négatif est noté Critique d'office." sqref="B72:B131">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72:C131">
      <formula1>0</formula1>
    </dataValidation>
    <dataValidation type="decimal" allowBlank="1" showInputMessage="1" showErrorMessage="1" errorTitle="Valeur non admise" error="Saisissez un nombre." promptTitle="CFADS stressé (facultatif)" prompt="Laisser vide pour appliquer le choc de la ligne 70. Sinon, CFADS du scénario défavorable issu du modèle de flux." sqref="F72:F131">
      <formula1>-1000000000.0</formula1>
      <formula2>1000000000.0</formula2>
    </dataValidation>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5">
      <formula1>L_Notes</formula1>
    </dataValidation>
    <dataValidation allowBlank="1" showInputMessage="1" showErrorMessage="1" promptTitle="Justification" prompt="Mesure et pièce justificative, ex. « DSRA 6 mois, cascade de paiement signée »." sqref="E145"/>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6">
      <formula1>L_Notes</formula1>
    </dataValidation>
    <dataValidation allowBlank="1" showInputMessage="1" showErrorMessage="1" promptTitle="Justification" prompt="Mesure et pièce justificative, ex. « DSRA 6 mois, cascade de paiement signée »." sqref="E146"/>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7">
      <formula1>L_Notes</formula1>
    </dataValidation>
    <dataValidation allowBlank="1" showInputMessage="1" showErrorMessage="1" promptTitle="Justification" prompt="Mesure et pièce justificative, ex. « DSRA 6 mois, cascade de paiement signée »." sqref="E147"/>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50">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51">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52">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53">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54">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55">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56">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57">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58">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59">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60">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61">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62">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63">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64">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65">
      <formula1>L_OuiNon</formula1>
    </dataValidation>
    <dataValidation allowBlank="1" showInputMessage="1" showErrorMessage="1" promptTitle="Commentaire du domaine" prompt="Constats et pièces qui justifient les notes du domaine." sqref="E16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2">
      <formula1>L_Notes</formula1>
    </dataValidation>
    <dataValidation allowBlank="1" showInputMessage="1" showErrorMessage="1" promptTitle="Commentaire du domaine" prompt="Constats et pièces qui justifient les notes du domaine." sqref="E17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6">
      <formula1>L_Notes</formula1>
    </dataValidation>
    <dataValidation allowBlank="1" showInputMessage="1" showErrorMessage="1" promptTitle="Commentaire du domaine" prompt="Constats et pièces qui justifient les notes du domaine." sqref="E17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0">
      <formula1>L_Notes</formula1>
    </dataValidation>
    <dataValidation allowBlank="1" showInputMessage="1" showErrorMessage="1" promptTitle="Commentaire du domaine" prompt="Constats et pièces qui justifient les notes du domaine." sqref="E181"/>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2">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3">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4">
      <formula1>L_Notes</formula1>
    </dataValidation>
    <dataValidation allowBlank="1" showInputMessage="1" showErrorMessage="1" promptTitle="Commentaire du domaine" prompt="Constats et pièces qui justifient les notes du domaine." sqref="E185"/>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6">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7">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8">
      <formula1>L_Notes</formula1>
    </dataValidation>
    <dataValidation allowBlank="1" showInputMessage="1" showErrorMessage="1" promptTitle="Commentaire du domaine" prompt="Constats et pièces qui justifient les notes du domaine." sqref="E18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2">
      <formula1>L_Notes</formula1>
    </dataValidation>
    <dataValidation allowBlank="1" showInputMessage="1" showErrorMessage="1" promptTitle="Commentaire du domaine" prompt="Constats et pièces qui justifient les notes du domaine." sqref="E19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6">
      <formula1>L_Notes</formula1>
    </dataValidation>
    <dataValidation allowBlank="1" showInputMessage="1" showErrorMessage="1" promptTitle="Commentaire du domaine" prompt="Constats et pièces qui justifient les notes du domaine." sqref="E19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1">
      <formula1>L_Notes</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0">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31">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3">
      <formula1>L_OuiNon</formula1>
    </dataValidation>
    <dataValidation allowBlank="1" showInputMessage="1" showErrorMessage="1" promptTitle="Conclusion" prompt="Ce que le dossier enseigne, ou la recommandation de l'analyste au comité." sqref="A259"/>
  </dataValidations>
  <pageMargins left="0.7" right="0.7" top="0.75" bottom="0.75" header="0.3" footer="0.3"/>
  <pageSetup paperSize="9" fitToHeight="0" orientation="landscape"/>
  <legacyDrawing r:id="rId1"/>
</worksheet>
</file>

<file path=xl/worksheets/sheet5.xml><?xml version="1.0" encoding="utf-8"?>
<worksheet xmlns="http://schemas.openxmlformats.org/spreadsheetml/2006/main" xmlns:r="http://schemas.openxmlformats.org/officeDocument/2006/relationships">
  <sheetPr>
    <pageSetUpPr fitToPage="1"/>
  </sheetPr>
  <dimension ref="A1:R259"/>
  <sheetViews>
    <sheetView showGridLines="0" workbookViewId="0">
      <pane ySplit="12" topLeftCell="A13" activePane="bottomLeft" state="frozen"/>
      <selection pane="bottomLeft"/>
    </sheetView>
  </sheetViews>
  <sheetFormatPr defaultRowHeight="15"/>
  <cols>
    <col min="1" max="1" width="46.7109375" customWidth="1"/>
    <col min="2" max="7" width="14.7109375" customWidth="1"/>
    <col min="8" max="8" width="18.7109375" customWidth="1"/>
    <col min="9" max="9" width="3.7109375" customWidth="1"/>
    <col min="10" max="13" width="10.7109375" hidden="1" customWidth="1"/>
    <col min="14" max="14" width="24.7109375" customWidth="1"/>
    <col min="15" max="15" width="3.7109375" customWidth="1"/>
    <col min="16" max="18" width="10.7109375" hidden="1" customWidth="1"/>
  </cols>
  <sheetData>
    <row r="1" spans="1:18">
      <c r="A1" s="30" t="s">
        <v>594</v>
      </c>
      <c r="J1" s="31" t="s">
        <v>278</v>
      </c>
    </row>
    <row r="2" spans="1:18">
      <c r="A2" s="32" t="s">
        <v>595</v>
      </c>
    </row>
    <row r="3" spans="1:18" ht="42" customHeight="1">
      <c r="A3" s="33" t="s">
        <v>596</v>
      </c>
      <c r="B3" s="33"/>
      <c r="C3" s="33"/>
      <c r="D3" s="33"/>
      <c r="E3" s="33"/>
      <c r="F3" s="33"/>
      <c r="G3" s="33"/>
      <c r="H3" s="33"/>
    </row>
    <row r="4" spans="1:18" ht="22" customHeight="1">
      <c r="A4" s="22" t="s">
        <v>282</v>
      </c>
      <c r="B4" s="14">
        <f>COUNTIF($R$14:$R$56,0)</f>
        <v>0</v>
      </c>
      <c r="C4" s="34">
        <f>IF(B4=0,"Saisie complète : lisez la note ci-dessous, puis « Fiche comité ».","Prochaine saisie : "&amp;INDEX($P$14:$P$56,MATCH(0,$R$14:$R$56,0)))</f>
        <v>0</v>
      </c>
      <c r="D4" s="34"/>
      <c r="E4" s="34"/>
      <c r="F4" s="34"/>
      <c r="G4" s="12">
        <f>IF(B4=0,"",HYPERLINK("#"&amp;INDEX($Q$14:$Q$56,MATCH(0,$R$14:$R$56,0)),"→ Aller à la cellule "&amp;INDEX($Q$14:$Q$56,MATCH(0,$R$14:$R$56,0))))</f>
        <v>0</v>
      </c>
      <c r="H4" s="12"/>
    </row>
    <row r="5" spans="1:18">
      <c r="A5" s="3" t="s">
        <v>284</v>
      </c>
      <c r="B5" s="3"/>
      <c r="C5" s="3"/>
      <c r="D5" s="3"/>
      <c r="E5" s="3"/>
      <c r="F5" s="3"/>
      <c r="G5" s="3"/>
      <c r="H5" s="3"/>
    </row>
    <row r="6" spans="1:18" ht="34" customHeight="1">
      <c r="A6" s="22" t="s">
        <v>285</v>
      </c>
      <c r="B6" s="25">
        <f>B255</f>
        <v>0</v>
      </c>
      <c r="C6" s="22" t="s">
        <v>4</v>
      </c>
      <c r="D6" s="34">
        <f>IFERROR(INDEX(P_ConvLib,MATCH(B255,P_ConvNote,0)),"")</f>
        <v>0</v>
      </c>
      <c r="E6" s="22" t="s">
        <v>286</v>
      </c>
      <c r="F6" s="34">
        <f>B256</f>
        <v>0</v>
      </c>
      <c r="G6" s="34"/>
      <c r="H6" s="34"/>
    </row>
    <row r="7" spans="1:18">
      <c r="A7" s="22" t="s">
        <v>287</v>
      </c>
      <c r="B7" s="14">
        <f>B217</f>
        <v>0</v>
      </c>
      <c r="C7" s="22" t="s">
        <v>288</v>
      </c>
      <c r="D7" s="14">
        <f>B218</f>
        <v>0</v>
      </c>
      <c r="E7" s="22" t="s">
        <v>289</v>
      </c>
      <c r="F7" s="34">
        <f>IF(B252&gt;=10,"Aucun (10)",B252)</f>
        <v>0</v>
      </c>
      <c r="G7" s="34"/>
      <c r="H7" s="34"/>
    </row>
    <row r="8" spans="1:18">
      <c r="A8" s="22" t="s">
        <v>290</v>
      </c>
      <c r="B8" s="34">
        <f>IF(TRIM(IF(E237="Oui","C1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",""))="","Aucun",TRIM(IF(E237="Oui","C1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","")))&amp;IF(COUNTIF(E237:E251,"n.r.")&gt;0,"   —   "&amp;COUNTIF(E237:E251,"n.r.")&amp;" plafond(s) non évalué(s) faute de donnée","")</f>
        <v>0</v>
      </c>
      <c r="C8" s="34"/>
      <c r="D8" s="34"/>
      <c r="E8" s="34"/>
      <c r="F8" s="34"/>
      <c r="G8" s="34"/>
      <c r="H8" s="34"/>
    </row>
    <row r="9" spans="1:18">
      <c r="A9" s="22" t="s">
        <v>291</v>
      </c>
      <c r="B9" s="34">
        <f>IF(TRIM(IF(F222="Oui","X1  ","")&amp;IF(F223="Oui","X2  ","")&amp;IF(F224="Oui","X3  ","")&amp;IF(F225="Oui","X4  ","")&amp;IF(F226="Oui","B1  ","")&amp;IF(F227="Oui","B2  ","")&amp;IF(F228="Oui","B3  ","")&amp;IF(F229="Oui","B4  ","")&amp;IF(F230="Oui","B5  ","")&amp;IF(F231="Oui","B6  ","")&amp;IF(F232="Oui","B7  ","")&amp;IF(F233="Oui","B8  ",""))="","Aucun",TRIM(IF(F222="Oui","X1  ","")&amp;IF(F223="Oui","X2  ","")&amp;IF(F224="Oui","X3  ","")&amp;IF(F225="Oui","X4  ","")&amp;IF(F226="Oui","B1  ","")&amp;IF(F227="Oui","B2  ","")&amp;IF(F228="Oui","B3  ","")&amp;IF(F229="Oui","B4  ","")&amp;IF(F230="Oui","B5  ","")&amp;IF(F231="Oui","B6  ","")&amp;IF(F232="Oui","B7  ","")&amp;IF(F233="Oui","B8  ","")))</f>
        <v>0</v>
      </c>
      <c r="C9" s="34"/>
      <c r="D9" s="34"/>
      <c r="E9" s="34"/>
      <c r="F9" s="34"/>
      <c r="G9" s="34"/>
      <c r="H9" s="34"/>
    </row>
    <row r="10" spans="1:18">
      <c r="A10" s="22" t="s">
        <v>292</v>
      </c>
      <c r="B10" s="14">
        <f>B35</f>
        <v>0</v>
      </c>
      <c r="C10" s="22" t="s">
        <v>293</v>
      </c>
      <c r="D10" s="35">
        <f>D133</f>
        <v>0</v>
      </c>
      <c r="E10" s="22" t="s">
        <v>294</v>
      </c>
      <c r="F10" s="35">
        <f>D134</f>
        <v>0</v>
      </c>
    </row>
    <row r="11" spans="1:18">
      <c r="A11" s="22" t="s">
        <v>295</v>
      </c>
      <c r="B11" s="36">
        <f>B204</f>
        <v>0</v>
      </c>
      <c r="C11" s="22" t="s">
        <v>296</v>
      </c>
      <c r="D11" s="14">
        <f>D148</f>
        <v>0</v>
      </c>
      <c r="E11" s="22" t="s">
        <v>109</v>
      </c>
      <c r="F11" s="34">
        <f>IFERROR(INDEX(P_ConvOrient,MATCH(B255,P_ConvNote,0)),"")</f>
        <v>0</v>
      </c>
      <c r="G11" s="34"/>
      <c r="H11" s="34"/>
    </row>
    <row r="12" spans="1:18">
      <c r="A12" s="37" t="s">
        <v>283</v>
      </c>
      <c r="B12" s="38">
        <f>HYPERLINK("#A13","1 · Routage")</f>
        <v>0</v>
      </c>
      <c r="C12" s="38">
        <f>HYPERLINK("#A37","3 · Sources")</f>
        <v>0</v>
      </c>
      <c r="D12" s="38">
        <f>HYPERLINK("#A69","6 · Échéancier")</f>
        <v>0</v>
      </c>
      <c r="E12" s="38">
        <f>HYPERLINK("#A140","7 · Noyau")</f>
        <v>0</v>
      </c>
      <c r="F12" s="38">
        <f>HYPERLINK("#A167","8 · Grille")</f>
        <v>0</v>
      </c>
      <c r="G12" s="38">
        <f>HYPERLINK("#A220","10 · Verrous")</f>
        <v>0</v>
      </c>
      <c r="H12" s="38">
        <f>HYPERLINK("#A235","11 · Plafonds")</f>
        <v>0</v>
      </c>
    </row>
    <row r="13" spans="1:18">
      <c r="A13" s="3" t="s">
        <v>297</v>
      </c>
      <c r="B13" s="3"/>
      <c r="C13" s="3"/>
      <c r="D13" s="3"/>
      <c r="E13" s="3"/>
      <c r="F13" s="3"/>
      <c r="G13" s="3"/>
      <c r="H13" s="3"/>
    </row>
    <row r="14" spans="1:18">
      <c r="A14" s="11" t="s">
        <v>298</v>
      </c>
      <c r="B14" s="11" t="s">
        <v>94</v>
      </c>
      <c r="C14" s="11" t="s">
        <v>4</v>
      </c>
      <c r="D14" s="11"/>
      <c r="E14" s="11"/>
      <c r="F14" s="11"/>
      <c r="G14" s="11"/>
      <c r="H14" s="11"/>
      <c r="P14" s="31" t="s">
        <v>509</v>
      </c>
      <c r="Q14" s="31" t="s">
        <v>510</v>
      </c>
      <c r="R14" s="31">
        <f>IF($B$15&lt;&gt;"",1,0)</f>
        <v>0</v>
      </c>
    </row>
    <row r="15" spans="1:18">
      <c r="A15" s="17" t="s">
        <v>299</v>
      </c>
      <c r="B15" s="5" t="s">
        <v>10</v>
      </c>
      <c r="C15" s="13">
        <f>IFERROR(INDEX(P_RegLib,MATCH(B15,P_Regimes,0)),"")</f>
        <v>0</v>
      </c>
      <c r="D15" s="13"/>
      <c r="E15" s="13"/>
      <c r="F15" s="13"/>
      <c r="G15" s="13"/>
      <c r="H15" s="13"/>
      <c r="P15" s="31" t="s">
        <v>511</v>
      </c>
      <c r="Q15" s="31" t="s">
        <v>512</v>
      </c>
      <c r="R15" s="31">
        <f>IF($B$16&lt;&gt;"",1,0)</f>
        <v>0</v>
      </c>
    </row>
    <row r="16" spans="1:18">
      <c r="A16" s="17" t="s">
        <v>300</v>
      </c>
      <c r="B16" s="5" t="s">
        <v>23</v>
      </c>
      <c r="C16" s="13">
        <f>IFERROR(INDEX(P_SecLib,MATCH(B16,P_SecCodes,0)),"")</f>
        <v>0</v>
      </c>
      <c r="D16" s="13"/>
      <c r="E16" s="13"/>
      <c r="F16" s="13"/>
      <c r="G16" s="13"/>
      <c r="H16" s="13"/>
      <c r="P16" s="31" t="s">
        <v>513</v>
      </c>
      <c r="Q16" s="31" t="s">
        <v>514</v>
      </c>
      <c r="R16" s="31">
        <f>IF($B$17&lt;&gt;"",1,0)</f>
        <v>0</v>
      </c>
    </row>
    <row r="17" spans="1:18">
      <c r="A17" s="17" t="s">
        <v>301</v>
      </c>
      <c r="B17" s="5" t="s">
        <v>50</v>
      </c>
      <c r="C17" s="13">
        <f>IFERROR(INDEX(P_PhaseLib,MATCH(B17,P_PhaseCodes,0)),"")</f>
        <v>0</v>
      </c>
      <c r="D17" s="13"/>
      <c r="E17" s="13"/>
      <c r="F17" s="13"/>
      <c r="G17" s="13"/>
      <c r="H17" s="13"/>
      <c r="P17" s="31" t="s">
        <v>515</v>
      </c>
      <c r="Q17" s="31" t="s">
        <v>516</v>
      </c>
      <c r="R17" s="31">
        <f>IF($B$18&lt;&gt;"",1,0)</f>
        <v>0</v>
      </c>
    </row>
    <row r="18" spans="1:18">
      <c r="A18" s="17" t="s">
        <v>302</v>
      </c>
      <c r="B18" s="5" t="s">
        <v>262</v>
      </c>
      <c r="C18" s="13" t="s">
        <v>303</v>
      </c>
      <c r="D18" s="13"/>
      <c r="E18" s="13"/>
      <c r="F18" s="13"/>
      <c r="G18" s="13"/>
      <c r="H18" s="13"/>
      <c r="P18" s="31" t="s">
        <v>517</v>
      </c>
      <c r="Q18" s="31" t="s">
        <v>518</v>
      </c>
      <c r="R18" s="31">
        <f>IF(ISNUMBER($B$23),1,0)</f>
        <v>0</v>
      </c>
    </row>
    <row r="19" spans="1:18">
      <c r="A19" s="17" t="s">
        <v>304</v>
      </c>
      <c r="B19" s="5" t="s">
        <v>305</v>
      </c>
      <c r="C19" s="13" t="s">
        <v>306</v>
      </c>
      <c r="D19" s="13"/>
      <c r="E19" s="13"/>
      <c r="F19" s="13"/>
      <c r="G19" s="13"/>
      <c r="H19" s="13"/>
      <c r="P19" s="31" t="s">
        <v>519</v>
      </c>
      <c r="Q19" s="31" t="s">
        <v>520</v>
      </c>
      <c r="R19" s="31">
        <f>IF($B$24&lt;&gt;"",1,0)</f>
        <v>0</v>
      </c>
    </row>
    <row r="20" spans="1:18">
      <c r="P20" s="31" t="s">
        <v>521</v>
      </c>
      <c r="Q20" s="31" t="s">
        <v>522</v>
      </c>
      <c r="R20" s="31">
        <f>IF(ISNUMBER($B$25),1,0)</f>
        <v>0</v>
      </c>
    </row>
    <row r="21" spans="1:18">
      <c r="A21" s="3" t="s">
        <v>307</v>
      </c>
      <c r="B21" s="3"/>
      <c r="C21" s="3"/>
      <c r="D21" s="3"/>
      <c r="E21" s="3"/>
      <c r="F21" s="3"/>
      <c r="G21" s="3"/>
      <c r="H21" s="3"/>
      <c r="P21" s="31" t="s">
        <v>523</v>
      </c>
      <c r="Q21" s="31" t="s">
        <v>524</v>
      </c>
      <c r="R21" s="31">
        <f>IF($B$26&lt;&gt;"",1,0)</f>
        <v>0</v>
      </c>
    </row>
    <row r="22" spans="1:18">
      <c r="A22" s="17" t="s">
        <v>308</v>
      </c>
      <c r="B22" s="28">
        <f>B47</f>
        <v>0</v>
      </c>
      <c r="C22" s="13" t="s">
        <v>309</v>
      </c>
      <c r="D22" s="13"/>
      <c r="E22" s="13"/>
      <c r="F22" s="13"/>
      <c r="G22" s="13"/>
      <c r="H22" s="13"/>
      <c r="P22" s="31" t="s">
        <v>525</v>
      </c>
      <c r="Q22" s="31" t="s">
        <v>526</v>
      </c>
      <c r="R22" s="31">
        <f>IF(OR(NOT($B$17="P1"),$B$27&lt;&gt;""),1,0)</f>
        <v>0</v>
      </c>
    </row>
    <row r="23" spans="1:18">
      <c r="A23" s="17" t="s">
        <v>310</v>
      </c>
      <c r="B23" s="39"/>
      <c r="P23" s="31" t="s">
        <v>527</v>
      </c>
      <c r="Q23" s="31" t="s">
        <v>528</v>
      </c>
      <c r="R23" s="31">
        <f>IF($B$28&lt;&gt;"",1,0)</f>
        <v>0</v>
      </c>
    </row>
    <row r="24" spans="1:18">
      <c r="A24" s="17" t="s">
        <v>311</v>
      </c>
      <c r="B24" s="5" t="s">
        <v>258</v>
      </c>
      <c r="P24" s="31" t="s">
        <v>529</v>
      </c>
      <c r="Q24" s="31" t="s">
        <v>530</v>
      </c>
      <c r="R24" s="31">
        <f>IF($B$29&lt;&gt;"",1,0)</f>
        <v>0</v>
      </c>
    </row>
    <row r="25" spans="1:18">
      <c r="A25" s="17" t="s">
        <v>312</v>
      </c>
      <c r="B25" s="40">
        <v>20</v>
      </c>
      <c r="P25" s="31" t="s">
        <v>531</v>
      </c>
      <c r="Q25" s="31" t="s">
        <v>532</v>
      </c>
      <c r="R25" s="31">
        <f>IF($B$30&lt;&gt;"",1,0)</f>
        <v>0</v>
      </c>
    </row>
    <row r="26" spans="1:18">
      <c r="A26" s="17" t="s">
        <v>313</v>
      </c>
      <c r="B26" s="5" t="s">
        <v>257</v>
      </c>
      <c r="P26" s="31" t="s">
        <v>533</v>
      </c>
      <c r="Q26" s="31" t="s">
        <v>534</v>
      </c>
      <c r="R26" s="31">
        <f>IF($B$31&lt;&gt;"",1,0)</f>
        <v>0</v>
      </c>
    </row>
    <row r="27" spans="1:18">
      <c r="A27" s="17" t="s">
        <v>314</v>
      </c>
      <c r="B27" s="5" t="s">
        <v>258</v>
      </c>
      <c r="P27" s="31" t="s">
        <v>535</v>
      </c>
      <c r="Q27" s="31" t="s">
        <v>536</v>
      </c>
      <c r="R27" s="31">
        <f>IF($B$32&lt;&gt;"",1,0)</f>
        <v>0</v>
      </c>
    </row>
    <row r="28" spans="1:18">
      <c r="A28" s="17" t="s">
        <v>315</v>
      </c>
      <c r="B28" s="5" t="s">
        <v>257</v>
      </c>
      <c r="P28" s="31" t="s">
        <v>537</v>
      </c>
      <c r="Q28" s="31" t="s">
        <v>538</v>
      </c>
      <c r="R28" s="31">
        <f>IF(ISNUMBER($B$33),1,0)</f>
        <v>0</v>
      </c>
    </row>
    <row r="29" spans="1:18">
      <c r="A29" s="17" t="s">
        <v>316</v>
      </c>
      <c r="B29" s="5" t="s">
        <v>258</v>
      </c>
      <c r="P29" s="31" t="s">
        <v>539</v>
      </c>
      <c r="Q29" s="31" t="s">
        <v>540</v>
      </c>
      <c r="R29" s="31">
        <f>IF(N($B$47)&gt;0,1,0)</f>
        <v>0</v>
      </c>
    </row>
    <row r="30" spans="1:18">
      <c r="A30" s="17" t="s">
        <v>317</v>
      </c>
      <c r="B30" s="5" t="s">
        <v>257</v>
      </c>
      <c r="P30" s="31" t="s">
        <v>541</v>
      </c>
      <c r="Q30" s="31" t="s">
        <v>542</v>
      </c>
      <c r="R30" s="31">
        <f>IF(N($E$47)&gt;0,1,0)</f>
        <v>0</v>
      </c>
    </row>
    <row r="31" spans="1:18">
      <c r="A31" s="17" t="s">
        <v>318</v>
      </c>
      <c r="B31" s="5" t="s">
        <v>258</v>
      </c>
      <c r="P31" s="31" t="s">
        <v>543</v>
      </c>
      <c r="Q31" s="31" t="s">
        <v>544</v>
      </c>
      <c r="R31" s="31">
        <f>IF(SUMPRODUCT(ISNUMBER($E$39:$E$46)*($F$39:$F$46=""))=0,1,0)</f>
        <v>0</v>
      </c>
    </row>
    <row r="32" spans="1:18">
      <c r="A32" s="17" t="s">
        <v>319</v>
      </c>
      <c r="B32" s="5" t="s">
        <v>258</v>
      </c>
      <c r="P32" s="31" t="s">
        <v>545</v>
      </c>
      <c r="Q32" s="31" t="s">
        <v>546</v>
      </c>
      <c r="R32" s="31">
        <f>IF(OR(NOT(AND($B$17="P1",ISNUMBER($B$48),N($B$48)&gt;=P_N3_V,N($B$48)&lt;P_N3_F)),$B$50&lt;&gt;""),1,0)</f>
        <v>0</v>
      </c>
    </row>
    <row r="33" spans="1:18">
      <c r="A33" s="17" t="s">
        <v>320</v>
      </c>
      <c r="B33" s="40"/>
      <c r="P33" s="31" t="s">
        <v>547</v>
      </c>
      <c r="Q33" s="31" t="s">
        <v>548</v>
      </c>
      <c r="R33" s="31">
        <f>IF(ISNUMBER($B$70),1,0)</f>
        <v>0</v>
      </c>
    </row>
    <row r="34" spans="1:18" ht="30" customHeight="1">
      <c r="A34" s="21" t="s">
        <v>321</v>
      </c>
      <c r="B34" s="14">
        <f>IF(OR(B22="",B22=0,B15=""),"",IF(OR(B22&gt;P_L_CAPEX,N(B23)&gt;P_L_EXPO,B15="R4",B29="Oui",N(B153)&gt;0,B30="Oui",B31="Oui",B32="Oui",N(B33)&gt;P_L_NBCP),"L",IF(AND(B22&lt;=P_S_CAPEX,B23&lt;&gt;"",N(B23)&lt;=P_S_EXPO,OR(B15="R1",B15="R2"),B26="Oui",B24="Oui",B25&lt;&gt;"",N(B25)&lt;=P_S_DUREE,OR(B17&lt;&gt;"P1",B27="Oui"),B28="Oui",COUNTIF($F$222:$F$233,"Oui")=0),"S","M")))</f>
        <v>0</v>
      </c>
      <c r="C34" s="13">
        <f>IF(B34="","",IF(B34="L","Escalade : "&amp;IF(B22&gt;P_L_CAPEX,"CAPEX &gt; "&amp;P_L_CAPEX&amp;" MMAD ; ","")&amp;IF(N(B23)&gt;P_L_EXPO,"exposition &gt; "&amp;P_L_EXPO&amp;" MMAD ; ","")&amp;IF(B15="R4","régime de revenus R4 ; ","")&amp;IF(B29="Oui","première référence technologique ; ","")&amp;IF(N(B153)&gt;0,"devises non intégralement couvertes ; ","")&amp;IF(B30="Oui","opération consortiale ; ","")&amp;IF(B31="Oui","contrat de revenus &gt; 20 ans ; ","")&amp;IF(B32="Oui","risque climatique élevé ; ","")&amp;IF(N(B33)&gt;P_L_NBCP,"plus de "&amp;P_L_NBCP&amp;" contreparties clés ; ",""),IF(B34="S","Toutes les conditions du régime simplifié sont réunies.","Régime standard par défaut : une condition du régime S manque, aucune condition d'escalade.")))</f>
        <v>0</v>
      </c>
      <c r="D34" s="13"/>
      <c r="E34" s="13"/>
      <c r="F34" s="13"/>
      <c r="G34" s="13"/>
      <c r="H34" s="13"/>
      <c r="P34" s="31" t="s">
        <v>549</v>
      </c>
      <c r="Q34" s="31" t="s">
        <v>550</v>
      </c>
      <c r="R34" s="31">
        <f>IF(COUNT($B$72:$B$131)&gt;=2,1,0)</f>
        <v>0</v>
      </c>
    </row>
    <row r="35" spans="1:18">
      <c r="A35" s="21" t="s">
        <v>322</v>
      </c>
      <c r="B35" s="14">
        <f>IF(B34="","",IF(AND(IF(AND(B34="S",COUNTIF($F$222:$F$233,"Oui")&gt;0),"M",B34)="M",COUNTIF($E$237:$E$251,"Oui")&gt;0),"L",IF(AND(B34="S",COUNTIF($F$222:$F$233,"Oui")&gt;0),"M",B34)))</f>
        <v>0</v>
      </c>
      <c r="C35" s="13">
        <f>IF(B35=B34,"Aucune escalade.",IF(B35="L","Escalade : un plafond de note est actif (M passe en L).","Escalade : un verrou est actif (S passe en M)."))</f>
        <v>0</v>
      </c>
      <c r="D35" s="13"/>
      <c r="E35" s="13"/>
      <c r="F35" s="13"/>
      <c r="G35" s="13"/>
      <c r="H35" s="13"/>
      <c r="P35" s="31" t="s">
        <v>551</v>
      </c>
      <c r="Q35" s="31" t="s">
        <v>552</v>
      </c>
      <c r="R35" s="31">
        <f>IF(SUMPRODUCT(ISNUMBER($B$72:$B$131)*(1-ISNUMBER($C$72:$C$131)))=0,1,0)</f>
        <v>0</v>
      </c>
    </row>
    <row r="36" spans="1:18">
      <c r="P36" s="31" t="s">
        <v>553</v>
      </c>
      <c r="Q36" s="31" t="s">
        <v>554</v>
      </c>
      <c r="R36" s="31">
        <f>IF($B$145&lt;&gt;"",1,0)</f>
        <v>0</v>
      </c>
    </row>
    <row r="37" spans="1:18">
      <c r="A37" s="3" t="s">
        <v>323</v>
      </c>
      <c r="B37" s="3"/>
      <c r="C37" s="3"/>
      <c r="D37" s="3"/>
      <c r="E37" s="3"/>
      <c r="F37" s="3"/>
      <c r="G37" s="3"/>
      <c r="H37" s="3"/>
      <c r="P37" s="31" t="s">
        <v>555</v>
      </c>
      <c r="Q37" s="31" t="s">
        <v>556</v>
      </c>
      <c r="R37" s="31">
        <f>IF($B$146&lt;&gt;"",1,0)</f>
        <v>0</v>
      </c>
    </row>
    <row r="38" spans="1:18">
      <c r="A38" s="11" t="s">
        <v>324</v>
      </c>
      <c r="B38" s="11" t="s">
        <v>325</v>
      </c>
      <c r="C38" s="11"/>
      <c r="D38" s="11" t="s">
        <v>326</v>
      </c>
      <c r="E38" s="11" t="s">
        <v>325</v>
      </c>
      <c r="F38" s="11" t="s">
        <v>327</v>
      </c>
      <c r="P38" s="31" t="s">
        <v>557</v>
      </c>
      <c r="Q38" s="31" t="s">
        <v>558</v>
      </c>
      <c r="R38" s="31">
        <f>IF($B$147&lt;&gt;"",1,0)</f>
        <v>0</v>
      </c>
    </row>
    <row r="39" spans="1:18">
      <c r="A39" s="41" t="s">
        <v>597</v>
      </c>
      <c r="B39" s="39">
        <v>1780</v>
      </c>
      <c r="D39" s="41" t="s">
        <v>598</v>
      </c>
      <c r="E39" s="39">
        <v>1680</v>
      </c>
      <c r="F39" s="41" t="s">
        <v>266</v>
      </c>
      <c r="P39" s="31" t="s">
        <v>559</v>
      </c>
      <c r="Q39" s="31" t="s">
        <v>560</v>
      </c>
      <c r="R39" s="31">
        <f>IF(OR($B$17="P1",$B$150&lt;&gt;""),1,0)</f>
        <v>0</v>
      </c>
    </row>
    <row r="40" spans="1:18">
      <c r="A40" s="41" t="s">
        <v>599</v>
      </c>
      <c r="B40" s="39">
        <v>240</v>
      </c>
      <c r="D40" s="41" t="s">
        <v>268</v>
      </c>
      <c r="E40" s="39">
        <v>720</v>
      </c>
      <c r="F40" s="41" t="s">
        <v>268</v>
      </c>
      <c r="P40" s="31" t="s">
        <v>561</v>
      </c>
      <c r="Q40" s="31" t="s">
        <v>562</v>
      </c>
      <c r="R40" s="31">
        <f>IF(ISNUMBER($B$151),1,0)</f>
        <v>0</v>
      </c>
    </row>
    <row r="41" spans="1:18">
      <c r="A41" s="41" t="s">
        <v>332</v>
      </c>
      <c r="B41" s="39">
        <v>95</v>
      </c>
      <c r="D41" s="41"/>
      <c r="E41" s="39"/>
      <c r="F41" s="41"/>
      <c r="P41" s="31" t="s">
        <v>563</v>
      </c>
      <c r="Q41" s="31" t="s">
        <v>564</v>
      </c>
      <c r="R41" s="31">
        <f>IF(ISNUMBER($B$152),1,0)</f>
        <v>0</v>
      </c>
    </row>
    <row r="42" spans="1:18">
      <c r="A42" s="41" t="s">
        <v>334</v>
      </c>
      <c r="B42" s="39">
        <v>110</v>
      </c>
      <c r="D42" s="41"/>
      <c r="E42" s="39"/>
      <c r="F42" s="41"/>
      <c r="P42" s="31" t="s">
        <v>565</v>
      </c>
      <c r="Q42" s="31" t="s">
        <v>566</v>
      </c>
      <c r="R42" s="31">
        <f>IF(ISNUMBER($B$153),1,0)</f>
        <v>0</v>
      </c>
    </row>
    <row r="43" spans="1:18">
      <c r="A43" s="41" t="s">
        <v>335</v>
      </c>
      <c r="B43" s="39">
        <v>100</v>
      </c>
      <c r="D43" s="41"/>
      <c r="E43" s="39"/>
      <c r="F43" s="41"/>
      <c r="P43" s="31" t="s">
        <v>567</v>
      </c>
      <c r="Q43" s="31" t="s">
        <v>568</v>
      </c>
      <c r="R43" s="31">
        <f>IF(ISNUMBER($B$154),1,0)</f>
        <v>0</v>
      </c>
    </row>
    <row r="44" spans="1:18">
      <c r="A44" s="41" t="s">
        <v>336</v>
      </c>
      <c r="B44" s="39">
        <v>50</v>
      </c>
      <c r="D44" s="41"/>
      <c r="E44" s="39"/>
      <c r="F44" s="41"/>
      <c r="P44" s="31" t="s">
        <v>569</v>
      </c>
      <c r="Q44" s="31" t="s">
        <v>570</v>
      </c>
      <c r="R44" s="31">
        <f>IF(OR(N($B$154)&lt;=P_C8,$B$155&lt;&gt;""),1,0)</f>
        <v>0</v>
      </c>
    </row>
    <row r="45" spans="1:18">
      <c r="A45" s="41" t="s">
        <v>337</v>
      </c>
      <c r="B45" s="39">
        <v>25</v>
      </c>
      <c r="D45" s="41"/>
      <c r="E45" s="39"/>
      <c r="F45" s="41"/>
      <c r="P45" s="31" t="s">
        <v>571</v>
      </c>
      <c r="Q45" s="31" t="s">
        <v>572</v>
      </c>
      <c r="R45" s="31">
        <f>IF(ISNUMBER($B$156),1,0)</f>
        <v>0</v>
      </c>
    </row>
    <row r="46" spans="1:18">
      <c r="A46" s="41"/>
      <c r="B46" s="39"/>
      <c r="D46" s="41"/>
      <c r="E46" s="39"/>
      <c r="F46" s="41"/>
      <c r="P46" s="31" t="s">
        <v>573</v>
      </c>
      <c r="Q46" s="31" t="s">
        <v>574</v>
      </c>
      <c r="R46" s="31">
        <f>IF($B$157&lt;&gt;"",1,0)</f>
        <v>0</v>
      </c>
    </row>
    <row r="47" spans="1:18">
      <c r="A47" s="21" t="s">
        <v>338</v>
      </c>
      <c r="B47" s="42">
        <f>SUM(B39:B46)</f>
        <v>0</v>
      </c>
      <c r="D47" s="21" t="s">
        <v>339</v>
      </c>
      <c r="E47" s="42">
        <f>SUM(E39:E46)</f>
        <v>0</v>
      </c>
      <c r="P47" s="31" t="s">
        <v>575</v>
      </c>
      <c r="Q47" s="31" t="s">
        <v>576</v>
      </c>
      <c r="R47" s="31">
        <f>IF(OR($B$15="R4",ISNUMBER($B$158)),1,0)</f>
        <v>0</v>
      </c>
    </row>
    <row r="48" spans="1:18">
      <c r="A48" s="17" t="s">
        <v>340</v>
      </c>
      <c r="B48" s="27">
        <f>IF(N(B47)=0,"",E47/B47)</f>
        <v>0</v>
      </c>
      <c r="P48" s="31" t="s">
        <v>577</v>
      </c>
      <c r="Q48" s="31" t="s">
        <v>578</v>
      </c>
      <c r="R48" s="31">
        <f>IF(ISNUMBER($B$159),1,0)</f>
        <v>0</v>
      </c>
    </row>
    <row r="49" spans="1:18">
      <c r="A49" s="17" t="s">
        <v>341</v>
      </c>
      <c r="B49" s="27">
        <f>IF(N(B47)=0,"",(SUMIF(F39:F46,"Dette senior",E39:E46)+SUMIF(F39:F46,"Dette subordonnée",E39:E46))/B47)</f>
        <v>0</v>
      </c>
      <c r="P49" s="31" t="s">
        <v>579</v>
      </c>
      <c r="Q49" s="31" t="s">
        <v>580</v>
      </c>
      <c r="R49" s="31">
        <f>IF(OR(NOT(AND(ISNUMBER($B$158),ISNUMBER($B$159))),N($B$158)&gt;=N($B$159),$B$160&lt;&gt;""),1,0)</f>
        <v>0</v>
      </c>
    </row>
    <row r="50" spans="1:18">
      <c r="A50" s="17" t="s">
        <v>342</v>
      </c>
      <c r="B50" s="5" t="s">
        <v>258</v>
      </c>
      <c r="P50" s="31" t="s">
        <v>581</v>
      </c>
      <c r="Q50" s="31" t="s">
        <v>582</v>
      </c>
      <c r="R50" s="31">
        <f>IF(OR($B$32&lt;&gt;"Oui",$B$161&lt;&gt;""),1,0)</f>
        <v>0</v>
      </c>
    </row>
    <row r="51" spans="1:18">
      <c r="P51" s="31" t="s">
        <v>583</v>
      </c>
      <c r="Q51" s="31" t="s">
        <v>584</v>
      </c>
      <c r="R51" s="31">
        <f>IF($B$162&lt;&gt;"",1,0)</f>
        <v>0</v>
      </c>
    </row>
    <row r="52" spans="1:18">
      <c r="A52" s="3" t="s">
        <v>343</v>
      </c>
      <c r="B52" s="3"/>
      <c r="C52" s="3"/>
      <c r="D52" s="3"/>
      <c r="E52" s="3"/>
      <c r="F52" s="3"/>
      <c r="G52" s="3"/>
      <c r="H52" s="3"/>
      <c r="P52" s="31" t="s">
        <v>585</v>
      </c>
      <c r="Q52" s="31" t="s">
        <v>586</v>
      </c>
      <c r="R52" s="31">
        <f>IF($B$163&lt;&gt;"",1,0)</f>
        <v>0</v>
      </c>
    </row>
    <row r="53" spans="1:18">
      <c r="A53" s="41" t="s">
        <v>600</v>
      </c>
      <c r="B53" s="41" t="s">
        <v>601</v>
      </c>
      <c r="C53" s="41"/>
      <c r="D53" s="41"/>
      <c r="E53" s="41"/>
      <c r="F53" s="41"/>
      <c r="G53" s="41"/>
      <c r="H53" s="41"/>
      <c r="P53" s="31" t="s">
        <v>587</v>
      </c>
      <c r="Q53" s="31" t="s">
        <v>588</v>
      </c>
      <c r="R53" s="31">
        <f>IF(OR($B$163&lt;&gt;"Non",ISNUMBER($B$164)),1,0)</f>
        <v>0</v>
      </c>
    </row>
    <row r="54" spans="1:18">
      <c r="A54" s="41" t="s">
        <v>602</v>
      </c>
      <c r="B54" s="41" t="s">
        <v>603</v>
      </c>
      <c r="C54" s="41"/>
      <c r="D54" s="41"/>
      <c r="E54" s="41"/>
      <c r="F54" s="41"/>
      <c r="G54" s="41"/>
      <c r="H54" s="41"/>
      <c r="P54" s="31" t="s">
        <v>589</v>
      </c>
      <c r="Q54" s="31" t="s">
        <v>590</v>
      </c>
      <c r="R54" s="31">
        <f>IF($B$165&lt;&gt;"",1,0)</f>
        <v>0</v>
      </c>
    </row>
    <row r="55" spans="1:18">
      <c r="A55" s="41" t="s">
        <v>604</v>
      </c>
      <c r="B55" s="41" t="s">
        <v>605</v>
      </c>
      <c r="C55" s="41"/>
      <c r="D55" s="41"/>
      <c r="E55" s="41"/>
      <c r="F55" s="41"/>
      <c r="G55" s="41"/>
      <c r="H55" s="41"/>
      <c r="P55" s="31" t="s">
        <v>591</v>
      </c>
      <c r="Q55" s="31">
        <f>"B"&amp;IF(COUNT($P$169:$P$201)=0,169,MIN($P$169:$P$201))</f>
        <v>0</v>
      </c>
      <c r="R55" s="31">
        <f>IF(COUNT($P$169:$P$201)=0,1,0)</f>
        <v>0</v>
      </c>
    </row>
    <row r="56" spans="1:18">
      <c r="A56" s="41" t="s">
        <v>606</v>
      </c>
      <c r="B56" s="41" t="s">
        <v>607</v>
      </c>
      <c r="C56" s="41"/>
      <c r="D56" s="41"/>
      <c r="E56" s="41"/>
      <c r="F56" s="41"/>
      <c r="G56" s="41"/>
      <c r="H56" s="41"/>
      <c r="P56" s="31" t="s">
        <v>592</v>
      </c>
      <c r="Q56" s="31" t="s">
        <v>593</v>
      </c>
      <c r="R56" s="31">
        <f>IF(COUNTBLANK($E$222:$E$233)=0,1,0)</f>
        <v>0</v>
      </c>
    </row>
    <row r="57" spans="1:18">
      <c r="A57" s="41" t="s">
        <v>352</v>
      </c>
      <c r="B57" s="41" t="s">
        <v>608</v>
      </c>
      <c r="C57" s="41"/>
      <c r="D57" s="41"/>
      <c r="E57" s="41"/>
      <c r="F57" s="41"/>
      <c r="G57" s="41"/>
      <c r="H57" s="41"/>
    </row>
    <row r="58" spans="1:18">
      <c r="A58" s="41" t="s">
        <v>609</v>
      </c>
      <c r="B58" s="41" t="s">
        <v>610</v>
      </c>
      <c r="C58" s="41"/>
      <c r="D58" s="41"/>
      <c r="E58" s="41"/>
      <c r="F58" s="41"/>
      <c r="G58" s="41"/>
      <c r="H58" s="41"/>
    </row>
    <row r="59" spans="1:18">
      <c r="A59" s="41" t="s">
        <v>356</v>
      </c>
      <c r="B59" s="41" t="s">
        <v>611</v>
      </c>
      <c r="C59" s="41"/>
      <c r="D59" s="41"/>
      <c r="E59" s="41"/>
      <c r="F59" s="41"/>
      <c r="G59" s="41"/>
      <c r="H59" s="41"/>
    </row>
    <row r="60" spans="1:18">
      <c r="A60" s="41"/>
      <c r="B60" s="41"/>
      <c r="C60" s="41"/>
      <c r="D60" s="41"/>
      <c r="E60" s="41"/>
      <c r="F60" s="41"/>
      <c r="G60" s="41"/>
      <c r="H60" s="41"/>
    </row>
    <row r="62" spans="1:18">
      <c r="A62" s="3" t="s">
        <v>358</v>
      </c>
      <c r="B62" s="3"/>
      <c r="C62" s="3"/>
      <c r="D62" s="3"/>
      <c r="E62" s="3"/>
      <c r="F62" s="3"/>
      <c r="G62" s="3"/>
      <c r="H62" s="3"/>
    </row>
    <row r="63" spans="1:18">
      <c r="A63" s="17" t="s">
        <v>359</v>
      </c>
      <c r="B63" s="18">
        <f>IFERROR(INDEX(P_Crit,MATCH($B$15,P_Regimes,0)),"")</f>
        <v>0</v>
      </c>
    </row>
    <row r="64" spans="1:18">
      <c r="A64" s="17" t="s">
        <v>360</v>
      </c>
      <c r="B64" s="18">
        <f>IFERROR(INDEX(P_SecDelta,MATCH($B$16,P_SecCodes,0)),"")</f>
        <v>0</v>
      </c>
    </row>
    <row r="65" spans="1:8">
      <c r="A65" s="17" t="s">
        <v>361</v>
      </c>
      <c r="B65" s="18">
        <f>IFERROR(INDEX(P_PhaseMaj,MATCH($B$17,P_PhaseCodes,0)),"")</f>
        <v>0</v>
      </c>
    </row>
    <row r="66" spans="1:8">
      <c r="A66" s="11" t="s">
        <v>362</v>
      </c>
      <c r="B66" s="11" t="s">
        <v>5</v>
      </c>
      <c r="C66" s="11" t="s">
        <v>6</v>
      </c>
      <c r="D66" s="11" t="s">
        <v>7</v>
      </c>
      <c r="E66" s="11" t="s">
        <v>363</v>
      </c>
    </row>
    <row r="67" spans="1:8">
      <c r="A67" s="21" t="s">
        <v>364</v>
      </c>
      <c r="B67" s="18">
        <f>IFERROR(INDEX(P_Crit,MATCH($B$15,P_Regimes,0))+$B$64+$B$65,"")</f>
        <v>0</v>
      </c>
      <c r="C67" s="18">
        <f>IFERROR(INDEX(P_Vig,MATCH($B$15,P_Regimes,0))+$B$64+$B$65,"")</f>
        <v>0</v>
      </c>
      <c r="D67" s="18">
        <f>IFERROR(INDEX(P_Fav,MATCH($B$15,P_Regimes,0))+$B$64+$B$65,"")</f>
        <v>0</v>
      </c>
      <c r="E67" s="18">
        <f>D67</f>
        <v>0</v>
      </c>
    </row>
    <row r="69" spans="1:8">
      <c r="A69" s="3" t="s">
        <v>365</v>
      </c>
      <c r="B69" s="3"/>
      <c r="C69" s="3"/>
      <c r="D69" s="3"/>
      <c r="E69" s="3"/>
      <c r="F69" s="3"/>
      <c r="G69" s="3"/>
      <c r="H69" s="3"/>
    </row>
    <row r="70" spans="1:8">
      <c r="A70" s="17" t="s">
        <v>366</v>
      </c>
      <c r="B70" s="43">
        <v>0.109606</v>
      </c>
      <c r="C70" s="44" t="s">
        <v>612</v>
      </c>
      <c r="D70" s="44"/>
      <c r="E70" s="44"/>
      <c r="F70" s="44"/>
      <c r="G70" s="44"/>
      <c r="H70" s="44"/>
    </row>
    <row r="71" spans="1:8" ht="30" customHeight="1">
      <c r="A71" s="11" t="s">
        <v>368</v>
      </c>
      <c r="B71" s="11" t="s">
        <v>369</v>
      </c>
      <c r="C71" s="11" t="s">
        <v>356</v>
      </c>
      <c r="D71" s="11" t="s">
        <v>370</v>
      </c>
      <c r="E71" s="11" t="s">
        <v>371</v>
      </c>
      <c r="F71" s="11" t="s">
        <v>372</v>
      </c>
      <c r="G71" s="11" t="s">
        <v>373</v>
      </c>
      <c r="H71" s="11" t="s">
        <v>374</v>
      </c>
    </row>
    <row r="72" spans="1:8">
      <c r="A72" s="41" t="s">
        <v>613</v>
      </c>
      <c r="B72" s="39">
        <v>90</v>
      </c>
      <c r="C72" s="45">
        <v>73.25</v>
      </c>
      <c r="D72" s="19">
        <f>IF(OR(B72="",C72=""),"",IF(C72=0,"",B72/C72))</f>
        <v>0</v>
      </c>
      <c r="E72" s="7">
        <f>IF(B72="","",IF(C72=0,"Différé",IF(B72&lt;0,"Critique",IF(D72&lt;$B$67,"Critique",IF(D72&lt;$C$67,"Vigilance",IF(D72&lt;$D$67,"Favorable","Très favorable"))))))</f>
        <v>0</v>
      </c>
      <c r="F72" s="39"/>
      <c r="G72" s="19">
        <f>IF(OR(B72="",C72="",C72=0),"",IF(F72&lt;&gt;"",F72,B72*(1-$B$70))/C72)</f>
        <v>0</v>
      </c>
      <c r="H72" s="19"/>
    </row>
    <row r="73" spans="1:8">
      <c r="A73" s="41" t="s">
        <v>614</v>
      </c>
      <c r="B73" s="39">
        <v>93</v>
      </c>
      <c r="C73" s="45">
        <v>73.25</v>
      </c>
      <c r="D73" s="19">
        <f>IF(OR(B73="",C73=""),"",IF(C73=0,"",B73/C73))</f>
        <v>0</v>
      </c>
      <c r="E73" s="7">
        <f>IF(B73="","",IF(C73=0,"Différé",IF(B73&lt;0,"Critique",IF(D73&lt;$B$67,"Critique",IF(D73&lt;$C$67,"Vigilance",IF(D73&lt;$D$67,"Favorable","Très favorable"))))))</f>
        <v>0</v>
      </c>
      <c r="F73" s="39"/>
      <c r="G73" s="19">
        <f>IF(OR(B73="",C73="",C73=0),"",IF(F73&lt;&gt;"",F73,B73*(1-$B$70))/C73)</f>
        <v>0</v>
      </c>
      <c r="H73" s="19">
        <f>IF(AND($B$18="Semestrielle",B73&lt;&gt;"",B72&lt;&gt;"",N(C73)+N(C72)&gt;0),(B73+B72)/(C73+C72),"")</f>
        <v>0</v>
      </c>
    </row>
    <row r="74" spans="1:8">
      <c r="A74" s="41" t="s">
        <v>615</v>
      </c>
      <c r="B74" s="39">
        <v>97</v>
      </c>
      <c r="C74" s="45">
        <v>73.25</v>
      </c>
      <c r="D74" s="19">
        <f>IF(OR(B74="",C74=""),"",IF(C74=0,"",B74/C74))</f>
        <v>0</v>
      </c>
      <c r="E74" s="7">
        <f>IF(B74="","",IF(C74=0,"Différé",IF(B74&lt;0,"Critique",IF(D74&lt;$B$67,"Critique",IF(D74&lt;$C$67,"Vigilance",IF(D74&lt;$D$67,"Favorable","Très favorable"))))))</f>
        <v>0</v>
      </c>
      <c r="F74" s="39"/>
      <c r="G74" s="19">
        <f>IF(OR(B74="",C74="",C74=0),"",IF(F74&lt;&gt;"",F74,B74*(1-$B$70))/C74)</f>
        <v>0</v>
      </c>
      <c r="H74" s="19"/>
    </row>
    <row r="75" spans="1:8">
      <c r="A75" s="41" t="s">
        <v>616</v>
      </c>
      <c r="B75" s="39">
        <v>99</v>
      </c>
      <c r="C75" s="45">
        <v>73.25</v>
      </c>
      <c r="D75" s="19">
        <f>IF(OR(B75="",C75=""),"",IF(C75=0,"",B75/C75))</f>
        <v>0</v>
      </c>
      <c r="E75" s="7">
        <f>IF(B75="","",IF(C75=0,"Différé",IF(B75&lt;0,"Critique",IF(D75&lt;$B$67,"Critique",IF(D75&lt;$C$67,"Vigilance",IF(D75&lt;$D$67,"Favorable","Très favorable"))))))</f>
        <v>0</v>
      </c>
      <c r="F75" s="39"/>
      <c r="G75" s="19">
        <f>IF(OR(B75="",C75="",C75=0),"",IF(F75&lt;&gt;"",F75,B75*(1-$B$70))/C75)</f>
        <v>0</v>
      </c>
      <c r="H75" s="19">
        <f>IF(AND($B$18="Semestrielle",B75&lt;&gt;"",B74&lt;&gt;"",N(C75)+N(C74)&gt;0),(B75+B74)/(C75+C74),"")</f>
        <v>0</v>
      </c>
    </row>
    <row r="76" spans="1:8">
      <c r="A76" s="41"/>
      <c r="B76" s="39"/>
      <c r="C76" s="45"/>
      <c r="D76" s="19">
        <f>IF(OR(B76="",C76=""),"",IF(C76=0,"",B76/C76))</f>
        <v>0</v>
      </c>
      <c r="E76" s="7">
        <f>IF(B76="","",IF(C76=0,"Différé",IF(B76&lt;0,"Critique",IF(D76&lt;$B$67,"Critique",IF(D76&lt;$C$67,"Vigilance",IF(D76&lt;$D$67,"Favorable","Très favorable"))))))</f>
        <v>0</v>
      </c>
      <c r="F76" s="39"/>
      <c r="G76" s="19">
        <f>IF(OR(B76="",C76="",C76=0),"",IF(F76&lt;&gt;"",F76,B76*(1-$B$70))/C76)</f>
        <v>0</v>
      </c>
      <c r="H76" s="19"/>
    </row>
    <row r="77" spans="1:8">
      <c r="A77" s="41"/>
      <c r="B77" s="39"/>
      <c r="C77" s="45"/>
      <c r="D77" s="19">
        <f>IF(OR(B77="",C77=""),"",IF(C77=0,"",B77/C77))</f>
        <v>0</v>
      </c>
      <c r="E77" s="7">
        <f>IF(B77="","",IF(C77=0,"Différé",IF(B77&lt;0,"Critique",IF(D77&lt;$B$67,"Critique",IF(D77&lt;$C$67,"Vigilance",IF(D77&lt;$D$67,"Favorable","Très favorable"))))))</f>
        <v>0</v>
      </c>
      <c r="F77" s="39"/>
      <c r="G77" s="19">
        <f>IF(OR(B77="",C77="",C77=0),"",IF(F77&lt;&gt;"",F77,B77*(1-$B$70))/C77)</f>
        <v>0</v>
      </c>
      <c r="H77" s="19">
        <f>IF(AND($B$18="Semestrielle",B77&lt;&gt;"",B76&lt;&gt;"",N(C77)+N(C76)&gt;0),(B77+B76)/(C77+C76),"")</f>
        <v>0</v>
      </c>
    </row>
    <row r="78" spans="1:8">
      <c r="A78" s="41"/>
      <c r="B78" s="39"/>
      <c r="C78" s="45"/>
      <c r="D78" s="19">
        <f>IF(OR(B78="",C78=""),"",IF(C78=0,"",B78/C78))</f>
        <v>0</v>
      </c>
      <c r="E78" s="7">
        <f>IF(B78="","",IF(C78=0,"Différé",IF(B78&lt;0,"Critique",IF(D78&lt;$B$67,"Critique",IF(D78&lt;$C$67,"Vigilance",IF(D78&lt;$D$67,"Favorable","Très favorable"))))))</f>
        <v>0</v>
      </c>
      <c r="F78" s="39"/>
      <c r="G78" s="19">
        <f>IF(OR(B78="",C78="",C78=0),"",IF(F78&lt;&gt;"",F78,B78*(1-$B$70))/C78)</f>
        <v>0</v>
      </c>
      <c r="H78" s="19"/>
    </row>
    <row r="79" spans="1:8">
      <c r="A79" s="41"/>
      <c r="B79" s="39"/>
      <c r="C79" s="45"/>
      <c r="D79" s="19">
        <f>IF(OR(B79="",C79=""),"",IF(C79=0,"",B79/C79))</f>
        <v>0</v>
      </c>
      <c r="E79" s="7">
        <f>IF(B79="","",IF(C79=0,"Différé",IF(B79&lt;0,"Critique",IF(D79&lt;$B$67,"Critique",IF(D79&lt;$C$67,"Vigilance",IF(D79&lt;$D$67,"Favorable","Très favorable"))))))</f>
        <v>0</v>
      </c>
      <c r="F79" s="39"/>
      <c r="G79" s="19">
        <f>IF(OR(B79="",C79="",C79=0),"",IF(F79&lt;&gt;"",F79,B79*(1-$B$70))/C79)</f>
        <v>0</v>
      </c>
      <c r="H79" s="19">
        <f>IF(AND($B$18="Semestrielle",B79&lt;&gt;"",B78&lt;&gt;"",N(C79)+N(C78)&gt;0),(B79+B78)/(C79+C78),"")</f>
        <v>0</v>
      </c>
    </row>
    <row r="80" spans="1:8">
      <c r="A80" s="41"/>
      <c r="B80" s="39"/>
      <c r="C80" s="45"/>
      <c r="D80" s="19">
        <f>IF(OR(B80="",C80=""),"",IF(C80=0,"",B80/C80))</f>
        <v>0</v>
      </c>
      <c r="E80" s="7">
        <f>IF(B80="","",IF(C80=0,"Différé",IF(B80&lt;0,"Critique",IF(D80&lt;$B$67,"Critique",IF(D80&lt;$C$67,"Vigilance",IF(D80&lt;$D$67,"Favorable","Très favorable"))))))</f>
        <v>0</v>
      </c>
      <c r="F80" s="39"/>
      <c r="G80" s="19">
        <f>IF(OR(B80="",C80="",C80=0),"",IF(F80&lt;&gt;"",F80,B80*(1-$B$70))/C80)</f>
        <v>0</v>
      </c>
      <c r="H80" s="19"/>
    </row>
    <row r="81" spans="1:8">
      <c r="A81" s="41"/>
      <c r="B81" s="39"/>
      <c r="C81" s="45"/>
      <c r="D81" s="19">
        <f>IF(OR(B81="",C81=""),"",IF(C81=0,"",B81/C81))</f>
        <v>0</v>
      </c>
      <c r="E81" s="7">
        <f>IF(B81="","",IF(C81=0,"Différé",IF(B81&lt;0,"Critique",IF(D81&lt;$B$67,"Critique",IF(D81&lt;$C$67,"Vigilance",IF(D81&lt;$D$67,"Favorable","Très favorable"))))))</f>
        <v>0</v>
      </c>
      <c r="F81" s="39"/>
      <c r="G81" s="19">
        <f>IF(OR(B81="",C81="",C81=0),"",IF(F81&lt;&gt;"",F81,B81*(1-$B$70))/C81)</f>
        <v>0</v>
      </c>
      <c r="H81" s="19">
        <f>IF(AND($B$18="Semestrielle",B81&lt;&gt;"",B80&lt;&gt;"",N(C81)+N(C80)&gt;0),(B81+B80)/(C81+C80),"")</f>
        <v>0</v>
      </c>
    </row>
    <row r="82" spans="1:8">
      <c r="A82" s="41"/>
      <c r="B82" s="39"/>
      <c r="C82" s="45"/>
      <c r="D82" s="19">
        <f>IF(OR(B82="",C82=""),"",IF(C82=0,"",B82/C82))</f>
        <v>0</v>
      </c>
      <c r="E82" s="7">
        <f>IF(B82="","",IF(C82=0,"Différé",IF(B82&lt;0,"Critique",IF(D82&lt;$B$67,"Critique",IF(D82&lt;$C$67,"Vigilance",IF(D82&lt;$D$67,"Favorable","Très favorable"))))))</f>
        <v>0</v>
      </c>
      <c r="F82" s="39"/>
      <c r="G82" s="19">
        <f>IF(OR(B82="",C82="",C82=0),"",IF(F82&lt;&gt;"",F82,B82*(1-$B$70))/C82)</f>
        <v>0</v>
      </c>
      <c r="H82" s="19"/>
    </row>
    <row r="83" spans="1:8">
      <c r="A83" s="41"/>
      <c r="B83" s="39"/>
      <c r="C83" s="45"/>
      <c r="D83" s="19">
        <f>IF(OR(B83="",C83=""),"",IF(C83=0,"",B83/C83))</f>
        <v>0</v>
      </c>
      <c r="E83" s="7">
        <f>IF(B83="","",IF(C83=0,"Différé",IF(B83&lt;0,"Critique",IF(D83&lt;$B$67,"Critique",IF(D83&lt;$C$67,"Vigilance",IF(D83&lt;$D$67,"Favorable","Très favorable"))))))</f>
        <v>0</v>
      </c>
      <c r="F83" s="39"/>
      <c r="G83" s="19">
        <f>IF(OR(B83="",C83="",C83=0),"",IF(F83&lt;&gt;"",F83,B83*(1-$B$70))/C83)</f>
        <v>0</v>
      </c>
      <c r="H83" s="19">
        <f>IF(AND($B$18="Semestrielle",B83&lt;&gt;"",B82&lt;&gt;"",N(C83)+N(C82)&gt;0),(B83+B82)/(C83+C82),"")</f>
        <v>0</v>
      </c>
    </row>
    <row r="84" spans="1:8">
      <c r="A84" s="41"/>
      <c r="B84" s="39"/>
      <c r="C84" s="45"/>
      <c r="D84" s="19">
        <f>IF(OR(B84="",C84=""),"",IF(C84=0,"",B84/C84))</f>
        <v>0</v>
      </c>
      <c r="E84" s="7">
        <f>IF(B84="","",IF(C84=0,"Différé",IF(B84&lt;0,"Critique",IF(D84&lt;$B$67,"Critique",IF(D84&lt;$C$67,"Vigilance",IF(D84&lt;$D$67,"Favorable","Très favorable"))))))</f>
        <v>0</v>
      </c>
      <c r="F84" s="39"/>
      <c r="G84" s="19">
        <f>IF(OR(B84="",C84="",C84=0),"",IF(F84&lt;&gt;"",F84,B84*(1-$B$70))/C84)</f>
        <v>0</v>
      </c>
      <c r="H84" s="19"/>
    </row>
    <row r="85" spans="1:8">
      <c r="A85" s="41"/>
      <c r="B85" s="39"/>
      <c r="C85" s="45"/>
      <c r="D85" s="19">
        <f>IF(OR(B85="",C85=""),"",IF(C85=0,"",B85/C85))</f>
        <v>0</v>
      </c>
      <c r="E85" s="7">
        <f>IF(B85="","",IF(C85=0,"Différé",IF(B85&lt;0,"Critique",IF(D85&lt;$B$67,"Critique",IF(D85&lt;$C$67,"Vigilance",IF(D85&lt;$D$67,"Favorable","Très favorable"))))))</f>
        <v>0</v>
      </c>
      <c r="F85" s="39"/>
      <c r="G85" s="19">
        <f>IF(OR(B85="",C85="",C85=0),"",IF(F85&lt;&gt;"",F85,B85*(1-$B$70))/C85)</f>
        <v>0</v>
      </c>
      <c r="H85" s="19">
        <f>IF(AND($B$18="Semestrielle",B85&lt;&gt;"",B84&lt;&gt;"",N(C85)+N(C84)&gt;0),(B85+B84)/(C85+C84),"")</f>
        <v>0</v>
      </c>
    </row>
    <row r="86" spans="1:8">
      <c r="A86" s="41"/>
      <c r="B86" s="39"/>
      <c r="C86" s="45"/>
      <c r="D86" s="19">
        <f>IF(OR(B86="",C86=""),"",IF(C86=0,"",B86/C86))</f>
        <v>0</v>
      </c>
      <c r="E86" s="7">
        <f>IF(B86="","",IF(C86=0,"Différé",IF(B86&lt;0,"Critique",IF(D86&lt;$B$67,"Critique",IF(D86&lt;$C$67,"Vigilance",IF(D86&lt;$D$67,"Favorable","Très favorable"))))))</f>
        <v>0</v>
      </c>
      <c r="F86" s="39"/>
      <c r="G86" s="19">
        <f>IF(OR(B86="",C86="",C86=0),"",IF(F86&lt;&gt;"",F86,B86*(1-$B$70))/C86)</f>
        <v>0</v>
      </c>
      <c r="H86" s="19"/>
    </row>
    <row r="87" spans="1:8">
      <c r="A87" s="41"/>
      <c r="B87" s="39"/>
      <c r="C87" s="45"/>
      <c r="D87" s="19">
        <f>IF(OR(B87="",C87=""),"",IF(C87=0,"",B87/C87))</f>
        <v>0</v>
      </c>
      <c r="E87" s="7">
        <f>IF(B87="","",IF(C87=0,"Différé",IF(B87&lt;0,"Critique",IF(D87&lt;$B$67,"Critique",IF(D87&lt;$C$67,"Vigilance",IF(D87&lt;$D$67,"Favorable","Très favorable"))))))</f>
        <v>0</v>
      </c>
      <c r="F87" s="39"/>
      <c r="G87" s="19">
        <f>IF(OR(B87="",C87="",C87=0),"",IF(F87&lt;&gt;"",F87,B87*(1-$B$70))/C87)</f>
        <v>0</v>
      </c>
      <c r="H87" s="19">
        <f>IF(AND($B$18="Semestrielle",B87&lt;&gt;"",B86&lt;&gt;"",N(C87)+N(C86)&gt;0),(B87+B86)/(C87+C86),"")</f>
        <v>0</v>
      </c>
    </row>
    <row r="88" spans="1:8">
      <c r="A88" s="41"/>
      <c r="B88" s="39"/>
      <c r="C88" s="45"/>
      <c r="D88" s="19">
        <f>IF(OR(B88="",C88=""),"",IF(C88=0,"",B88/C88))</f>
        <v>0</v>
      </c>
      <c r="E88" s="7">
        <f>IF(B88="","",IF(C88=0,"Différé",IF(B88&lt;0,"Critique",IF(D88&lt;$B$67,"Critique",IF(D88&lt;$C$67,"Vigilance",IF(D88&lt;$D$67,"Favorable","Très favorable"))))))</f>
        <v>0</v>
      </c>
      <c r="F88" s="39"/>
      <c r="G88" s="19">
        <f>IF(OR(B88="",C88="",C88=0),"",IF(F88&lt;&gt;"",F88,B88*(1-$B$70))/C88)</f>
        <v>0</v>
      </c>
      <c r="H88" s="19"/>
    </row>
    <row r="89" spans="1:8">
      <c r="A89" s="41"/>
      <c r="B89" s="39"/>
      <c r="C89" s="45"/>
      <c r="D89" s="19">
        <f>IF(OR(B89="",C89=""),"",IF(C89=0,"",B89/C89))</f>
        <v>0</v>
      </c>
      <c r="E89" s="7">
        <f>IF(B89="","",IF(C89=0,"Différé",IF(B89&lt;0,"Critique",IF(D89&lt;$B$67,"Critique",IF(D89&lt;$C$67,"Vigilance",IF(D89&lt;$D$67,"Favorable","Très favorable"))))))</f>
        <v>0</v>
      </c>
      <c r="F89" s="39"/>
      <c r="G89" s="19">
        <f>IF(OR(B89="",C89="",C89=0),"",IF(F89&lt;&gt;"",F89,B89*(1-$B$70))/C89)</f>
        <v>0</v>
      </c>
      <c r="H89" s="19">
        <f>IF(AND($B$18="Semestrielle",B89&lt;&gt;"",B88&lt;&gt;"",N(C89)+N(C88)&gt;0),(B89+B88)/(C89+C88),"")</f>
        <v>0</v>
      </c>
    </row>
    <row r="90" spans="1:8">
      <c r="A90" s="41"/>
      <c r="B90" s="39"/>
      <c r="C90" s="45"/>
      <c r="D90" s="19">
        <f>IF(OR(B90="",C90=""),"",IF(C90=0,"",B90/C90))</f>
        <v>0</v>
      </c>
      <c r="E90" s="7">
        <f>IF(B90="","",IF(C90=0,"Différé",IF(B90&lt;0,"Critique",IF(D90&lt;$B$67,"Critique",IF(D90&lt;$C$67,"Vigilance",IF(D90&lt;$D$67,"Favorable","Très favorable"))))))</f>
        <v>0</v>
      </c>
      <c r="F90" s="39"/>
      <c r="G90" s="19">
        <f>IF(OR(B90="",C90="",C90=0),"",IF(F90&lt;&gt;"",F90,B90*(1-$B$70))/C90)</f>
        <v>0</v>
      </c>
      <c r="H90" s="19"/>
    </row>
    <row r="91" spans="1:8">
      <c r="A91" s="41"/>
      <c r="B91" s="39"/>
      <c r="C91" s="45"/>
      <c r="D91" s="19">
        <f>IF(OR(B91="",C91=""),"",IF(C91=0,"",B91/C91))</f>
        <v>0</v>
      </c>
      <c r="E91" s="7">
        <f>IF(B91="","",IF(C91=0,"Différé",IF(B91&lt;0,"Critique",IF(D91&lt;$B$67,"Critique",IF(D91&lt;$C$67,"Vigilance",IF(D91&lt;$D$67,"Favorable","Très favorable"))))))</f>
        <v>0</v>
      </c>
      <c r="F91" s="39"/>
      <c r="G91" s="19">
        <f>IF(OR(B91="",C91="",C91=0),"",IF(F91&lt;&gt;"",F91,B91*(1-$B$70))/C91)</f>
        <v>0</v>
      </c>
      <c r="H91" s="19">
        <f>IF(AND($B$18="Semestrielle",B91&lt;&gt;"",B90&lt;&gt;"",N(C91)+N(C90)&gt;0),(B91+B90)/(C91+C90),"")</f>
        <v>0</v>
      </c>
    </row>
    <row r="92" spans="1:8">
      <c r="A92" s="41"/>
      <c r="B92" s="39"/>
      <c r="C92" s="45"/>
      <c r="D92" s="19">
        <f>IF(OR(B92="",C92=""),"",IF(C92=0,"",B92/C92))</f>
        <v>0</v>
      </c>
      <c r="E92" s="7">
        <f>IF(B92="","",IF(C92=0,"Différé",IF(B92&lt;0,"Critique",IF(D92&lt;$B$67,"Critique",IF(D92&lt;$C$67,"Vigilance",IF(D92&lt;$D$67,"Favorable","Très favorable"))))))</f>
        <v>0</v>
      </c>
      <c r="F92" s="39"/>
      <c r="G92" s="19">
        <f>IF(OR(B92="",C92="",C92=0),"",IF(F92&lt;&gt;"",F92,B92*(1-$B$70))/C92)</f>
        <v>0</v>
      </c>
      <c r="H92" s="19"/>
    </row>
    <row r="93" spans="1:8">
      <c r="A93" s="41"/>
      <c r="B93" s="39"/>
      <c r="C93" s="45"/>
      <c r="D93" s="19">
        <f>IF(OR(B93="",C93=""),"",IF(C93=0,"",B93/C93))</f>
        <v>0</v>
      </c>
      <c r="E93" s="7">
        <f>IF(B93="","",IF(C93=0,"Différé",IF(B93&lt;0,"Critique",IF(D93&lt;$B$67,"Critique",IF(D93&lt;$C$67,"Vigilance",IF(D93&lt;$D$67,"Favorable","Très favorable"))))))</f>
        <v>0</v>
      </c>
      <c r="F93" s="39"/>
      <c r="G93" s="19">
        <f>IF(OR(B93="",C93="",C93=0),"",IF(F93&lt;&gt;"",F93,B93*(1-$B$70))/C93)</f>
        <v>0</v>
      </c>
      <c r="H93" s="19">
        <f>IF(AND($B$18="Semestrielle",B93&lt;&gt;"",B92&lt;&gt;"",N(C93)+N(C92)&gt;0),(B93+B92)/(C93+C92),"")</f>
        <v>0</v>
      </c>
    </row>
    <row r="94" spans="1:8">
      <c r="A94" s="41"/>
      <c r="B94" s="39"/>
      <c r="C94" s="45"/>
      <c r="D94" s="19">
        <f>IF(OR(B94="",C94=""),"",IF(C94=0,"",B94/C94))</f>
        <v>0</v>
      </c>
      <c r="E94" s="7">
        <f>IF(B94="","",IF(C94=0,"Différé",IF(B94&lt;0,"Critique",IF(D94&lt;$B$67,"Critique",IF(D94&lt;$C$67,"Vigilance",IF(D94&lt;$D$67,"Favorable","Très favorable"))))))</f>
        <v>0</v>
      </c>
      <c r="F94" s="39"/>
      <c r="G94" s="19">
        <f>IF(OR(B94="",C94="",C94=0),"",IF(F94&lt;&gt;"",F94,B94*(1-$B$70))/C94)</f>
        <v>0</v>
      </c>
      <c r="H94" s="19"/>
    </row>
    <row r="95" spans="1:8">
      <c r="A95" s="41"/>
      <c r="B95" s="39"/>
      <c r="C95" s="45"/>
      <c r="D95" s="19">
        <f>IF(OR(B95="",C95=""),"",IF(C95=0,"",B95/C95))</f>
        <v>0</v>
      </c>
      <c r="E95" s="7">
        <f>IF(B95="","",IF(C95=0,"Différé",IF(B95&lt;0,"Critique",IF(D95&lt;$B$67,"Critique",IF(D95&lt;$C$67,"Vigilance",IF(D95&lt;$D$67,"Favorable","Très favorable"))))))</f>
        <v>0</v>
      </c>
      <c r="F95" s="39"/>
      <c r="G95" s="19">
        <f>IF(OR(B95="",C95="",C95=0),"",IF(F95&lt;&gt;"",F95,B95*(1-$B$70))/C95)</f>
        <v>0</v>
      </c>
      <c r="H95" s="19">
        <f>IF(AND($B$18="Semestrielle",B95&lt;&gt;"",B94&lt;&gt;"",N(C95)+N(C94)&gt;0),(B95+B94)/(C95+C94),"")</f>
        <v>0</v>
      </c>
    </row>
    <row r="96" spans="1:8">
      <c r="A96" s="41"/>
      <c r="B96" s="39"/>
      <c r="C96" s="45"/>
      <c r="D96" s="19">
        <f>IF(OR(B96="",C96=""),"",IF(C96=0,"",B96/C96))</f>
        <v>0</v>
      </c>
      <c r="E96" s="7">
        <f>IF(B96="","",IF(C96=0,"Différé",IF(B96&lt;0,"Critique",IF(D96&lt;$B$67,"Critique",IF(D96&lt;$C$67,"Vigilance",IF(D96&lt;$D$67,"Favorable","Très favorable"))))))</f>
        <v>0</v>
      </c>
      <c r="F96" s="39"/>
      <c r="G96" s="19">
        <f>IF(OR(B96="",C96="",C96=0),"",IF(F96&lt;&gt;"",F96,B96*(1-$B$70))/C96)</f>
        <v>0</v>
      </c>
      <c r="H96" s="19"/>
    </row>
    <row r="97" spans="1:8">
      <c r="A97" s="41"/>
      <c r="B97" s="39"/>
      <c r="C97" s="45"/>
      <c r="D97" s="19">
        <f>IF(OR(B97="",C97=""),"",IF(C97=0,"",B97/C97))</f>
        <v>0</v>
      </c>
      <c r="E97" s="7">
        <f>IF(B97="","",IF(C97=0,"Différé",IF(B97&lt;0,"Critique",IF(D97&lt;$B$67,"Critique",IF(D97&lt;$C$67,"Vigilance",IF(D97&lt;$D$67,"Favorable","Très favorable"))))))</f>
        <v>0</v>
      </c>
      <c r="F97" s="39"/>
      <c r="G97" s="19">
        <f>IF(OR(B97="",C97="",C97=0),"",IF(F97&lt;&gt;"",F97,B97*(1-$B$70))/C97)</f>
        <v>0</v>
      </c>
      <c r="H97" s="19">
        <f>IF(AND($B$18="Semestrielle",B97&lt;&gt;"",B96&lt;&gt;"",N(C97)+N(C96)&gt;0),(B97+B96)/(C97+C96),"")</f>
        <v>0</v>
      </c>
    </row>
    <row r="98" spans="1:8">
      <c r="A98" s="41"/>
      <c r="B98" s="39"/>
      <c r="C98" s="45"/>
      <c r="D98" s="19">
        <f>IF(OR(B98="",C98=""),"",IF(C98=0,"",B98/C98))</f>
        <v>0</v>
      </c>
      <c r="E98" s="7">
        <f>IF(B98="","",IF(C98=0,"Différé",IF(B98&lt;0,"Critique",IF(D98&lt;$B$67,"Critique",IF(D98&lt;$C$67,"Vigilance",IF(D98&lt;$D$67,"Favorable","Très favorable"))))))</f>
        <v>0</v>
      </c>
      <c r="F98" s="39"/>
      <c r="G98" s="19">
        <f>IF(OR(B98="",C98="",C98=0),"",IF(F98&lt;&gt;"",F98,B98*(1-$B$70))/C98)</f>
        <v>0</v>
      </c>
      <c r="H98" s="19"/>
    </row>
    <row r="99" spans="1:8">
      <c r="A99" s="41"/>
      <c r="B99" s="39"/>
      <c r="C99" s="45"/>
      <c r="D99" s="19">
        <f>IF(OR(B99="",C99=""),"",IF(C99=0,"",B99/C99))</f>
        <v>0</v>
      </c>
      <c r="E99" s="7">
        <f>IF(B99="","",IF(C99=0,"Différé",IF(B99&lt;0,"Critique",IF(D99&lt;$B$67,"Critique",IF(D99&lt;$C$67,"Vigilance",IF(D99&lt;$D$67,"Favorable","Très favorable"))))))</f>
        <v>0</v>
      </c>
      <c r="F99" s="39"/>
      <c r="G99" s="19">
        <f>IF(OR(B99="",C99="",C99=0),"",IF(F99&lt;&gt;"",F99,B99*(1-$B$70))/C99)</f>
        <v>0</v>
      </c>
      <c r="H99" s="19">
        <f>IF(AND($B$18="Semestrielle",B99&lt;&gt;"",B98&lt;&gt;"",N(C99)+N(C98)&gt;0),(B99+B98)/(C99+C98),"")</f>
        <v>0</v>
      </c>
    </row>
    <row r="100" spans="1:8">
      <c r="A100" s="41"/>
      <c r="B100" s="39"/>
      <c r="C100" s="45"/>
      <c r="D100" s="19">
        <f>IF(OR(B100="",C100=""),"",IF(C100=0,"",B100/C100))</f>
        <v>0</v>
      </c>
      <c r="E100" s="7">
        <f>IF(B100="","",IF(C100=0,"Différé",IF(B100&lt;0,"Critique",IF(D100&lt;$B$67,"Critique",IF(D100&lt;$C$67,"Vigilance",IF(D100&lt;$D$67,"Favorable","Très favorable"))))))</f>
        <v>0</v>
      </c>
      <c r="F100" s="39"/>
      <c r="G100" s="19">
        <f>IF(OR(B100="",C100="",C100=0),"",IF(F100&lt;&gt;"",F100,B100*(1-$B$70))/C100)</f>
        <v>0</v>
      </c>
      <c r="H100" s="19"/>
    </row>
    <row r="101" spans="1:8">
      <c r="A101" s="41"/>
      <c r="B101" s="39"/>
      <c r="C101" s="45"/>
      <c r="D101" s="19">
        <f>IF(OR(B101="",C101=""),"",IF(C101=0,"",B101/C101))</f>
        <v>0</v>
      </c>
      <c r="E101" s="7">
        <f>IF(B101="","",IF(C101=0,"Différé",IF(B101&lt;0,"Critique",IF(D101&lt;$B$67,"Critique",IF(D101&lt;$C$67,"Vigilance",IF(D101&lt;$D$67,"Favorable","Très favorable"))))))</f>
        <v>0</v>
      </c>
      <c r="F101" s="39"/>
      <c r="G101" s="19">
        <f>IF(OR(B101="",C101="",C101=0),"",IF(F101&lt;&gt;"",F101,B101*(1-$B$70))/C101)</f>
        <v>0</v>
      </c>
      <c r="H101" s="19">
        <f>IF(AND($B$18="Semestrielle",B101&lt;&gt;"",B100&lt;&gt;"",N(C101)+N(C100)&gt;0),(B101+B100)/(C101+C100),"")</f>
        <v>0</v>
      </c>
    </row>
    <row r="102" spans="1:8">
      <c r="A102" s="41"/>
      <c r="B102" s="39"/>
      <c r="C102" s="45"/>
      <c r="D102" s="19">
        <f>IF(OR(B102="",C102=""),"",IF(C102=0,"",B102/C102))</f>
        <v>0</v>
      </c>
      <c r="E102" s="7">
        <f>IF(B102="","",IF(C102=0,"Différé",IF(B102&lt;0,"Critique",IF(D102&lt;$B$67,"Critique",IF(D102&lt;$C$67,"Vigilance",IF(D102&lt;$D$67,"Favorable","Très favorable"))))))</f>
        <v>0</v>
      </c>
      <c r="F102" s="39"/>
      <c r="G102" s="19">
        <f>IF(OR(B102="",C102="",C102=0),"",IF(F102&lt;&gt;"",F102,B102*(1-$B$70))/C102)</f>
        <v>0</v>
      </c>
      <c r="H102" s="19"/>
    </row>
    <row r="103" spans="1:8">
      <c r="A103" s="41"/>
      <c r="B103" s="39"/>
      <c r="C103" s="45"/>
      <c r="D103" s="19">
        <f>IF(OR(B103="",C103=""),"",IF(C103=0,"",B103/C103))</f>
        <v>0</v>
      </c>
      <c r="E103" s="7">
        <f>IF(B103="","",IF(C103=0,"Différé",IF(B103&lt;0,"Critique",IF(D103&lt;$B$67,"Critique",IF(D103&lt;$C$67,"Vigilance",IF(D103&lt;$D$67,"Favorable","Très favorable"))))))</f>
        <v>0</v>
      </c>
      <c r="F103" s="39"/>
      <c r="G103" s="19">
        <f>IF(OR(B103="",C103="",C103=0),"",IF(F103&lt;&gt;"",F103,B103*(1-$B$70))/C103)</f>
        <v>0</v>
      </c>
      <c r="H103" s="19">
        <f>IF(AND($B$18="Semestrielle",B103&lt;&gt;"",B102&lt;&gt;"",N(C103)+N(C102)&gt;0),(B103+B102)/(C103+C102),"")</f>
        <v>0</v>
      </c>
    </row>
    <row r="104" spans="1:8">
      <c r="A104" s="41"/>
      <c r="B104" s="39"/>
      <c r="C104" s="45"/>
      <c r="D104" s="19">
        <f>IF(OR(B104="",C104=""),"",IF(C104=0,"",B104/C104))</f>
        <v>0</v>
      </c>
      <c r="E104" s="7">
        <f>IF(B104="","",IF(C104=0,"Différé",IF(B104&lt;0,"Critique",IF(D104&lt;$B$67,"Critique",IF(D104&lt;$C$67,"Vigilance",IF(D104&lt;$D$67,"Favorable","Très favorable"))))))</f>
        <v>0</v>
      </c>
      <c r="F104" s="39"/>
      <c r="G104" s="19">
        <f>IF(OR(B104="",C104="",C104=0),"",IF(F104&lt;&gt;"",F104,B104*(1-$B$70))/C104)</f>
        <v>0</v>
      </c>
      <c r="H104" s="19"/>
    </row>
    <row r="105" spans="1:8">
      <c r="A105" s="41"/>
      <c r="B105" s="39"/>
      <c r="C105" s="45"/>
      <c r="D105" s="19">
        <f>IF(OR(B105="",C105=""),"",IF(C105=0,"",B105/C105))</f>
        <v>0</v>
      </c>
      <c r="E105" s="7">
        <f>IF(B105="","",IF(C105=0,"Différé",IF(B105&lt;0,"Critique",IF(D105&lt;$B$67,"Critique",IF(D105&lt;$C$67,"Vigilance",IF(D105&lt;$D$67,"Favorable","Très favorable"))))))</f>
        <v>0</v>
      </c>
      <c r="F105" s="39"/>
      <c r="G105" s="19">
        <f>IF(OR(B105="",C105="",C105=0),"",IF(F105&lt;&gt;"",F105,B105*(1-$B$70))/C105)</f>
        <v>0</v>
      </c>
      <c r="H105" s="19">
        <f>IF(AND($B$18="Semestrielle",B105&lt;&gt;"",B104&lt;&gt;"",N(C105)+N(C104)&gt;0),(B105+B104)/(C105+C104),"")</f>
        <v>0</v>
      </c>
    </row>
    <row r="106" spans="1:8">
      <c r="A106" s="41"/>
      <c r="B106" s="39"/>
      <c r="C106" s="45"/>
      <c r="D106" s="19">
        <f>IF(OR(B106="",C106=""),"",IF(C106=0,"",B106/C106))</f>
        <v>0</v>
      </c>
      <c r="E106" s="7">
        <f>IF(B106="","",IF(C106=0,"Différé",IF(B106&lt;0,"Critique",IF(D106&lt;$B$67,"Critique",IF(D106&lt;$C$67,"Vigilance",IF(D106&lt;$D$67,"Favorable","Très favorable"))))))</f>
        <v>0</v>
      </c>
      <c r="F106" s="39"/>
      <c r="G106" s="19">
        <f>IF(OR(B106="",C106="",C106=0),"",IF(F106&lt;&gt;"",F106,B106*(1-$B$70))/C106)</f>
        <v>0</v>
      </c>
      <c r="H106" s="19"/>
    </row>
    <row r="107" spans="1:8">
      <c r="A107" s="41"/>
      <c r="B107" s="39"/>
      <c r="C107" s="45"/>
      <c r="D107" s="19">
        <f>IF(OR(B107="",C107=""),"",IF(C107=0,"",B107/C107))</f>
        <v>0</v>
      </c>
      <c r="E107" s="7">
        <f>IF(B107="","",IF(C107=0,"Différé",IF(B107&lt;0,"Critique",IF(D107&lt;$B$67,"Critique",IF(D107&lt;$C$67,"Vigilance",IF(D107&lt;$D$67,"Favorable","Très favorable"))))))</f>
        <v>0</v>
      </c>
      <c r="F107" s="39"/>
      <c r="G107" s="19">
        <f>IF(OR(B107="",C107="",C107=0),"",IF(F107&lt;&gt;"",F107,B107*(1-$B$70))/C107)</f>
        <v>0</v>
      </c>
      <c r="H107" s="19">
        <f>IF(AND($B$18="Semestrielle",B107&lt;&gt;"",B106&lt;&gt;"",N(C107)+N(C106)&gt;0),(B107+B106)/(C107+C106),"")</f>
        <v>0</v>
      </c>
    </row>
    <row r="108" spans="1:8">
      <c r="A108" s="41"/>
      <c r="B108" s="39"/>
      <c r="C108" s="45"/>
      <c r="D108" s="19">
        <f>IF(OR(B108="",C108=""),"",IF(C108=0,"",B108/C108))</f>
        <v>0</v>
      </c>
      <c r="E108" s="7">
        <f>IF(B108="","",IF(C108=0,"Différé",IF(B108&lt;0,"Critique",IF(D108&lt;$B$67,"Critique",IF(D108&lt;$C$67,"Vigilance",IF(D108&lt;$D$67,"Favorable","Très favorable"))))))</f>
        <v>0</v>
      </c>
      <c r="F108" s="39"/>
      <c r="G108" s="19">
        <f>IF(OR(B108="",C108="",C108=0),"",IF(F108&lt;&gt;"",F108,B108*(1-$B$70))/C108)</f>
        <v>0</v>
      </c>
      <c r="H108" s="19"/>
    </row>
    <row r="109" spans="1:8">
      <c r="A109" s="41"/>
      <c r="B109" s="39"/>
      <c r="C109" s="45"/>
      <c r="D109" s="19">
        <f>IF(OR(B109="",C109=""),"",IF(C109=0,"",B109/C109))</f>
        <v>0</v>
      </c>
      <c r="E109" s="7">
        <f>IF(B109="","",IF(C109=0,"Différé",IF(B109&lt;0,"Critique",IF(D109&lt;$B$67,"Critique",IF(D109&lt;$C$67,"Vigilance",IF(D109&lt;$D$67,"Favorable","Très favorable"))))))</f>
        <v>0</v>
      </c>
      <c r="F109" s="39"/>
      <c r="G109" s="19">
        <f>IF(OR(B109="",C109="",C109=0),"",IF(F109&lt;&gt;"",F109,B109*(1-$B$70))/C109)</f>
        <v>0</v>
      </c>
      <c r="H109" s="19">
        <f>IF(AND($B$18="Semestrielle",B109&lt;&gt;"",B108&lt;&gt;"",N(C109)+N(C108)&gt;0),(B109+B108)/(C109+C108),"")</f>
        <v>0</v>
      </c>
    </row>
    <row r="110" spans="1:8">
      <c r="A110" s="41"/>
      <c r="B110" s="39"/>
      <c r="C110" s="45"/>
      <c r="D110" s="19">
        <f>IF(OR(B110="",C110=""),"",IF(C110=0,"",B110/C110))</f>
        <v>0</v>
      </c>
      <c r="E110" s="7">
        <f>IF(B110="","",IF(C110=0,"Différé",IF(B110&lt;0,"Critique",IF(D110&lt;$B$67,"Critique",IF(D110&lt;$C$67,"Vigilance",IF(D110&lt;$D$67,"Favorable","Très favorable"))))))</f>
        <v>0</v>
      </c>
      <c r="F110" s="39"/>
      <c r="G110" s="19">
        <f>IF(OR(B110="",C110="",C110=0),"",IF(F110&lt;&gt;"",F110,B110*(1-$B$70))/C110)</f>
        <v>0</v>
      </c>
      <c r="H110" s="19"/>
    </row>
    <row r="111" spans="1:8">
      <c r="A111" s="41"/>
      <c r="B111" s="39"/>
      <c r="C111" s="45"/>
      <c r="D111" s="19">
        <f>IF(OR(B111="",C111=""),"",IF(C111=0,"",B111/C111))</f>
        <v>0</v>
      </c>
      <c r="E111" s="7">
        <f>IF(B111="","",IF(C111=0,"Différé",IF(B111&lt;0,"Critique",IF(D111&lt;$B$67,"Critique",IF(D111&lt;$C$67,"Vigilance",IF(D111&lt;$D$67,"Favorable","Très favorable"))))))</f>
        <v>0</v>
      </c>
      <c r="F111" s="39"/>
      <c r="G111" s="19">
        <f>IF(OR(B111="",C111="",C111=0),"",IF(F111&lt;&gt;"",F111,B111*(1-$B$70))/C111)</f>
        <v>0</v>
      </c>
      <c r="H111" s="19">
        <f>IF(AND($B$18="Semestrielle",B111&lt;&gt;"",B110&lt;&gt;"",N(C111)+N(C110)&gt;0),(B111+B110)/(C111+C110),"")</f>
        <v>0</v>
      </c>
    </row>
    <row r="112" spans="1:8">
      <c r="A112" s="41"/>
      <c r="B112" s="39"/>
      <c r="C112" s="45"/>
      <c r="D112" s="19">
        <f>IF(OR(B112="",C112=""),"",IF(C112=0,"",B112/C112))</f>
        <v>0</v>
      </c>
      <c r="E112" s="7">
        <f>IF(B112="","",IF(C112=0,"Différé",IF(B112&lt;0,"Critique",IF(D112&lt;$B$67,"Critique",IF(D112&lt;$C$67,"Vigilance",IF(D112&lt;$D$67,"Favorable","Très favorable"))))))</f>
        <v>0</v>
      </c>
      <c r="F112" s="39"/>
      <c r="G112" s="19">
        <f>IF(OR(B112="",C112="",C112=0),"",IF(F112&lt;&gt;"",F112,B112*(1-$B$70))/C112)</f>
        <v>0</v>
      </c>
      <c r="H112" s="19"/>
    </row>
    <row r="113" spans="1:8">
      <c r="A113" s="41"/>
      <c r="B113" s="39"/>
      <c r="C113" s="45"/>
      <c r="D113" s="19">
        <f>IF(OR(B113="",C113=""),"",IF(C113=0,"",B113/C113))</f>
        <v>0</v>
      </c>
      <c r="E113" s="7">
        <f>IF(B113="","",IF(C113=0,"Différé",IF(B113&lt;0,"Critique",IF(D113&lt;$B$67,"Critique",IF(D113&lt;$C$67,"Vigilance",IF(D113&lt;$D$67,"Favorable","Très favorable"))))))</f>
        <v>0</v>
      </c>
      <c r="F113" s="39"/>
      <c r="G113" s="19">
        <f>IF(OR(B113="",C113="",C113=0),"",IF(F113&lt;&gt;"",F113,B113*(1-$B$70))/C113)</f>
        <v>0</v>
      </c>
      <c r="H113" s="19">
        <f>IF(AND($B$18="Semestrielle",B113&lt;&gt;"",B112&lt;&gt;"",N(C113)+N(C112)&gt;0),(B113+B112)/(C113+C112),"")</f>
        <v>0</v>
      </c>
    </row>
    <row r="114" spans="1:8">
      <c r="A114" s="41"/>
      <c r="B114" s="39"/>
      <c r="C114" s="45"/>
      <c r="D114" s="19">
        <f>IF(OR(B114="",C114=""),"",IF(C114=0,"",B114/C114))</f>
        <v>0</v>
      </c>
      <c r="E114" s="7">
        <f>IF(B114="","",IF(C114=0,"Différé",IF(B114&lt;0,"Critique",IF(D114&lt;$B$67,"Critique",IF(D114&lt;$C$67,"Vigilance",IF(D114&lt;$D$67,"Favorable","Très favorable"))))))</f>
        <v>0</v>
      </c>
      <c r="F114" s="39"/>
      <c r="G114" s="19">
        <f>IF(OR(B114="",C114="",C114=0),"",IF(F114&lt;&gt;"",F114,B114*(1-$B$70))/C114)</f>
        <v>0</v>
      </c>
      <c r="H114" s="19"/>
    </row>
    <row r="115" spans="1:8">
      <c r="A115" s="41"/>
      <c r="B115" s="39"/>
      <c r="C115" s="45"/>
      <c r="D115" s="19">
        <f>IF(OR(B115="",C115=""),"",IF(C115=0,"",B115/C115))</f>
        <v>0</v>
      </c>
      <c r="E115" s="7">
        <f>IF(B115="","",IF(C115=0,"Différé",IF(B115&lt;0,"Critique",IF(D115&lt;$B$67,"Critique",IF(D115&lt;$C$67,"Vigilance",IF(D115&lt;$D$67,"Favorable","Très favorable"))))))</f>
        <v>0</v>
      </c>
      <c r="F115" s="39"/>
      <c r="G115" s="19">
        <f>IF(OR(B115="",C115="",C115=0),"",IF(F115&lt;&gt;"",F115,B115*(1-$B$70))/C115)</f>
        <v>0</v>
      </c>
      <c r="H115" s="19">
        <f>IF(AND($B$18="Semestrielle",B115&lt;&gt;"",B114&lt;&gt;"",N(C115)+N(C114)&gt;0),(B115+B114)/(C115+C114),"")</f>
        <v>0</v>
      </c>
    </row>
    <row r="116" spans="1:8">
      <c r="A116" s="41"/>
      <c r="B116" s="39"/>
      <c r="C116" s="45"/>
      <c r="D116" s="19">
        <f>IF(OR(B116="",C116=""),"",IF(C116=0,"",B116/C116))</f>
        <v>0</v>
      </c>
      <c r="E116" s="7">
        <f>IF(B116="","",IF(C116=0,"Différé",IF(B116&lt;0,"Critique",IF(D116&lt;$B$67,"Critique",IF(D116&lt;$C$67,"Vigilance",IF(D116&lt;$D$67,"Favorable","Très favorable"))))))</f>
        <v>0</v>
      </c>
      <c r="F116" s="39"/>
      <c r="G116" s="19">
        <f>IF(OR(B116="",C116="",C116=0),"",IF(F116&lt;&gt;"",F116,B116*(1-$B$70))/C116)</f>
        <v>0</v>
      </c>
      <c r="H116" s="19"/>
    </row>
    <row r="117" spans="1:8">
      <c r="A117" s="41"/>
      <c r="B117" s="39"/>
      <c r="C117" s="45"/>
      <c r="D117" s="19">
        <f>IF(OR(B117="",C117=""),"",IF(C117=0,"",B117/C117))</f>
        <v>0</v>
      </c>
      <c r="E117" s="7">
        <f>IF(B117="","",IF(C117=0,"Différé",IF(B117&lt;0,"Critique",IF(D117&lt;$B$67,"Critique",IF(D117&lt;$C$67,"Vigilance",IF(D117&lt;$D$67,"Favorable","Très favorable"))))))</f>
        <v>0</v>
      </c>
      <c r="F117" s="39"/>
      <c r="G117" s="19">
        <f>IF(OR(B117="",C117="",C117=0),"",IF(F117&lt;&gt;"",F117,B117*(1-$B$70))/C117)</f>
        <v>0</v>
      </c>
      <c r="H117" s="19">
        <f>IF(AND($B$18="Semestrielle",B117&lt;&gt;"",B116&lt;&gt;"",N(C117)+N(C116)&gt;0),(B117+B116)/(C117+C116),"")</f>
        <v>0</v>
      </c>
    </row>
    <row r="118" spans="1:8">
      <c r="A118" s="41"/>
      <c r="B118" s="39"/>
      <c r="C118" s="45"/>
      <c r="D118" s="19">
        <f>IF(OR(B118="",C118=""),"",IF(C118=0,"",B118/C118))</f>
        <v>0</v>
      </c>
      <c r="E118" s="7">
        <f>IF(B118="","",IF(C118=0,"Différé",IF(B118&lt;0,"Critique",IF(D118&lt;$B$67,"Critique",IF(D118&lt;$C$67,"Vigilance",IF(D118&lt;$D$67,"Favorable","Très favorable"))))))</f>
        <v>0</v>
      </c>
      <c r="F118" s="39"/>
      <c r="G118" s="19">
        <f>IF(OR(B118="",C118="",C118=0),"",IF(F118&lt;&gt;"",F118,B118*(1-$B$70))/C118)</f>
        <v>0</v>
      </c>
      <c r="H118" s="19"/>
    </row>
    <row r="119" spans="1:8">
      <c r="A119" s="41"/>
      <c r="B119" s="39"/>
      <c r="C119" s="45"/>
      <c r="D119" s="19">
        <f>IF(OR(B119="",C119=""),"",IF(C119=0,"",B119/C119))</f>
        <v>0</v>
      </c>
      <c r="E119" s="7">
        <f>IF(B119="","",IF(C119=0,"Différé",IF(B119&lt;0,"Critique",IF(D119&lt;$B$67,"Critique",IF(D119&lt;$C$67,"Vigilance",IF(D119&lt;$D$67,"Favorable","Très favorable"))))))</f>
        <v>0</v>
      </c>
      <c r="F119" s="39"/>
      <c r="G119" s="19">
        <f>IF(OR(B119="",C119="",C119=0),"",IF(F119&lt;&gt;"",F119,B119*(1-$B$70))/C119)</f>
        <v>0</v>
      </c>
      <c r="H119" s="19">
        <f>IF(AND($B$18="Semestrielle",B119&lt;&gt;"",B118&lt;&gt;"",N(C119)+N(C118)&gt;0),(B119+B118)/(C119+C118),"")</f>
        <v>0</v>
      </c>
    </row>
    <row r="120" spans="1:8">
      <c r="A120" s="41"/>
      <c r="B120" s="39"/>
      <c r="C120" s="45"/>
      <c r="D120" s="19">
        <f>IF(OR(B120="",C120=""),"",IF(C120=0,"",B120/C120))</f>
        <v>0</v>
      </c>
      <c r="E120" s="7">
        <f>IF(B120="","",IF(C120=0,"Différé",IF(B120&lt;0,"Critique",IF(D120&lt;$B$67,"Critique",IF(D120&lt;$C$67,"Vigilance",IF(D120&lt;$D$67,"Favorable","Très favorable"))))))</f>
        <v>0</v>
      </c>
      <c r="F120" s="39"/>
      <c r="G120" s="19">
        <f>IF(OR(B120="",C120="",C120=0),"",IF(F120&lt;&gt;"",F120,B120*(1-$B$70))/C120)</f>
        <v>0</v>
      </c>
      <c r="H120" s="19"/>
    </row>
    <row r="121" spans="1:8">
      <c r="A121" s="41"/>
      <c r="B121" s="39"/>
      <c r="C121" s="45"/>
      <c r="D121" s="19">
        <f>IF(OR(B121="",C121=""),"",IF(C121=0,"",B121/C121))</f>
        <v>0</v>
      </c>
      <c r="E121" s="7">
        <f>IF(B121="","",IF(C121=0,"Différé",IF(B121&lt;0,"Critique",IF(D121&lt;$B$67,"Critique",IF(D121&lt;$C$67,"Vigilance",IF(D121&lt;$D$67,"Favorable","Très favorable"))))))</f>
        <v>0</v>
      </c>
      <c r="F121" s="39"/>
      <c r="G121" s="19">
        <f>IF(OR(B121="",C121="",C121=0),"",IF(F121&lt;&gt;"",F121,B121*(1-$B$70))/C121)</f>
        <v>0</v>
      </c>
      <c r="H121" s="19">
        <f>IF(AND($B$18="Semestrielle",B121&lt;&gt;"",B120&lt;&gt;"",N(C121)+N(C120)&gt;0),(B121+B120)/(C121+C120),"")</f>
        <v>0</v>
      </c>
    </row>
    <row r="122" spans="1:8">
      <c r="A122" s="41"/>
      <c r="B122" s="39"/>
      <c r="C122" s="45"/>
      <c r="D122" s="19">
        <f>IF(OR(B122="",C122=""),"",IF(C122=0,"",B122/C122))</f>
        <v>0</v>
      </c>
      <c r="E122" s="7">
        <f>IF(B122="","",IF(C122=0,"Différé",IF(B122&lt;0,"Critique",IF(D122&lt;$B$67,"Critique",IF(D122&lt;$C$67,"Vigilance",IF(D122&lt;$D$67,"Favorable","Très favorable"))))))</f>
        <v>0</v>
      </c>
      <c r="F122" s="39"/>
      <c r="G122" s="19">
        <f>IF(OR(B122="",C122="",C122=0),"",IF(F122&lt;&gt;"",F122,B122*(1-$B$70))/C122)</f>
        <v>0</v>
      </c>
      <c r="H122" s="19"/>
    </row>
    <row r="123" spans="1:8">
      <c r="A123" s="41"/>
      <c r="B123" s="39"/>
      <c r="C123" s="45"/>
      <c r="D123" s="19">
        <f>IF(OR(B123="",C123=""),"",IF(C123=0,"",B123/C123))</f>
        <v>0</v>
      </c>
      <c r="E123" s="7">
        <f>IF(B123="","",IF(C123=0,"Différé",IF(B123&lt;0,"Critique",IF(D123&lt;$B$67,"Critique",IF(D123&lt;$C$67,"Vigilance",IF(D123&lt;$D$67,"Favorable","Très favorable"))))))</f>
        <v>0</v>
      </c>
      <c r="F123" s="39"/>
      <c r="G123" s="19">
        <f>IF(OR(B123="",C123="",C123=0),"",IF(F123&lt;&gt;"",F123,B123*(1-$B$70))/C123)</f>
        <v>0</v>
      </c>
      <c r="H123" s="19">
        <f>IF(AND($B$18="Semestrielle",B123&lt;&gt;"",B122&lt;&gt;"",N(C123)+N(C122)&gt;0),(B123+B122)/(C123+C122),"")</f>
        <v>0</v>
      </c>
    </row>
    <row r="124" spans="1:8">
      <c r="A124" s="41"/>
      <c r="B124" s="39"/>
      <c r="C124" s="45"/>
      <c r="D124" s="19">
        <f>IF(OR(B124="",C124=""),"",IF(C124=0,"",B124/C124))</f>
        <v>0</v>
      </c>
      <c r="E124" s="7">
        <f>IF(B124="","",IF(C124=0,"Différé",IF(B124&lt;0,"Critique",IF(D124&lt;$B$67,"Critique",IF(D124&lt;$C$67,"Vigilance",IF(D124&lt;$D$67,"Favorable","Très favorable"))))))</f>
        <v>0</v>
      </c>
      <c r="F124" s="39"/>
      <c r="G124" s="19">
        <f>IF(OR(B124="",C124="",C124=0),"",IF(F124&lt;&gt;"",F124,B124*(1-$B$70))/C124)</f>
        <v>0</v>
      </c>
      <c r="H124" s="19"/>
    </row>
    <row r="125" spans="1:8">
      <c r="A125" s="41"/>
      <c r="B125" s="39"/>
      <c r="C125" s="45"/>
      <c r="D125" s="19">
        <f>IF(OR(B125="",C125=""),"",IF(C125=0,"",B125/C125))</f>
        <v>0</v>
      </c>
      <c r="E125" s="7">
        <f>IF(B125="","",IF(C125=0,"Différé",IF(B125&lt;0,"Critique",IF(D125&lt;$B$67,"Critique",IF(D125&lt;$C$67,"Vigilance",IF(D125&lt;$D$67,"Favorable","Très favorable"))))))</f>
        <v>0</v>
      </c>
      <c r="F125" s="39"/>
      <c r="G125" s="19">
        <f>IF(OR(B125="",C125="",C125=0),"",IF(F125&lt;&gt;"",F125,B125*(1-$B$70))/C125)</f>
        <v>0</v>
      </c>
      <c r="H125" s="19">
        <f>IF(AND($B$18="Semestrielle",B125&lt;&gt;"",B124&lt;&gt;"",N(C125)+N(C124)&gt;0),(B125+B124)/(C125+C124),"")</f>
        <v>0</v>
      </c>
    </row>
    <row r="126" spans="1:8">
      <c r="A126" s="41"/>
      <c r="B126" s="39"/>
      <c r="C126" s="45"/>
      <c r="D126" s="19">
        <f>IF(OR(B126="",C126=""),"",IF(C126=0,"",B126/C126))</f>
        <v>0</v>
      </c>
      <c r="E126" s="7">
        <f>IF(B126="","",IF(C126=0,"Différé",IF(B126&lt;0,"Critique",IF(D126&lt;$B$67,"Critique",IF(D126&lt;$C$67,"Vigilance",IF(D126&lt;$D$67,"Favorable","Très favorable"))))))</f>
        <v>0</v>
      </c>
      <c r="F126" s="39"/>
      <c r="G126" s="19">
        <f>IF(OR(B126="",C126="",C126=0),"",IF(F126&lt;&gt;"",F126,B126*(1-$B$70))/C126)</f>
        <v>0</v>
      </c>
      <c r="H126" s="19"/>
    </row>
    <row r="127" spans="1:8">
      <c r="A127" s="41"/>
      <c r="B127" s="39"/>
      <c r="C127" s="45"/>
      <c r="D127" s="19">
        <f>IF(OR(B127="",C127=""),"",IF(C127=0,"",B127/C127))</f>
        <v>0</v>
      </c>
      <c r="E127" s="7">
        <f>IF(B127="","",IF(C127=0,"Différé",IF(B127&lt;0,"Critique",IF(D127&lt;$B$67,"Critique",IF(D127&lt;$C$67,"Vigilance",IF(D127&lt;$D$67,"Favorable","Très favorable"))))))</f>
        <v>0</v>
      </c>
      <c r="F127" s="39"/>
      <c r="G127" s="19">
        <f>IF(OR(B127="",C127="",C127=0),"",IF(F127&lt;&gt;"",F127,B127*(1-$B$70))/C127)</f>
        <v>0</v>
      </c>
      <c r="H127" s="19">
        <f>IF(AND($B$18="Semestrielle",B127&lt;&gt;"",B126&lt;&gt;"",N(C127)+N(C126)&gt;0),(B127+B126)/(C127+C126),"")</f>
        <v>0</v>
      </c>
    </row>
    <row r="128" spans="1:8">
      <c r="A128" s="41"/>
      <c r="B128" s="39"/>
      <c r="C128" s="45"/>
      <c r="D128" s="19">
        <f>IF(OR(B128="",C128=""),"",IF(C128=0,"",B128/C128))</f>
        <v>0</v>
      </c>
      <c r="E128" s="7">
        <f>IF(B128="","",IF(C128=0,"Différé",IF(B128&lt;0,"Critique",IF(D128&lt;$B$67,"Critique",IF(D128&lt;$C$67,"Vigilance",IF(D128&lt;$D$67,"Favorable","Très favorable"))))))</f>
        <v>0</v>
      </c>
      <c r="F128" s="39"/>
      <c r="G128" s="19">
        <f>IF(OR(B128="",C128="",C128=0),"",IF(F128&lt;&gt;"",F128,B128*(1-$B$70))/C128)</f>
        <v>0</v>
      </c>
      <c r="H128" s="19"/>
    </row>
    <row r="129" spans="1:8">
      <c r="A129" s="41"/>
      <c r="B129" s="39"/>
      <c r="C129" s="45"/>
      <c r="D129" s="19">
        <f>IF(OR(B129="",C129=""),"",IF(C129=0,"",B129/C129))</f>
        <v>0</v>
      </c>
      <c r="E129" s="7">
        <f>IF(B129="","",IF(C129=0,"Différé",IF(B129&lt;0,"Critique",IF(D129&lt;$B$67,"Critique",IF(D129&lt;$C$67,"Vigilance",IF(D129&lt;$D$67,"Favorable","Très favorable"))))))</f>
        <v>0</v>
      </c>
      <c r="F129" s="39"/>
      <c r="G129" s="19">
        <f>IF(OR(B129="",C129="",C129=0),"",IF(F129&lt;&gt;"",F129,B129*(1-$B$70))/C129)</f>
        <v>0</v>
      </c>
      <c r="H129" s="19">
        <f>IF(AND($B$18="Semestrielle",B129&lt;&gt;"",B128&lt;&gt;"",N(C129)+N(C128)&gt;0),(B129+B128)/(C129+C128),"")</f>
        <v>0</v>
      </c>
    </row>
    <row r="130" spans="1:8">
      <c r="A130" s="41"/>
      <c r="B130" s="39"/>
      <c r="C130" s="45"/>
      <c r="D130" s="19">
        <f>IF(OR(B130="",C130=""),"",IF(C130=0,"",B130/C130))</f>
        <v>0</v>
      </c>
      <c r="E130" s="7">
        <f>IF(B130="","",IF(C130=0,"Différé",IF(B130&lt;0,"Critique",IF(D130&lt;$B$67,"Critique",IF(D130&lt;$C$67,"Vigilance",IF(D130&lt;$D$67,"Favorable","Très favorable"))))))</f>
        <v>0</v>
      </c>
      <c r="F130" s="39"/>
      <c r="G130" s="19">
        <f>IF(OR(B130="",C130="",C130=0),"",IF(F130&lt;&gt;"",F130,B130*(1-$B$70))/C130)</f>
        <v>0</v>
      </c>
      <c r="H130" s="19"/>
    </row>
    <row r="131" spans="1:8">
      <c r="A131" s="41"/>
      <c r="B131" s="39"/>
      <c r="C131" s="45"/>
      <c r="D131" s="19">
        <f>IF(OR(B131="",C131=""),"",IF(C131=0,"",B131/C131))</f>
        <v>0</v>
      </c>
      <c r="E131" s="7">
        <f>IF(B131="","",IF(C131=0,"Différé",IF(B131&lt;0,"Critique",IF(D131&lt;$B$67,"Critique",IF(D131&lt;$C$67,"Vigilance",IF(D131&lt;$D$67,"Favorable","Très favorable"))))))</f>
        <v>0</v>
      </c>
      <c r="F131" s="39"/>
      <c r="G131" s="19">
        <f>IF(OR(B131="",C131="",C131=0),"",IF(F131&lt;&gt;"",F131,B131*(1-$B$70))/C131)</f>
        <v>0</v>
      </c>
      <c r="H131" s="19">
        <f>IF(AND($B$18="Semestrielle",B131&lt;&gt;"",B130&lt;&gt;"",N(C131)+N(C130)&gt;0),(B131+B130)/(C131+C130),"")</f>
        <v>0</v>
      </c>
    </row>
    <row r="133" spans="1:8">
      <c r="A133" s="21" t="s">
        <v>381</v>
      </c>
      <c r="D133" s="35">
        <f>IF(COUNT(D72:D131)=0,"",MIN(D72:D131))</f>
        <v>0</v>
      </c>
      <c r="E133" s="7">
        <f>IF(D133="","",IF(F133&gt;0,"Critique",IF(D133&lt;$B$67,"Critique",IF(D133&lt;$C$67,"Vigilance",IF(D133&lt;$D$67,"Favorable","Très favorable")))))</f>
        <v>0</v>
      </c>
      <c r="F133" s="31">
        <f>COUNTIF(B72:B131,"&lt;0")</f>
        <v>0</v>
      </c>
    </row>
    <row r="134" spans="1:8">
      <c r="A134" s="21" t="s">
        <v>382</v>
      </c>
      <c r="D134" s="35">
        <f>IF(COUNT(G72:G131)=0,"",MIN(G72:G131))</f>
        <v>0</v>
      </c>
      <c r="E134" s="7">
        <f>IF(D134="","",IF(D134&lt;$B$67,"Critique",IF(D134&lt;$C$67,"Vigilance",IF(D134&lt;$D$67,"Favorable","Très favorable"))))</f>
        <v>0</v>
      </c>
    </row>
    <row r="135" spans="1:8">
      <c r="A135" s="17" t="s">
        <v>383</v>
      </c>
      <c r="D135" s="19">
        <f>IF(SUM(C72:C131)=0,"",SUM(B72:B131)/SUM(C72:C131))</f>
        <v>0</v>
      </c>
    </row>
    <row r="136" spans="1:8">
      <c r="A136" s="17" t="s">
        <v>384</v>
      </c>
      <c r="D136" s="19">
        <f>IF(COUNT(H72:H131)=0,"",MIN(H72:H131))</f>
        <v>0</v>
      </c>
    </row>
    <row r="137" spans="1:8">
      <c r="A137" s="17" t="s">
        <v>385</v>
      </c>
      <c r="D137" s="15">
        <f>COUNT(B72:B131)</f>
        <v>0</v>
      </c>
    </row>
    <row r="140" spans="1:8">
      <c r="A140" s="3" t="s">
        <v>386</v>
      </c>
      <c r="B140" s="3"/>
      <c r="C140" s="3"/>
      <c r="D140" s="3"/>
      <c r="E140" s="3"/>
      <c r="F140" s="3"/>
      <c r="G140" s="3"/>
      <c r="H140" s="3"/>
    </row>
    <row r="141" spans="1:8">
      <c r="A141" s="11" t="s">
        <v>76</v>
      </c>
      <c r="B141" s="11" t="s">
        <v>108</v>
      </c>
      <c r="C141" s="11" t="s">
        <v>77</v>
      </c>
      <c r="D141" s="11" t="s">
        <v>387</v>
      </c>
      <c r="E141" s="11" t="s">
        <v>388</v>
      </c>
      <c r="F141" s="11"/>
      <c r="G141" s="11"/>
      <c r="H141" s="11"/>
    </row>
    <row r="142" spans="1:8">
      <c r="A142" s="17" t="s">
        <v>389</v>
      </c>
      <c r="B142" s="7">
        <f>IF($D$133="","",IF($F$133&gt;0,P_Ancre_C,IF($D$133&lt;$B$67,P_Ancre_C,IF($D$133&lt;$C$67,P_Ancre_V,IF($D$133&lt;$D$67,P_Ancre_F,P_Ancre_TF)))))</f>
        <v>0</v>
      </c>
      <c r="C142" s="27">
        <f>INDEX(P_PoidsN,1)</f>
        <v>0</v>
      </c>
      <c r="D142" s="20">
        <f>IF(ISNUMBER(B142),B142,P_InfoInsuff)*C142</f>
        <v>0</v>
      </c>
      <c r="E142" s="13">
        <f>IF($D$133="","",IF($F$133&gt;0,"CFADS négatif sur au moins une période : Critique d'office","DSCR minimum "&amp;FIXED($D$133,3)&amp;" face au seuil critique "&amp;FIXED($B$67,2)&amp;" du couple "&amp;$B$15&amp;" × "&amp;$B$16))</f>
        <v>0</v>
      </c>
      <c r="F142" s="13"/>
      <c r="G142" s="13"/>
      <c r="H142" s="13"/>
    </row>
    <row r="143" spans="1:8">
      <c r="A143" s="17" t="s">
        <v>390</v>
      </c>
      <c r="B143" s="7">
        <f>IF($D$134="","",IF($D$134&lt;$B$67,P_Ancre_C,IF($D$134&lt;$C$67,P_Ancre_V,IF($D$134&lt;$D$67,P_Ancre_F,P_Ancre_TF))))</f>
        <v>0</v>
      </c>
      <c r="C143" s="27">
        <f>INDEX(P_PoidsN,2)</f>
        <v>0</v>
      </c>
      <c r="D143" s="20">
        <f>IF(ISNUMBER(B143),B143,P_InfoInsuff)*C143</f>
        <v>0</v>
      </c>
      <c r="E143" s="13">
        <f>IF($D$134="","","DSCR stressé minimum "&amp;FIXED($D$134,3)&amp;" — "&amp;$C$70)</f>
        <v>0</v>
      </c>
      <c r="F143" s="13"/>
      <c r="G143" s="13"/>
      <c r="H143" s="13"/>
    </row>
    <row r="144" spans="1:8">
      <c r="A144" s="17" t="s">
        <v>391</v>
      </c>
      <c r="B144" s="7">
        <f>IF($B$17="P1",IF($B$48="","",IF($B$48&gt;=P_N3_TF,P_Ancre_TF,IF($B$48&gt;=P_N3_F,P_Ancre_F,IF(AND($B$48&gt;=P_N3_V,$B$50="Oui"),P_Ancre_V,P_Ancre_C)))),IF($B$150="","",$B$150))</f>
        <v>0</v>
      </c>
      <c r="C144" s="27">
        <f>INDEX(P_PoidsN,3)</f>
        <v>0</v>
      </c>
      <c r="D144" s="20">
        <f>IF(ISNUMBER(B144),B144,P_InfoInsuff)*C144</f>
        <v>0</v>
      </c>
      <c r="E144" s="13">
        <f>IF($B$17="P1",IF($B$48="","","Phase P1 : test de financement à terminaison, couverture "&amp;FIXED($B$48*100,1)&amp;" %"),"LLCR "&amp;IF($B$151="","non renseigné",FIXED($B$151,2))&amp;" — note N3 saisie ligne 150")</f>
        <v>0</v>
      </c>
      <c r="F144" s="13"/>
      <c r="G144" s="13"/>
      <c r="H144" s="13"/>
    </row>
    <row r="145" spans="1:8">
      <c r="A145" s="17" t="s">
        <v>392</v>
      </c>
      <c r="B145" s="5">
        <v>80</v>
      </c>
      <c r="C145" s="27">
        <f>INDEX(P_PoidsN,4)</f>
        <v>0</v>
      </c>
      <c r="D145" s="20">
        <f>IF(ISNUMBER(B145),B145,P_InfoInsuff)*C145</f>
        <v>0</v>
      </c>
      <c r="E145" s="44" t="s">
        <v>617</v>
      </c>
      <c r="F145" s="44"/>
      <c r="G145" s="44"/>
      <c r="H145" s="44"/>
    </row>
    <row r="146" spans="1:8">
      <c r="A146" s="17" t="s">
        <v>394</v>
      </c>
      <c r="B146" s="5">
        <v>80</v>
      </c>
      <c r="C146" s="27">
        <f>INDEX(P_PoidsN,5)</f>
        <v>0</v>
      </c>
      <c r="D146" s="20">
        <f>IF(ISNUMBER(B146),B146,P_InfoInsuff)*C146</f>
        <v>0</v>
      </c>
      <c r="E146" s="44" t="s">
        <v>618</v>
      </c>
      <c r="F146" s="44"/>
      <c r="G146" s="44"/>
      <c r="H146" s="44"/>
    </row>
    <row r="147" spans="1:8">
      <c r="A147" s="17" t="s">
        <v>396</v>
      </c>
      <c r="B147" s="5">
        <v>50</v>
      </c>
      <c r="C147" s="27">
        <f>INDEX(P_PoidsN,6)</f>
        <v>0</v>
      </c>
      <c r="D147" s="20">
        <f>IF(ISNUMBER(B147),B147,P_InfoInsuff)*C147</f>
        <v>0</v>
      </c>
      <c r="E147" s="44" t="s">
        <v>619</v>
      </c>
      <c r="F147" s="44"/>
      <c r="G147" s="44"/>
      <c r="H147" s="44"/>
    </row>
    <row r="148" spans="1:8">
      <c r="A148" s="21" t="s">
        <v>398</v>
      </c>
      <c r="D148" s="14">
        <f>SUM(D142:D147)</f>
        <v>0</v>
      </c>
    </row>
    <row r="149" spans="1:8">
      <c r="A149" s="11" t="s">
        <v>399</v>
      </c>
      <c r="B149" s="11"/>
      <c r="C149" s="11"/>
      <c r="D149" s="11"/>
      <c r="E149" s="11"/>
      <c r="F149" s="11"/>
      <c r="G149" s="11"/>
      <c r="H149" s="11"/>
    </row>
    <row r="150" spans="1:8">
      <c r="A150" s="17" t="s">
        <v>400</v>
      </c>
      <c r="B150" s="5">
        <v>80</v>
      </c>
    </row>
    <row r="151" spans="1:8">
      <c r="A151" s="17" t="s">
        <v>401</v>
      </c>
      <c r="B151" s="45">
        <v>1.34</v>
      </c>
    </row>
    <row r="152" spans="1:8">
      <c r="A152" s="17" t="s">
        <v>402</v>
      </c>
      <c r="B152" s="39">
        <v>4</v>
      </c>
    </row>
    <row r="153" spans="1:8">
      <c r="A153" s="17" t="s">
        <v>403</v>
      </c>
      <c r="B153" s="43">
        <v>0.14</v>
      </c>
    </row>
    <row r="154" spans="1:8">
      <c r="A154" s="17" t="s">
        <v>404</v>
      </c>
      <c r="B154" s="43"/>
    </row>
    <row r="155" spans="1:8">
      <c r="A155" s="17" t="s">
        <v>405</v>
      </c>
      <c r="B155" s="5"/>
    </row>
    <row r="156" spans="1:8">
      <c r="A156" s="17" t="s">
        <v>406</v>
      </c>
      <c r="B156" s="43">
        <v>1</v>
      </c>
    </row>
    <row r="157" spans="1:8">
      <c r="A157" s="17" t="s">
        <v>407</v>
      </c>
      <c r="B157" s="5" t="s">
        <v>275</v>
      </c>
    </row>
    <row r="158" spans="1:8">
      <c r="A158" s="17" t="s">
        <v>408</v>
      </c>
      <c r="B158" s="39"/>
    </row>
    <row r="159" spans="1:8">
      <c r="A159" s="17" t="s">
        <v>409</v>
      </c>
      <c r="B159" s="39">
        <v>20</v>
      </c>
    </row>
    <row r="160" spans="1:8">
      <c r="A160" s="17" t="s">
        <v>410</v>
      </c>
      <c r="B160" s="5"/>
    </row>
    <row r="161" spans="1:16">
      <c r="A161" s="17" t="s">
        <v>411</v>
      </c>
      <c r="B161" s="5"/>
    </row>
    <row r="162" spans="1:16">
      <c r="A162" s="17" t="s">
        <v>412</v>
      </c>
      <c r="B162" s="5" t="s">
        <v>257</v>
      </c>
    </row>
    <row r="163" spans="1:16">
      <c r="A163" s="17" t="s">
        <v>413</v>
      </c>
      <c r="B163" s="5" t="s">
        <v>257</v>
      </c>
    </row>
    <row r="164" spans="1:16">
      <c r="A164" s="17" t="s">
        <v>414</v>
      </c>
      <c r="B164" s="39"/>
    </row>
    <row r="165" spans="1:16">
      <c r="A165" s="17" t="s">
        <v>415</v>
      </c>
      <c r="B165" s="5" t="s">
        <v>258</v>
      </c>
    </row>
    <row r="167" spans="1:16">
      <c r="A167" s="3" t="s">
        <v>416</v>
      </c>
      <c r="B167" s="3"/>
      <c r="C167" s="3"/>
      <c r="D167" s="3"/>
      <c r="E167" s="3"/>
      <c r="F167" s="3"/>
      <c r="G167" s="3"/>
      <c r="H167" s="3"/>
    </row>
    <row r="168" spans="1:16">
      <c r="A168" s="11" t="s">
        <v>417</v>
      </c>
      <c r="B168" s="11" t="s">
        <v>108</v>
      </c>
      <c r="C168" s="11" t="s">
        <v>77</v>
      </c>
      <c r="D168" s="11" t="s">
        <v>418</v>
      </c>
      <c r="E168" s="11" t="s">
        <v>419</v>
      </c>
      <c r="F168" s="11"/>
      <c r="G168" s="11"/>
      <c r="H168" s="11"/>
    </row>
    <row r="169" spans="1:16">
      <c r="A169" s="21" t="s">
        <v>420</v>
      </c>
      <c r="B169" s="17"/>
      <c r="C169" s="27">
        <f>IFERROR(INDEX(P_PoidsDom,1,MATCH($B$17,P_PoidsHdr,0)),"")</f>
        <v>0</v>
      </c>
      <c r="D169" s="14">
        <f>IF(N(C169)=0,"",SUMPRODUCT(B170:B172,C170:C172)+P_InfoInsuff*SUMPRODUCT((1-ISNUMBER(B170:B172))*C170:C172))</f>
        <v>0</v>
      </c>
      <c r="E169" s="44"/>
      <c r="F169" s="44"/>
      <c r="G169" s="44"/>
      <c r="H169" s="44"/>
      <c r="J169" s="31" t="s">
        <v>422</v>
      </c>
      <c r="K169" s="31">
        <f>IF(N(C169)&gt;0,1,0)</f>
        <v>0</v>
      </c>
      <c r="M169" s="31">
        <f>N(C169)*SUMPRODUCT(ISNUMBER(B170:B172)*C170:C172)</f>
        <v>0</v>
      </c>
    </row>
    <row r="170" spans="1:16">
      <c r="A170" s="17" t="s">
        <v>423</v>
      </c>
      <c r="B170" s="5">
        <v>80</v>
      </c>
      <c r="C170" s="27">
        <f>INDEX(P_SCPoids,MATCH(L170,P_SCCle,0))</f>
        <v>0</v>
      </c>
      <c r="J170" s="31" t="s">
        <v>424</v>
      </c>
      <c r="K170" s="31">
        <f>K169</f>
        <v>0</v>
      </c>
      <c r="L170" s="31" t="s">
        <v>205</v>
      </c>
      <c r="P170" s="31">
        <f>IF(AND(K170=1,B170=""),ROW(),"")</f>
        <v>0</v>
      </c>
    </row>
    <row r="171" spans="1:16">
      <c r="A171" s="17" t="s">
        <v>425</v>
      </c>
      <c r="B171" s="5">
        <v>80</v>
      </c>
      <c r="C171" s="27">
        <f>INDEX(P_SCPoids,MATCH(L171,P_SCCle,0))</f>
        <v>0</v>
      </c>
      <c r="J171" s="31" t="s">
        <v>424</v>
      </c>
      <c r="K171" s="31">
        <f>K169</f>
        <v>0</v>
      </c>
      <c r="L171" s="31" t="s">
        <v>207</v>
      </c>
      <c r="P171" s="31">
        <f>IF(AND(K171=1,B171=""),ROW(),"")</f>
        <v>0</v>
      </c>
    </row>
    <row r="172" spans="1:16">
      <c r="A172" s="17" t="s">
        <v>426</v>
      </c>
      <c r="B172" s="5">
        <v>80</v>
      </c>
      <c r="C172" s="27">
        <f>INDEX(P_SCPoids,MATCH(L172,P_SCCle,0))</f>
        <v>0</v>
      </c>
      <c r="J172" s="31" t="s">
        <v>424</v>
      </c>
      <c r="K172" s="31">
        <f>K169</f>
        <v>0</v>
      </c>
      <c r="L172" s="31" t="s">
        <v>209</v>
      </c>
      <c r="P172" s="31">
        <f>IF(AND(K172=1,B172=""),ROW(),"")</f>
        <v>0</v>
      </c>
    </row>
    <row r="173" spans="1:16" ht="45" customHeight="1">
      <c r="A173" s="21" t="s">
        <v>427</v>
      </c>
      <c r="B173" s="17"/>
      <c r="C173" s="27">
        <f>IFERROR(INDEX(P_PoidsDom,2,MATCH($B$17,P_PoidsHdr,0)),"")</f>
        <v>0</v>
      </c>
      <c r="D173" s="14">
        <f>IF(N(C173)=0,"",SUMPRODUCT(B174:B176,C174:C176)+P_InfoInsuff*SUMPRODUCT((1-ISNUMBER(B174:B176))*C174:C176))</f>
        <v>0</v>
      </c>
      <c r="E173" s="44" t="s">
        <v>620</v>
      </c>
      <c r="F173" s="44"/>
      <c r="G173" s="44"/>
      <c r="H173" s="44"/>
      <c r="J173" s="31" t="s">
        <v>422</v>
      </c>
      <c r="K173" s="31">
        <f>IF(N(C173)&gt;0,1,0)</f>
        <v>0</v>
      </c>
      <c r="M173" s="31">
        <f>N(C173)*SUMPRODUCT(ISNUMBER(B174:B176)*C174:C176)</f>
        <v>0</v>
      </c>
    </row>
    <row r="174" spans="1:16">
      <c r="A174" s="17" t="s">
        <v>428</v>
      </c>
      <c r="B174" s="5">
        <v>100</v>
      </c>
      <c r="C174" s="27">
        <f>INDEX(P_SCPoids,MATCH(L174,P_SCCle,0))</f>
        <v>0</v>
      </c>
      <c r="J174" s="31" t="s">
        <v>424</v>
      </c>
      <c r="K174" s="31">
        <f>K173</f>
        <v>0</v>
      </c>
      <c r="L174" s="31" t="s">
        <v>211</v>
      </c>
      <c r="P174" s="31">
        <f>IF(AND(K174=1,B174=""),ROW(),"")</f>
        <v>0</v>
      </c>
    </row>
    <row r="175" spans="1:16">
      <c r="A175" s="17" t="s">
        <v>429</v>
      </c>
      <c r="B175" s="5">
        <v>50</v>
      </c>
      <c r="C175" s="27">
        <f>INDEX(P_SCPoids,MATCH(L175,P_SCCle,0))</f>
        <v>0</v>
      </c>
      <c r="J175" s="31" t="s">
        <v>424</v>
      </c>
      <c r="K175" s="31">
        <f>K173</f>
        <v>0</v>
      </c>
      <c r="L175" s="31" t="s">
        <v>213</v>
      </c>
      <c r="P175" s="31">
        <f>IF(AND(K175=1,B175=""),ROW(),"")</f>
        <v>0</v>
      </c>
    </row>
    <row r="176" spans="1:16">
      <c r="A176" s="17" t="s">
        <v>430</v>
      </c>
      <c r="B176" s="5">
        <v>80</v>
      </c>
      <c r="C176" s="27">
        <f>INDEX(P_SCPoids,MATCH(L176,P_SCCle,0))</f>
        <v>0</v>
      </c>
      <c r="J176" s="31" t="s">
        <v>424</v>
      </c>
      <c r="K176" s="31">
        <f>K173</f>
        <v>0</v>
      </c>
      <c r="L176" s="31" t="s">
        <v>215</v>
      </c>
      <c r="P176" s="31">
        <f>IF(AND(K176=1,B176=""),ROW(),"")</f>
        <v>0</v>
      </c>
    </row>
    <row r="177" spans="1:16">
      <c r="A177" s="21" t="s">
        <v>431</v>
      </c>
      <c r="B177" s="17"/>
      <c r="C177" s="27">
        <f>IFERROR(INDEX(P_PoidsDom,3,MATCH($B$17,P_PoidsHdr,0)),"")</f>
        <v>0</v>
      </c>
      <c r="D177" s="14">
        <f>IF(N(C177)=0,"",SUMPRODUCT(B178:B180,C178:C180)+P_InfoInsuff*SUMPRODUCT((1-ISNUMBER(B178:B180))*C178:C180))</f>
        <v>0</v>
      </c>
      <c r="E177" s="44"/>
      <c r="F177" s="44"/>
      <c r="G177" s="44"/>
      <c r="H177" s="44"/>
      <c r="J177" s="31" t="s">
        <v>422</v>
      </c>
      <c r="K177" s="31">
        <f>IF(N(C177)&gt;0,1,0)</f>
        <v>0</v>
      </c>
      <c r="M177" s="31">
        <f>N(C177)*SUMPRODUCT(ISNUMBER(B178:B180)*C178:C180)</f>
        <v>0</v>
      </c>
    </row>
    <row r="178" spans="1:16">
      <c r="A178" s="17" t="s">
        <v>433</v>
      </c>
      <c r="B178" s="5">
        <v>80</v>
      </c>
      <c r="C178" s="27">
        <f>INDEX(P_SCPoids,MATCH(L178,P_SCCle,0))</f>
        <v>0</v>
      </c>
      <c r="J178" s="31" t="s">
        <v>424</v>
      </c>
      <c r="K178" s="31">
        <f>K177</f>
        <v>0</v>
      </c>
      <c r="L178" s="31" t="s">
        <v>217</v>
      </c>
      <c r="P178" s="31">
        <f>IF(AND(K178=1,B178=""),ROW(),"")</f>
        <v>0</v>
      </c>
    </row>
    <row r="179" spans="1:16">
      <c r="A179" s="17" t="s">
        <v>434</v>
      </c>
      <c r="B179" s="5">
        <v>50</v>
      </c>
      <c r="C179" s="27">
        <f>INDEX(P_SCPoids,MATCH(L179,P_SCCle,0))</f>
        <v>0</v>
      </c>
      <c r="J179" s="31" t="s">
        <v>424</v>
      </c>
      <c r="K179" s="31">
        <f>K177</f>
        <v>0</v>
      </c>
      <c r="L179" s="31" t="s">
        <v>219</v>
      </c>
      <c r="P179" s="31">
        <f>IF(AND(K179=1,B179=""),ROW(),"")</f>
        <v>0</v>
      </c>
    </row>
    <row r="180" spans="1:16">
      <c r="A180" s="17" t="s">
        <v>435</v>
      </c>
      <c r="B180" s="5">
        <v>50</v>
      </c>
      <c r="C180" s="27">
        <f>INDEX(P_SCPoids,MATCH(L180,P_SCCle,0))</f>
        <v>0</v>
      </c>
      <c r="J180" s="31" t="s">
        <v>424</v>
      </c>
      <c r="K180" s="31">
        <f>K177</f>
        <v>0</v>
      </c>
      <c r="L180" s="31" t="s">
        <v>221</v>
      </c>
      <c r="P180" s="31">
        <f>IF(AND(K180=1,B180=""),ROW(),"")</f>
        <v>0</v>
      </c>
    </row>
    <row r="181" spans="1:16" ht="45" customHeight="1">
      <c r="A181" s="21" t="s">
        <v>436</v>
      </c>
      <c r="B181" s="17"/>
      <c r="C181" s="27">
        <f>IFERROR(INDEX(P_PoidsDom,4,MATCH($B$17,P_PoidsHdr,0)),"")</f>
        <v>0</v>
      </c>
      <c r="D181" s="14">
        <f>IF(N(C181)=0,"",SUMPRODUCT(B182:B184,C182:C184)+P_InfoInsuff*SUMPRODUCT((1-ISNUMBER(B182:B184))*C182:C184))</f>
        <v>0</v>
      </c>
      <c r="E181" s="44" t="s">
        <v>621</v>
      </c>
      <c r="F181" s="44"/>
      <c r="G181" s="44"/>
      <c r="H181" s="44"/>
      <c r="J181" s="31" t="s">
        <v>422</v>
      </c>
      <c r="K181" s="31">
        <f>IF(N(C181)&gt;0,1,0)</f>
        <v>0</v>
      </c>
      <c r="M181" s="31">
        <f>N(C181)*SUMPRODUCT(ISNUMBER(B182:B184)*C182:C184)</f>
        <v>0</v>
      </c>
    </row>
    <row r="182" spans="1:16">
      <c r="A182" s="17" t="s">
        <v>438</v>
      </c>
      <c r="B182" s="5">
        <v>80</v>
      </c>
      <c r="C182" s="27">
        <f>INDEX(P_SCPoids,MATCH(L182,P_SCCle,0))</f>
        <v>0</v>
      </c>
      <c r="J182" s="31" t="s">
        <v>424</v>
      </c>
      <c r="K182" s="31">
        <f>K181</f>
        <v>0</v>
      </c>
      <c r="L182" s="31" t="s">
        <v>223</v>
      </c>
      <c r="P182" s="31">
        <f>IF(AND(K182=1,B182=""),ROW(),"")</f>
        <v>0</v>
      </c>
    </row>
    <row r="183" spans="1:16">
      <c r="A183" s="17" t="s">
        <v>439</v>
      </c>
      <c r="B183" s="5">
        <v>50</v>
      </c>
      <c r="C183" s="27">
        <f>INDEX(P_SCPoids,MATCH(L183,P_SCCle,0))</f>
        <v>0</v>
      </c>
      <c r="J183" s="31" t="s">
        <v>424</v>
      </c>
      <c r="K183" s="31">
        <f>K181</f>
        <v>0</v>
      </c>
      <c r="L183" s="31" t="s">
        <v>225</v>
      </c>
      <c r="P183" s="31">
        <f>IF(AND(K183=1,B183=""),ROW(),"")</f>
        <v>0</v>
      </c>
    </row>
    <row r="184" spans="1:16">
      <c r="A184" s="17" t="s">
        <v>440</v>
      </c>
      <c r="B184" s="5">
        <v>100</v>
      </c>
      <c r="C184" s="27">
        <f>INDEX(P_SCPoids,MATCH(L184,P_SCCle,0))</f>
        <v>0</v>
      </c>
      <c r="J184" s="31" t="s">
        <v>424</v>
      </c>
      <c r="K184" s="31">
        <f>K181</f>
        <v>0</v>
      </c>
      <c r="L184" s="31" t="s">
        <v>227</v>
      </c>
      <c r="P184" s="31">
        <f>IF(AND(K184=1,B184=""),ROW(),"")</f>
        <v>0</v>
      </c>
    </row>
    <row r="185" spans="1:16" ht="45" customHeight="1">
      <c r="A185" s="21" t="s">
        <v>441</v>
      </c>
      <c r="B185" s="17"/>
      <c r="C185" s="27">
        <f>IFERROR(INDEX(P_PoidsDom,5,MATCH($B$17,P_PoidsHdr,0)),"")</f>
        <v>0</v>
      </c>
      <c r="D185" s="14">
        <f>IF(N(C185)=0,"",SUMPRODUCT(B186:B188,C186:C188)+P_InfoInsuff*SUMPRODUCT((1-ISNUMBER(B186:B188))*C186:C188))</f>
        <v>0</v>
      </c>
      <c r="E185" s="44" t="s">
        <v>622</v>
      </c>
      <c r="F185" s="44"/>
      <c r="G185" s="44"/>
      <c r="H185" s="44"/>
      <c r="J185" s="31" t="s">
        <v>422</v>
      </c>
      <c r="K185" s="31">
        <f>IF(N(C185)&gt;0,1,0)</f>
        <v>0</v>
      </c>
      <c r="M185" s="31">
        <f>N(C185)*SUMPRODUCT(ISNUMBER(B186:B188)*C186:C188)</f>
        <v>0</v>
      </c>
    </row>
    <row r="186" spans="1:16">
      <c r="A186" s="17" t="s">
        <v>442</v>
      </c>
      <c r="B186" s="5">
        <v>80</v>
      </c>
      <c r="C186" s="27">
        <f>INDEX(P_SCPoids,MATCH(L186,P_SCCle,0))</f>
        <v>0</v>
      </c>
      <c r="J186" s="31" t="s">
        <v>424</v>
      </c>
      <c r="K186" s="31">
        <f>K185</f>
        <v>0</v>
      </c>
      <c r="L186" s="31" t="s">
        <v>229</v>
      </c>
      <c r="P186" s="31">
        <f>IF(AND(K186=1,B186=""),ROW(),"")</f>
        <v>0</v>
      </c>
    </row>
    <row r="187" spans="1:16">
      <c r="A187" s="17" t="s">
        <v>443</v>
      </c>
      <c r="B187" s="5">
        <v>50</v>
      </c>
      <c r="C187" s="27">
        <f>INDEX(P_SCPoids,MATCH(L187,P_SCCle,0))</f>
        <v>0</v>
      </c>
      <c r="J187" s="31" t="s">
        <v>424</v>
      </c>
      <c r="K187" s="31">
        <f>K185</f>
        <v>0</v>
      </c>
      <c r="L187" s="31" t="s">
        <v>231</v>
      </c>
      <c r="P187" s="31">
        <f>IF(AND(K187=1,B187=""),ROW(),"")</f>
        <v>0</v>
      </c>
    </row>
    <row r="188" spans="1:16">
      <c r="A188" s="17" t="s">
        <v>444</v>
      </c>
      <c r="B188" s="5">
        <v>50</v>
      </c>
      <c r="C188" s="27">
        <f>INDEX(P_SCPoids,MATCH(L188,P_SCCle,0))</f>
        <v>0</v>
      </c>
      <c r="J188" s="31" t="s">
        <v>424</v>
      </c>
      <c r="K188" s="31">
        <f>K185</f>
        <v>0</v>
      </c>
      <c r="L188" s="31" t="s">
        <v>233</v>
      </c>
      <c r="P188" s="31">
        <f>IF(AND(K188=1,B188=""),ROW(),"")</f>
        <v>0</v>
      </c>
    </row>
    <row r="189" spans="1:16">
      <c r="A189" s="21" t="s">
        <v>445</v>
      </c>
      <c r="B189" s="17"/>
      <c r="C189" s="27">
        <f>IFERROR(INDEX(P_PoidsDom,6,MATCH($B$17,P_PoidsHdr,0)),"")</f>
        <v>0</v>
      </c>
      <c r="D189" s="14">
        <f>IF(N(C189)=0,"",SUMPRODUCT(B190:B192,C190:C192)+P_InfoInsuff*SUMPRODUCT((1-ISNUMBER(B190:B192))*C190:C192))</f>
        <v>0</v>
      </c>
      <c r="E189" s="44"/>
      <c r="F189" s="44"/>
      <c r="G189" s="44"/>
      <c r="H189" s="44"/>
      <c r="J189" s="31" t="s">
        <v>422</v>
      </c>
      <c r="K189" s="31">
        <f>IF(N(C189)&gt;0,1,0)</f>
        <v>0</v>
      </c>
      <c r="M189" s="31">
        <f>N(C189)*SUMPRODUCT(ISNUMBER(B190:B192)*C190:C192)</f>
        <v>0</v>
      </c>
    </row>
    <row r="190" spans="1:16">
      <c r="A190" s="17" t="s">
        <v>447</v>
      </c>
      <c r="B190" s="5">
        <v>80</v>
      </c>
      <c r="C190" s="27">
        <f>INDEX(P_SCPoids,MATCH(L190,P_SCCle,0))</f>
        <v>0</v>
      </c>
      <c r="J190" s="31" t="s">
        <v>424</v>
      </c>
      <c r="K190" s="31">
        <f>K189</f>
        <v>0</v>
      </c>
      <c r="L190" s="31" t="s">
        <v>235</v>
      </c>
      <c r="P190" s="31">
        <f>IF(AND(K190=1,B190=""),ROW(),"")</f>
        <v>0</v>
      </c>
    </row>
    <row r="191" spans="1:16">
      <c r="A191" s="17" t="s">
        <v>448</v>
      </c>
      <c r="B191" s="5">
        <v>50</v>
      </c>
      <c r="C191" s="27">
        <f>INDEX(P_SCPoids,MATCH(L191,P_SCCle,0))</f>
        <v>0</v>
      </c>
      <c r="J191" s="31" t="s">
        <v>424</v>
      </c>
      <c r="K191" s="31">
        <f>K189</f>
        <v>0</v>
      </c>
      <c r="L191" s="31" t="s">
        <v>237</v>
      </c>
      <c r="P191" s="31">
        <f>IF(AND(K191=1,B191=""),ROW(),"")</f>
        <v>0</v>
      </c>
    </row>
    <row r="192" spans="1:16">
      <c r="A192" s="17" t="s">
        <v>449</v>
      </c>
      <c r="B192" s="5">
        <v>100</v>
      </c>
      <c r="C192" s="27">
        <f>INDEX(P_SCPoids,MATCH(L192,P_SCCle,0))</f>
        <v>0</v>
      </c>
      <c r="J192" s="31" t="s">
        <v>424</v>
      </c>
      <c r="K192" s="31">
        <f>K189</f>
        <v>0</v>
      </c>
      <c r="L192" s="31" t="s">
        <v>239</v>
      </c>
      <c r="P192" s="31">
        <f>IF(AND(K192=1,B192=""),ROW(),"")</f>
        <v>0</v>
      </c>
    </row>
    <row r="193" spans="1:16" ht="45" customHeight="1">
      <c r="A193" s="21" t="s">
        <v>450</v>
      </c>
      <c r="B193" s="17"/>
      <c r="C193" s="27">
        <f>IFERROR(INDEX(P_PoidsDom,8,MATCH($B$17,P_PoidsHdr,0)),"")</f>
        <v>0</v>
      </c>
      <c r="D193" s="14">
        <f>IF(N(C193)=0,"",SUMPRODUCT(B194:B196,C194:C196)+P_InfoInsuff*SUMPRODUCT((1-ISNUMBER(B194:B196))*C194:C196))</f>
        <v>0</v>
      </c>
      <c r="E193" s="44" t="s">
        <v>623</v>
      </c>
      <c r="F193" s="44"/>
      <c r="G193" s="44"/>
      <c r="H193" s="44"/>
      <c r="J193" s="31" t="s">
        <v>422</v>
      </c>
      <c r="K193" s="31">
        <f>IF(N(C193)&gt;0,1,0)</f>
        <v>0</v>
      </c>
      <c r="M193" s="31">
        <f>N(C193)*SUMPRODUCT(ISNUMBER(B194:B196)*C194:C196)</f>
        <v>0</v>
      </c>
    </row>
    <row r="194" spans="1:16">
      <c r="A194" s="17" t="s">
        <v>451</v>
      </c>
      <c r="B194" s="5">
        <v>80</v>
      </c>
      <c r="C194" s="27">
        <f>INDEX(P_SCPoids,MATCH(L194,P_SCCle,0))</f>
        <v>0</v>
      </c>
      <c r="J194" s="31" t="s">
        <v>424</v>
      </c>
      <c r="K194" s="31">
        <f>K193</f>
        <v>0</v>
      </c>
      <c r="L194" s="31" t="s">
        <v>241</v>
      </c>
      <c r="P194" s="31">
        <f>IF(AND(K194=1,B194=""),ROW(),"")</f>
        <v>0</v>
      </c>
    </row>
    <row r="195" spans="1:16">
      <c r="A195" s="17" t="s">
        <v>452</v>
      </c>
      <c r="B195" s="5">
        <v>50</v>
      </c>
      <c r="C195" s="27">
        <f>INDEX(P_SCPoids,MATCH(L195,P_SCCle,0))</f>
        <v>0</v>
      </c>
      <c r="J195" s="31" t="s">
        <v>424</v>
      </c>
      <c r="K195" s="31">
        <f>K193</f>
        <v>0</v>
      </c>
      <c r="L195" s="31" t="s">
        <v>243</v>
      </c>
      <c r="P195" s="31">
        <f>IF(AND(K195=1,B195=""),ROW(),"")</f>
        <v>0</v>
      </c>
    </row>
    <row r="196" spans="1:16">
      <c r="A196" s="17" t="s">
        <v>453</v>
      </c>
      <c r="B196" s="5">
        <v>80</v>
      </c>
      <c r="C196" s="27">
        <f>INDEX(P_SCPoids,MATCH(L196,P_SCCle,0))</f>
        <v>0</v>
      </c>
      <c r="J196" s="31" t="s">
        <v>424</v>
      </c>
      <c r="K196" s="31">
        <f>K193</f>
        <v>0</v>
      </c>
      <c r="L196" s="31" t="s">
        <v>245</v>
      </c>
      <c r="P196" s="31">
        <f>IF(AND(K196=1,B196=""),ROW(),"")</f>
        <v>0</v>
      </c>
    </row>
    <row r="197" spans="1:16">
      <c r="A197" s="21" t="s">
        <v>454</v>
      </c>
      <c r="B197" s="17"/>
      <c r="C197" s="27">
        <f>IFERROR(INDEX(P_PoidsDom,9,MATCH($B$17,P_PoidsHdr,0)),"")</f>
        <v>0</v>
      </c>
      <c r="D197" s="14">
        <f>IF(N(C197)=0,"",SUMPRODUCT(B198:B201,C198:C201)+P_InfoInsuff*SUMPRODUCT((1-ISNUMBER(B198:B201))*C198:C201))</f>
        <v>0</v>
      </c>
      <c r="E197" s="44"/>
      <c r="F197" s="44"/>
      <c r="G197" s="44"/>
      <c r="H197" s="44"/>
      <c r="J197" s="31" t="s">
        <v>422</v>
      </c>
      <c r="K197" s="31">
        <f>IF(N(C197)&gt;0,1,0)</f>
        <v>0</v>
      </c>
      <c r="M197" s="31">
        <f>N(C197)*SUMPRODUCT(ISNUMBER(B198:B201)*C198:C201)</f>
        <v>0</v>
      </c>
    </row>
    <row r="198" spans="1:16">
      <c r="A198" s="17" t="s">
        <v>455</v>
      </c>
      <c r="B198" s="5">
        <v>50</v>
      </c>
      <c r="C198" s="27">
        <f>INDEX(P_SCPoids,MATCH(L198,P_SCCle,0))</f>
        <v>0</v>
      </c>
      <c r="J198" s="31" t="s">
        <v>424</v>
      </c>
      <c r="K198" s="31">
        <f>K197</f>
        <v>0</v>
      </c>
      <c r="L198" s="31" t="s">
        <v>247</v>
      </c>
      <c r="P198" s="31">
        <f>IF(AND(K198=1,B198=""),ROW(),"")</f>
        <v>0</v>
      </c>
    </row>
    <row r="199" spans="1:16">
      <c r="A199" s="17" t="s">
        <v>456</v>
      </c>
      <c r="B199" s="5">
        <v>80</v>
      </c>
      <c r="C199" s="27">
        <f>INDEX(P_SCPoids,MATCH(L199,P_SCCle,0))</f>
        <v>0</v>
      </c>
      <c r="J199" s="31" t="s">
        <v>424</v>
      </c>
      <c r="K199" s="31">
        <f>K197</f>
        <v>0</v>
      </c>
      <c r="L199" s="31" t="s">
        <v>249</v>
      </c>
      <c r="P199" s="31">
        <f>IF(AND(K199=1,B199=""),ROW(),"")</f>
        <v>0</v>
      </c>
    </row>
    <row r="200" spans="1:16">
      <c r="A200" s="17" t="s">
        <v>457</v>
      </c>
      <c r="B200" s="5">
        <v>80</v>
      </c>
      <c r="C200" s="27">
        <f>INDEX(P_SCPoids,MATCH(L200,P_SCCle,0))</f>
        <v>0</v>
      </c>
      <c r="J200" s="31" t="s">
        <v>424</v>
      </c>
      <c r="K200" s="31">
        <f>K197</f>
        <v>0</v>
      </c>
      <c r="L200" s="31" t="s">
        <v>251</v>
      </c>
      <c r="P200" s="31">
        <f>IF(AND(K200=1,B200=""),ROW(),"")</f>
        <v>0</v>
      </c>
    </row>
    <row r="201" spans="1:16">
      <c r="A201" s="17" t="s">
        <v>458</v>
      </c>
      <c r="B201" s="5">
        <v>80</v>
      </c>
      <c r="C201" s="27">
        <f>INDEX(P_SCPoids,MATCH(L201,P_SCCle,0))</f>
        <v>0</v>
      </c>
      <c r="J201" s="31" t="s">
        <v>424</v>
      </c>
      <c r="K201" s="31">
        <f>K197</f>
        <v>0</v>
      </c>
      <c r="L201" s="31" t="s">
        <v>253</v>
      </c>
      <c r="P201" s="31">
        <f>IF(AND(K201=1,B201=""),ROW(),"")</f>
        <v>0</v>
      </c>
    </row>
    <row r="203" spans="1:16">
      <c r="A203" s="17" t="s">
        <v>459</v>
      </c>
      <c r="B203" s="27">
        <f>IF(SUMIF(J169:J201,"DOM",C169:C201)=0,"",SUM(M169:M201)/SUMIF(J169:J201,"DOM",C169:C201))</f>
        <v>0</v>
      </c>
    </row>
    <row r="204" spans="1:16">
      <c r="A204" s="17" t="s">
        <v>460</v>
      </c>
      <c r="B204" s="27">
        <f>IF(SUMIF(J169:J201,"SC",K169:K201)=0,"",(COUNT(B142:B147)+SUMPRODUCT((J169:J201="SC")*(K169:K201=1)*ISNUMBER(B169:B201)))/(6+SUMIF(J169:J201,"SC",K169:K201)))</f>
        <v>0</v>
      </c>
    </row>
    <row r="206" spans="1:16">
      <c r="A206" s="3" t="s">
        <v>461</v>
      </c>
      <c r="B206" s="3"/>
      <c r="C206" s="3"/>
      <c r="D206" s="3"/>
      <c r="E206" s="3"/>
      <c r="F206" s="3"/>
      <c r="G206" s="3"/>
      <c r="H206" s="3"/>
    </row>
    <row r="207" spans="1:16">
      <c r="A207" s="11" t="s">
        <v>55</v>
      </c>
      <c r="B207" s="11" t="s">
        <v>462</v>
      </c>
      <c r="C207" s="11" t="s">
        <v>463</v>
      </c>
      <c r="D207" s="11" t="s">
        <v>387</v>
      </c>
    </row>
    <row r="208" spans="1:16">
      <c r="A208" s="17" t="s">
        <v>420</v>
      </c>
      <c r="B208" s="20">
        <f>D169</f>
        <v>0</v>
      </c>
      <c r="C208" s="27">
        <f>IFERROR(INDEX(P_PoidsDom,1,MATCH($B$17,P_PoidsHdr,0)),"")</f>
        <v>0</v>
      </c>
      <c r="D208" s="20">
        <f>IF(ISNUMBER(B208),B208,0)*N(C208)</f>
        <v>0</v>
      </c>
    </row>
    <row r="209" spans="1:8">
      <c r="A209" s="17" t="s">
        <v>427</v>
      </c>
      <c r="B209" s="20">
        <f>D173</f>
        <v>0</v>
      </c>
      <c r="C209" s="27">
        <f>IFERROR(INDEX(P_PoidsDom,2,MATCH($B$17,P_PoidsHdr,0)),"")</f>
        <v>0</v>
      </c>
      <c r="D209" s="20">
        <f>IF(ISNUMBER(B209),B209,0)*N(C209)</f>
        <v>0</v>
      </c>
    </row>
    <row r="210" spans="1:8">
      <c r="A210" s="17" t="s">
        <v>431</v>
      </c>
      <c r="B210" s="20">
        <f>D177</f>
        <v>0</v>
      </c>
      <c r="C210" s="27">
        <f>IFERROR(INDEX(P_PoidsDom,3,MATCH($B$17,P_PoidsHdr,0)),"")</f>
        <v>0</v>
      </c>
      <c r="D210" s="20">
        <f>IF(ISNUMBER(B210),B210,0)*N(C210)</f>
        <v>0</v>
      </c>
    </row>
    <row r="211" spans="1:8">
      <c r="A211" s="17" t="s">
        <v>436</v>
      </c>
      <c r="B211" s="20">
        <f>D181</f>
        <v>0</v>
      </c>
      <c r="C211" s="27">
        <f>IFERROR(INDEX(P_PoidsDom,4,MATCH($B$17,P_PoidsHdr,0)),"")</f>
        <v>0</v>
      </c>
      <c r="D211" s="20">
        <f>IF(ISNUMBER(B211),B211,0)*N(C211)</f>
        <v>0</v>
      </c>
    </row>
    <row r="212" spans="1:8">
      <c r="A212" s="17" t="s">
        <v>441</v>
      </c>
      <c r="B212" s="20">
        <f>D185</f>
        <v>0</v>
      </c>
      <c r="C212" s="27">
        <f>IFERROR(INDEX(P_PoidsDom,5,MATCH($B$17,P_PoidsHdr,0)),"")</f>
        <v>0</v>
      </c>
      <c r="D212" s="20">
        <f>IF(ISNUMBER(B212),B212,0)*N(C212)</f>
        <v>0</v>
      </c>
    </row>
    <row r="213" spans="1:8">
      <c r="A213" s="17" t="s">
        <v>445</v>
      </c>
      <c r="B213" s="20">
        <f>D189</f>
        <v>0</v>
      </c>
      <c r="C213" s="27">
        <f>IFERROR(INDEX(P_PoidsDom,6,MATCH($B$17,P_PoidsHdr,0)),"")</f>
        <v>0</v>
      </c>
      <c r="D213" s="20">
        <f>IF(ISNUMBER(B213),B213,0)*N(C213)</f>
        <v>0</v>
      </c>
    </row>
    <row r="214" spans="1:8">
      <c r="A214" s="17" t="s">
        <v>464</v>
      </c>
      <c r="B214" s="20">
        <f>D148</f>
        <v>0</v>
      </c>
      <c r="C214" s="27">
        <f>IFERROR(INDEX(P_PoidsDom,7,MATCH($B$17,P_PoidsHdr,0)),"")</f>
        <v>0</v>
      </c>
      <c r="D214" s="20">
        <f>IF(ISNUMBER(B214),B214,0)*N(C214)</f>
        <v>0</v>
      </c>
    </row>
    <row r="215" spans="1:8">
      <c r="A215" s="17" t="s">
        <v>450</v>
      </c>
      <c r="B215" s="20">
        <f>D193</f>
        <v>0</v>
      </c>
      <c r="C215" s="27">
        <f>IFERROR(INDEX(P_PoidsDom,8,MATCH($B$17,P_PoidsHdr,0)),"")</f>
        <v>0</v>
      </c>
      <c r="D215" s="20">
        <f>IF(ISNUMBER(B215),B215,0)*N(C215)</f>
        <v>0</v>
      </c>
    </row>
    <row r="216" spans="1:8">
      <c r="A216" s="17" t="s">
        <v>454</v>
      </c>
      <c r="B216" s="20">
        <f>D197</f>
        <v>0</v>
      </c>
      <c r="C216" s="27">
        <f>IFERROR(INDEX(P_PoidsDom,9,MATCH($B$17,P_PoidsHdr,0)),"")</f>
        <v>0</v>
      </c>
      <c r="D216" s="20">
        <f>IF(ISNUMBER(B216),B216,0)*N(C216)</f>
        <v>0</v>
      </c>
    </row>
    <row r="217" spans="1:8">
      <c r="A217" s="21" t="s">
        <v>465</v>
      </c>
      <c r="B217" s="14">
        <f>IF(N(C208)+N(C216)=0,"",SUM(D208:D216))</f>
        <v>0</v>
      </c>
    </row>
    <row r="218" spans="1:8">
      <c r="A218" s="21" t="s">
        <v>466</v>
      </c>
      <c r="B218" s="14">
        <f>IF(B217="","",INDEX(P_ConvNote,MATCH(B217,P_ConvSeuil,1)))</f>
        <v>0</v>
      </c>
      <c r="C218" s="7">
        <f>IF(B217="","",INDEX(P_ConvLib,MATCH(B217,P_ConvSeuil,1)))</f>
        <v>0</v>
      </c>
    </row>
    <row r="220" spans="1:8">
      <c r="A220" s="3" t="s">
        <v>467</v>
      </c>
      <c r="B220" s="3"/>
      <c r="C220" s="3"/>
      <c r="D220" s="3"/>
      <c r="E220" s="3"/>
      <c r="F220" s="3"/>
      <c r="G220" s="3"/>
      <c r="H220" s="3"/>
    </row>
    <row r="221" spans="1:8">
      <c r="A221" s="11" t="s">
        <v>18</v>
      </c>
      <c r="B221" s="11" t="s">
        <v>130</v>
      </c>
      <c r="C221" s="11"/>
      <c r="D221" s="11"/>
      <c r="E221" s="11" t="s">
        <v>468</v>
      </c>
      <c r="F221" s="11" t="s">
        <v>469</v>
      </c>
      <c r="G221" s="11" t="s">
        <v>470</v>
      </c>
      <c r="H221" s="11" t="s">
        <v>471</v>
      </c>
    </row>
    <row r="222" spans="1:8">
      <c r="A222" s="21" t="s">
        <v>472</v>
      </c>
      <c r="B222" s="13" t="s">
        <v>473</v>
      </c>
      <c r="C222" s="13"/>
      <c r="D222" s="13"/>
      <c r="E222" s="5" t="s">
        <v>258</v>
      </c>
      <c r="F222" s="7">
        <f>IF(OR(E222="Oui",H222="Oui"),"Oui","Non")</f>
        <v>0</v>
      </c>
      <c r="G222" s="17" t="s">
        <v>474</v>
      </c>
      <c r="H222" s="7"/>
    </row>
    <row r="223" spans="1:8">
      <c r="A223" s="21" t="s">
        <v>475</v>
      </c>
      <c r="B223" s="13" t="s">
        <v>476</v>
      </c>
      <c r="C223" s="13"/>
      <c r="D223" s="13"/>
      <c r="E223" s="5" t="s">
        <v>258</v>
      </c>
      <c r="F223" s="7">
        <f>IF(OR(E223="Oui",H223="Oui"),"Oui","Non")</f>
        <v>0</v>
      </c>
      <c r="G223" s="17" t="s">
        <v>474</v>
      </c>
      <c r="H223" s="7"/>
    </row>
    <row r="224" spans="1:8">
      <c r="A224" s="21" t="s">
        <v>477</v>
      </c>
      <c r="B224" s="13" t="s">
        <v>478</v>
      </c>
      <c r="C224" s="13"/>
      <c r="D224" s="13"/>
      <c r="E224" s="5" t="s">
        <v>258</v>
      </c>
      <c r="F224" s="7">
        <f>IF(OR(E224="Oui",H224="Oui"),"Oui","Non")</f>
        <v>0</v>
      </c>
      <c r="G224" s="17" t="s">
        <v>474</v>
      </c>
      <c r="H224" s="7"/>
    </row>
    <row r="225" spans="1:8">
      <c r="A225" s="21" t="s">
        <v>479</v>
      </c>
      <c r="B225" s="13" t="s">
        <v>480</v>
      </c>
      <c r="C225" s="13"/>
      <c r="D225" s="13"/>
      <c r="E225" s="5" t="s">
        <v>258</v>
      </c>
      <c r="F225" s="7">
        <f>IF(OR(E225="Oui",H225="Oui"),"Oui","Non")</f>
        <v>0</v>
      </c>
      <c r="G225" s="17" t="s">
        <v>474</v>
      </c>
      <c r="H225" s="7"/>
    </row>
    <row r="226" spans="1:8">
      <c r="A226" s="21" t="s">
        <v>481</v>
      </c>
      <c r="B226" s="13" t="s">
        <v>482</v>
      </c>
      <c r="C226" s="13"/>
      <c r="D226" s="13"/>
      <c r="E226" s="5" t="s">
        <v>258</v>
      </c>
      <c r="F226" s="7">
        <f>IF(OR(E226="Oui",H226="Oui"),"Oui","Non")</f>
        <v>0</v>
      </c>
      <c r="G226" s="17" t="s">
        <v>483</v>
      </c>
      <c r="H226" s="7"/>
    </row>
    <row r="227" spans="1:8">
      <c r="A227" s="21" t="s">
        <v>484</v>
      </c>
      <c r="B227" s="13" t="s">
        <v>485</v>
      </c>
      <c r="C227" s="13"/>
      <c r="D227" s="13"/>
      <c r="E227" s="5" t="s">
        <v>258</v>
      </c>
      <c r="F227" s="7">
        <f>IF(OR(E227="Oui",H227="Oui"),"Oui","Non")</f>
        <v>0</v>
      </c>
      <c r="G227" s="17" t="s">
        <v>483</v>
      </c>
      <c r="H227" s="7"/>
    </row>
    <row r="228" spans="1:8">
      <c r="A228" s="21" t="s">
        <v>486</v>
      </c>
      <c r="B228" s="13" t="s">
        <v>487</v>
      </c>
      <c r="C228" s="13"/>
      <c r="D228" s="13"/>
      <c r="E228" s="5" t="s">
        <v>258</v>
      </c>
      <c r="F228" s="7">
        <f>IF(OR(E228="Oui",H228="Oui"),"Oui","Non")</f>
        <v>0</v>
      </c>
      <c r="G228" s="17" t="s">
        <v>488</v>
      </c>
      <c r="H228" s="7">
        <f>IF(AND($B$17="P1",ISNUMBER($B$48),$B$48&lt;P_N3_V),"Oui","")</f>
        <v>0</v>
      </c>
    </row>
    <row r="229" spans="1:8">
      <c r="A229" s="21" t="s">
        <v>489</v>
      </c>
      <c r="B229" s="13" t="s">
        <v>490</v>
      </c>
      <c r="C229" s="13"/>
      <c r="D229" s="13"/>
      <c r="E229" s="5" t="s">
        <v>258</v>
      </c>
      <c r="F229" s="7">
        <f>IF(OR(E229="Oui",H229="Oui"),"Oui","Non")</f>
        <v>0</v>
      </c>
      <c r="G229" s="17" t="s">
        <v>483</v>
      </c>
      <c r="H229" s="7"/>
    </row>
    <row r="230" spans="1:8">
      <c r="A230" s="21" t="s">
        <v>491</v>
      </c>
      <c r="B230" s="13" t="s">
        <v>492</v>
      </c>
      <c r="C230" s="13"/>
      <c r="D230" s="13"/>
      <c r="E230" s="5" t="s">
        <v>258</v>
      </c>
      <c r="F230" s="7">
        <f>IF(OR(E230="Oui",H230="Oui"),"Oui","Non")</f>
        <v>0</v>
      </c>
      <c r="G230" s="17" t="s">
        <v>488</v>
      </c>
      <c r="H230" s="7"/>
    </row>
    <row r="231" spans="1:8">
      <c r="A231" s="21" t="s">
        <v>493</v>
      </c>
      <c r="B231" s="13" t="s">
        <v>494</v>
      </c>
      <c r="C231" s="13"/>
      <c r="D231" s="13"/>
      <c r="E231" s="5" t="s">
        <v>257</v>
      </c>
      <c r="F231" s="7">
        <f>IF(H231="Oui","Oui","Non")</f>
        <v>0</v>
      </c>
      <c r="G231" s="17" t="s">
        <v>495</v>
      </c>
      <c r="H231" s="7">
        <f>IF(E231="Non","Oui","")</f>
        <v>0</v>
      </c>
    </row>
    <row r="232" spans="1:8">
      <c r="A232" s="21" t="s">
        <v>496</v>
      </c>
      <c r="B232" s="13" t="s">
        <v>497</v>
      </c>
      <c r="C232" s="13"/>
      <c r="D232" s="13"/>
      <c r="E232" s="5" t="s">
        <v>258</v>
      </c>
      <c r="F232" s="7">
        <f>IF(OR(E232="Oui",H232="Oui"),"Oui","Non")</f>
        <v>0</v>
      </c>
      <c r="G232" s="17" t="s">
        <v>495</v>
      </c>
      <c r="H232" s="7">
        <f>IF(AND(ISNUMBER($B$204),$B$204&lt;1),"Oui","")</f>
        <v>0</v>
      </c>
    </row>
    <row r="233" spans="1:8">
      <c r="A233" s="21" t="s">
        <v>498</v>
      </c>
      <c r="B233" s="13" t="s">
        <v>499</v>
      </c>
      <c r="C233" s="13"/>
      <c r="D233" s="13"/>
      <c r="E233" s="5" t="s">
        <v>258</v>
      </c>
      <c r="F233" s="7">
        <f>IF(OR(E233="Oui",H233="Oui"),"Oui","Non")</f>
        <v>0</v>
      </c>
      <c r="G233" s="17" t="s">
        <v>483</v>
      </c>
      <c r="H233" s="7"/>
    </row>
    <row r="235" spans="1:8">
      <c r="A235" s="3" t="s">
        <v>500</v>
      </c>
      <c r="B235" s="3"/>
      <c r="C235" s="3"/>
      <c r="D235" s="3"/>
      <c r="E235" s="3"/>
      <c r="F235" s="3"/>
      <c r="G235" s="3"/>
      <c r="H235" s="3"/>
    </row>
    <row r="236" spans="1:8">
      <c r="A236" s="11" t="s">
        <v>18</v>
      </c>
      <c r="B236" s="11" t="s">
        <v>130</v>
      </c>
      <c r="C236" s="11" t="s">
        <v>501</v>
      </c>
      <c r="D236" s="11" t="s">
        <v>502</v>
      </c>
      <c r="E236" s="11" t="s">
        <v>469</v>
      </c>
      <c r="F236" s="11" t="s">
        <v>131</v>
      </c>
      <c r="G236" s="11" t="s">
        <v>503</v>
      </c>
    </row>
    <row r="237" spans="1:8" ht="27" customHeight="1">
      <c r="A237" s="21" t="s">
        <v>132</v>
      </c>
      <c r="B237" s="13" t="s">
        <v>133</v>
      </c>
      <c r="C237" s="19">
        <f>$D$133</f>
        <v>0</v>
      </c>
      <c r="D237" s="19">
        <f>P_C1</f>
        <v>0</v>
      </c>
      <c r="E237" s="7">
        <f>IF($D$133="","n.r.",IF($D$133&lt;P_C1,"Oui","Non"))</f>
        <v>0</v>
      </c>
      <c r="F237" s="15">
        <f>INDEX(P_PlafNiv,1)</f>
        <v>0</v>
      </c>
      <c r="G237" s="15">
        <f>IF(E237="Oui",F237,10)</f>
        <v>0</v>
      </c>
    </row>
    <row r="238" spans="1:8" ht="27" customHeight="1">
      <c r="A238" s="21" t="s">
        <v>134</v>
      </c>
      <c r="B238" s="13" t="s">
        <v>135</v>
      </c>
      <c r="C238" s="19">
        <f>$D$133</f>
        <v>0</v>
      </c>
      <c r="D238" s="18">
        <f>$B$67</f>
        <v>0</v>
      </c>
      <c r="E238" s="7">
        <f>IF(OR($D$133="",$B$67=""),"n.r.",IF($D$133&lt;$B$67,"Oui","Non"))</f>
        <v>0</v>
      </c>
      <c r="F238" s="15">
        <f>INDEX(P_PlafNiv,2)</f>
        <v>0</v>
      </c>
      <c r="G238" s="15">
        <f>IF(E238="Oui",F238,10)</f>
        <v>0</v>
      </c>
    </row>
    <row r="239" spans="1:8" ht="27" customHeight="1">
      <c r="A239" s="21" t="s">
        <v>136</v>
      </c>
      <c r="B239" s="13" t="s">
        <v>137</v>
      </c>
      <c r="C239" s="19">
        <f>$D$134</f>
        <v>0</v>
      </c>
      <c r="D239" s="19">
        <f>P_C3</f>
        <v>0</v>
      </c>
      <c r="E239" s="7">
        <f>IF($D$134="","n.r.",IF($D$134&lt;P_C3,"Oui","Non"))</f>
        <v>0</v>
      </c>
      <c r="F239" s="15">
        <f>INDEX(P_PlafNiv,3)</f>
        <v>0</v>
      </c>
      <c r="G239" s="15">
        <f>IF(E239="Oui",F239,10)</f>
        <v>0</v>
      </c>
    </row>
    <row r="240" spans="1:8" ht="27" customHeight="1">
      <c r="A240" s="21" t="s">
        <v>138</v>
      </c>
      <c r="B240" s="13" t="s">
        <v>139</v>
      </c>
      <c r="C240" s="18">
        <f>$B$151</f>
        <v>0</v>
      </c>
      <c r="D240" s="18">
        <f>P_C4</f>
        <v>0</v>
      </c>
      <c r="E240" s="7">
        <f>IF($B$151="","n.r.",IF($B$151&lt;P_C4,"Oui","Non"))</f>
        <v>0</v>
      </c>
      <c r="F240" s="15">
        <f>INDEX(P_PlafNiv,4)</f>
        <v>0</v>
      </c>
      <c r="G240" s="15">
        <f>IF(E240="Oui",F240,10)</f>
        <v>0</v>
      </c>
    </row>
    <row r="241" spans="1:8" ht="27" customHeight="1">
      <c r="A241" s="21" t="s">
        <v>140</v>
      </c>
      <c r="B241" s="13" t="s">
        <v>141</v>
      </c>
      <c r="C241" s="13">
        <f>IF($B$158="","",$B$158&amp;" ans / dette "&amp;$B$159&amp;" ans")</f>
        <v>0</v>
      </c>
      <c r="D241" s="13">
        <f>"contrat &lt; dette"</f>
        <v>0</v>
      </c>
      <c r="E241" s="7">
        <f>IF($B$15="R4","n.a.",IF(OR($B$158="",$B$159=""),"n.r.",IF(AND($B$158&lt;$B$159,$B$160&lt;&gt;"Oui"),"Oui","Non")))</f>
        <v>0</v>
      </c>
      <c r="F241" s="15">
        <f>INDEX(P_PlafNiv,5)</f>
        <v>0</v>
      </c>
      <c r="G241" s="15">
        <f>IF(E241="Oui",F241,10)</f>
        <v>0</v>
      </c>
    </row>
    <row r="242" spans="1:8" ht="27" customHeight="1">
      <c r="A242" s="21" t="s">
        <v>142</v>
      </c>
      <c r="B242" s="13" t="s">
        <v>143</v>
      </c>
      <c r="C242" s="27">
        <f>$B$153</f>
        <v>0</v>
      </c>
      <c r="D242" s="27">
        <f>P_C6</f>
        <v>0</v>
      </c>
      <c r="E242" s="7">
        <f>IF($B$153="","n.r.",IF($B$153&gt;P_C6,"Oui","Non"))</f>
        <v>0</v>
      </c>
      <c r="F242" s="15">
        <f>INDEX(P_PlafNiv,6)</f>
        <v>0</v>
      </c>
      <c r="G242" s="15">
        <f>IF(E242="Oui",F242,10)</f>
        <v>0</v>
      </c>
    </row>
    <row r="243" spans="1:8" ht="27" customHeight="1">
      <c r="A243" s="21" t="s">
        <v>144</v>
      </c>
      <c r="B243" s="13" t="s">
        <v>145</v>
      </c>
      <c r="C243" s="20">
        <f>$B$152</f>
        <v>0</v>
      </c>
      <c r="D243" s="20">
        <f>P_C7</f>
        <v>0</v>
      </c>
      <c r="E243" s="7">
        <f>IF($B$152="","n.r.",IF($B$152&lt;P_C7,"Oui","Non"))</f>
        <v>0</v>
      </c>
      <c r="F243" s="15">
        <f>INDEX(P_PlafNiv,7)</f>
        <v>0</v>
      </c>
      <c r="G243" s="15">
        <f>IF(E243="Oui",F243,10)</f>
        <v>0</v>
      </c>
    </row>
    <row r="244" spans="1:8" ht="27" customHeight="1">
      <c r="A244" s="21" t="s">
        <v>146</v>
      </c>
      <c r="B244" s="13" t="s">
        <v>147</v>
      </c>
      <c r="C244" s="27">
        <f>$B$154</f>
        <v>0</v>
      </c>
      <c r="D244" s="27">
        <f>P_C8</f>
        <v>0</v>
      </c>
      <c r="E244" s="7">
        <f>IF($B$154="","n.r.",IF(AND($B$154&gt;P_C8,$B$155&lt;&gt;"Oui"),"Oui","Non"))</f>
        <v>0</v>
      </c>
      <c r="F244" s="15">
        <f>INDEX(P_PlafNiv,8)</f>
        <v>0</v>
      </c>
      <c r="G244" s="15">
        <f>IF(E244="Oui",F244,10)</f>
        <v>0</v>
      </c>
    </row>
    <row r="245" spans="1:8" ht="27" customHeight="1">
      <c r="A245" s="21" t="s">
        <v>148</v>
      </c>
      <c r="B245" s="13" t="s">
        <v>149</v>
      </c>
      <c r="C245" s="27">
        <f>$B$49</f>
        <v>0</v>
      </c>
      <c r="D245" s="27">
        <f>P_C9</f>
        <v>0</v>
      </c>
      <c r="E245" s="7">
        <f>IF($B$49="","n.r.",IF($B$49&gt;P_C9,"Oui","Non"))</f>
        <v>0</v>
      </c>
      <c r="F245" s="15">
        <f>INDEX(P_PlafNiv,9)</f>
        <v>0</v>
      </c>
      <c r="G245" s="15">
        <f>IF(E245="Oui",F245,10)</f>
        <v>0</v>
      </c>
    </row>
    <row r="246" spans="1:8" ht="27" customHeight="1">
      <c r="A246" s="21" t="s">
        <v>150</v>
      </c>
      <c r="B246" s="13" t="s">
        <v>151</v>
      </c>
      <c r="C246" s="13">
        <f>IF($B$156="","",FIXED($B$156*100,0)&amp;" % — "&amp;$B$157)</f>
        <v>0</v>
      </c>
      <c r="D246" s="13">
        <f>P_C10</f>
        <v>0</v>
      </c>
      <c r="E246" s="7">
        <f>IF(OR($B$156="",$B$157=""),"n.r.",IF(AND($B$156&gt;P_C10,$B$157&lt;&gt;INDEX(L_QualAch,1)),"Oui","Non"))</f>
        <v>0</v>
      </c>
      <c r="F246" s="15">
        <f>INDEX(P_PlafNiv,10)</f>
        <v>0</v>
      </c>
      <c r="G246" s="15">
        <f>IF(E246="Oui",F246,10)</f>
        <v>0</v>
      </c>
    </row>
    <row r="247" spans="1:8" ht="27" customHeight="1">
      <c r="A247" s="21" t="s">
        <v>152</v>
      </c>
      <c r="B247" s="13" t="s">
        <v>153</v>
      </c>
      <c r="C247" s="13">
        <f>$B$32</f>
        <v>0</v>
      </c>
      <c r="D247" s="13">
        <f>"élevé sans plan"</f>
        <v>0</v>
      </c>
      <c r="E247" s="7">
        <f>IF($B$32="","n.r.",IF(AND($B$32="Oui",$B$161&lt;&gt;"Oui"),"Oui","Non"))</f>
        <v>0</v>
      </c>
      <c r="F247" s="15">
        <f>INDEX(P_PlafNiv,11)</f>
        <v>0</v>
      </c>
      <c r="G247" s="15">
        <f>IF(E247="Oui",F247,10)</f>
        <v>0</v>
      </c>
    </row>
    <row r="248" spans="1:8" ht="27" customHeight="1">
      <c r="A248" s="21" t="s">
        <v>154</v>
      </c>
      <c r="B248" s="13" t="s">
        <v>155</v>
      </c>
      <c r="C248" s="13">
        <f>$B$162</f>
        <v>0</v>
      </c>
      <c r="D248" s="13">
        <f>"insuffisante"</f>
        <v>0</v>
      </c>
      <c r="E248" s="7">
        <f>IF($B$162="","n.r.",IF($B$162="Non","Oui","Non"))</f>
        <v>0</v>
      </c>
      <c r="F248" s="15">
        <f>INDEX(P_PlafNiv,12)</f>
        <v>0</v>
      </c>
      <c r="G248" s="15">
        <f>IF(E248="Oui",F248,10)</f>
        <v>0</v>
      </c>
    </row>
    <row r="249" spans="1:8" ht="27" customHeight="1">
      <c r="A249" s="21" t="s">
        <v>156</v>
      </c>
      <c r="B249" s="13" t="s">
        <v>157</v>
      </c>
      <c r="C249" s="13">
        <f>IF($B$163="","",$B$163&amp;IF($B$164="",""," — écart "&amp;$B$164&amp;" ans"))</f>
        <v>0</v>
      </c>
      <c r="D249" s="13">
        <f>P_C13</f>
        <v>0</v>
      </c>
      <c r="E249" s="7">
        <f>IF($B$163="","n.r.",IF(AND($B$163="Non",N($B$164)&gt;P_C13),"Oui","Non"))</f>
        <v>0</v>
      </c>
      <c r="F249" s="15">
        <f>INDEX(P_PlafNiv,13)</f>
        <v>0</v>
      </c>
      <c r="G249" s="15">
        <f>IF(E249="Oui",F249,10)</f>
        <v>0</v>
      </c>
    </row>
    <row r="250" spans="1:8" ht="27" customHeight="1">
      <c r="A250" s="21" t="s">
        <v>158</v>
      </c>
      <c r="B250" s="13" t="s">
        <v>159</v>
      </c>
      <c r="C250" s="13">
        <f>$B$165</f>
        <v>0</v>
      </c>
      <c r="D250" s="13">
        <f>"au-delà limite"</f>
        <v>0</v>
      </c>
      <c r="E250" s="7">
        <f>IF($B$165="","n.r.",IF($B$165="Oui","Oui","Non"))</f>
        <v>0</v>
      </c>
      <c r="F250" s="15">
        <f>INDEX(P_PlafNiv,14)</f>
        <v>0</v>
      </c>
      <c r="G250" s="15">
        <f>IF(E250="Oui",F250,10)</f>
        <v>0</v>
      </c>
    </row>
    <row r="251" spans="1:8" ht="27" customHeight="1">
      <c r="A251" s="21" t="s">
        <v>160</v>
      </c>
      <c r="B251" s="13" t="s">
        <v>161</v>
      </c>
      <c r="C251" s="27">
        <f>$B$203</f>
        <v>0</v>
      </c>
      <c r="D251" s="27">
        <f>P_COUV</f>
        <v>0</v>
      </c>
      <c r="E251" s="7">
        <f>IF(OR($B$203="",$B$204=""),"n.r.",IF(OR($B$203&lt;P_COUV,$B$204&lt;1),"Oui","Non"))</f>
        <v>0</v>
      </c>
      <c r="F251" s="15">
        <f>INDEX(P_PlafNiv,15)</f>
        <v>0</v>
      </c>
      <c r="G251" s="15">
        <f>IF(E251="Oui",F251,10)</f>
        <v>0</v>
      </c>
    </row>
    <row r="252" spans="1:8">
      <c r="A252" s="21" t="s">
        <v>504</v>
      </c>
      <c r="B252" s="14">
        <f>MIN(G237:G251)</f>
        <v>0</v>
      </c>
    </row>
    <row r="254" spans="1:8">
      <c r="A254" s="3" t="s">
        <v>505</v>
      </c>
      <c r="B254" s="3"/>
      <c r="C254" s="3"/>
      <c r="D254" s="3"/>
      <c r="E254" s="3"/>
      <c r="F254" s="3"/>
      <c r="G254" s="3"/>
      <c r="H254" s="3"/>
    </row>
    <row r="255" spans="1:8" ht="30" customHeight="1">
      <c r="A255" s="21" t="s">
        <v>506</v>
      </c>
      <c r="B255" s="25">
        <f>IF(COUNTIF(F222:F225,"Oui")&gt;0,"—",IF(B218="","",MIN(B218,B252)))</f>
        <v>0</v>
      </c>
    </row>
    <row r="256" spans="1:8">
      <c r="A256" s="21" t="s">
        <v>286</v>
      </c>
      <c r="B256" s="34">
        <f>IF(B218="","Dossier incomplet",IF(COUNTIF(F222:F225,"Oui")&gt;0,"Hors périmètre — aucune note produite",IF(COUNTIF(F226:F233,"Oui")&gt;0,"Note provisoire — stade bloqué : "&amp;TRIM(IF(F226="Oui","B1 (Octroi)  ","")&amp;IF(F227="Oui","B2 (Octroi)  ","")&amp;IF(F228="Oui","B3 (Décaissement)  ","")&amp;IF(F229="Oui","B4 (Octroi)  ","")&amp;IF(F230="Oui","B5 (Décaissement)  ","")&amp;IF(F231="Oui","B6 (Notation validée)  ","")&amp;IF(F232="Oui","B7 (Notation validée)  ","")&amp;IF(F233="Oui","B8 (Octroi)  ","")),IF(E251="Oui","Note provisoire — évaluation partielle (C15)","Note validable, à soumettre au comité"))))</f>
        <v>0</v>
      </c>
      <c r="C256" s="34"/>
      <c r="D256" s="34"/>
      <c r="E256" s="34"/>
      <c r="F256" s="34"/>
      <c r="G256" s="34"/>
      <c r="H256" s="34"/>
    </row>
    <row r="258" spans="1:8">
      <c r="A258" s="3" t="s">
        <v>507</v>
      </c>
      <c r="B258" s="3"/>
      <c r="C258" s="3"/>
      <c r="D258" s="3"/>
      <c r="E258" s="3"/>
      <c r="F258" s="3"/>
      <c r="G258" s="3"/>
      <c r="H258" s="3"/>
    </row>
    <row r="259" spans="1:8" ht="60" customHeight="1">
      <c r="A259" s="33" t="s">
        <v>624</v>
      </c>
      <c r="B259" s="33"/>
      <c r="C259" s="33"/>
      <c r="D259" s="33"/>
      <c r="E259" s="33"/>
      <c r="F259" s="33"/>
      <c r="G259" s="33"/>
      <c r="H259" s="33"/>
    </row>
  </sheetData>
  <sheetProtection sheet="1" objects="1" scenarios="1" formatColumns="0" formatRows="0"/>
  <mergeCells count="72">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A21:H21"/>
    <mergeCell ref="C22:H22"/>
    <mergeCell ref="C34:H34"/>
    <mergeCell ref="C35:H35"/>
    <mergeCell ref="A37:H37"/>
    <mergeCell ref="A52:H52"/>
    <mergeCell ref="B53:H53"/>
    <mergeCell ref="B54:H54"/>
    <mergeCell ref="B55:H55"/>
    <mergeCell ref="B56:H56"/>
    <mergeCell ref="B57:H57"/>
    <mergeCell ref="B58:H58"/>
    <mergeCell ref="B59:H59"/>
    <mergeCell ref="B60:H60"/>
    <mergeCell ref="A62:H62"/>
    <mergeCell ref="A69:H69"/>
    <mergeCell ref="C70:H70"/>
    <mergeCell ref="A140:H140"/>
    <mergeCell ref="E141:H141"/>
    <mergeCell ref="E142:H142"/>
    <mergeCell ref="E143:H143"/>
    <mergeCell ref="E144:H144"/>
    <mergeCell ref="E145:H145"/>
    <mergeCell ref="E146:H146"/>
    <mergeCell ref="E147:H147"/>
    <mergeCell ref="A149:H149"/>
    <mergeCell ref="A167:H167"/>
    <mergeCell ref="E168:H168"/>
    <mergeCell ref="E169:H169"/>
    <mergeCell ref="E173:H173"/>
    <mergeCell ref="E177:H177"/>
    <mergeCell ref="E181:H181"/>
    <mergeCell ref="E185:H185"/>
    <mergeCell ref="E189:H189"/>
    <mergeCell ref="E193:H193"/>
    <mergeCell ref="E197:H197"/>
    <mergeCell ref="A206:H206"/>
    <mergeCell ref="A220:H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A235:H235"/>
    <mergeCell ref="A254:H254"/>
    <mergeCell ref="B256:H256"/>
    <mergeCell ref="A258:H258"/>
    <mergeCell ref="A259:H259"/>
  </mergeCells>
  <conditionalFormatting sqref="A170:D170">
    <cfRule type="expression" dxfId="4" priority="20">
      <formula>$K$170=0</formula>
    </cfRule>
  </conditionalFormatting>
  <conditionalFormatting sqref="A171:D171">
    <cfRule type="expression" dxfId="4" priority="22">
      <formula>$K$171=0</formula>
    </cfRule>
  </conditionalFormatting>
  <conditionalFormatting sqref="A172:D172">
    <cfRule type="expression" dxfId="4" priority="24">
      <formula>$K$172=0</formula>
    </cfRule>
  </conditionalFormatting>
  <conditionalFormatting sqref="A174:D174">
    <cfRule type="expression" dxfId="4" priority="26">
      <formula>$K$174=0</formula>
    </cfRule>
  </conditionalFormatting>
  <conditionalFormatting sqref="A175:D175">
    <cfRule type="expression" dxfId="4" priority="28">
      <formula>$K$175=0</formula>
    </cfRule>
  </conditionalFormatting>
  <conditionalFormatting sqref="A176:D176">
    <cfRule type="expression" dxfId="4" priority="30">
      <formula>$K$176=0</formula>
    </cfRule>
  </conditionalFormatting>
  <conditionalFormatting sqref="A178:D178">
    <cfRule type="expression" dxfId="4" priority="32">
      <formula>$K$178=0</formula>
    </cfRule>
  </conditionalFormatting>
  <conditionalFormatting sqref="A179:D179">
    <cfRule type="expression" dxfId="4" priority="34">
      <formula>$K$179=0</formula>
    </cfRule>
  </conditionalFormatting>
  <conditionalFormatting sqref="A180:D180">
    <cfRule type="expression" dxfId="4" priority="36">
      <formula>$K$180=0</formula>
    </cfRule>
  </conditionalFormatting>
  <conditionalFormatting sqref="A182:D182">
    <cfRule type="expression" dxfId="4" priority="38">
      <formula>$K$182=0</formula>
    </cfRule>
  </conditionalFormatting>
  <conditionalFormatting sqref="A183:D183">
    <cfRule type="expression" dxfId="4" priority="40">
      <formula>$K$183=0</formula>
    </cfRule>
  </conditionalFormatting>
  <conditionalFormatting sqref="A184:D184">
    <cfRule type="expression" dxfId="4" priority="42">
      <formula>$K$184=0</formula>
    </cfRule>
  </conditionalFormatting>
  <conditionalFormatting sqref="A186:D186">
    <cfRule type="expression" dxfId="4" priority="44">
      <formula>$K$186=0</formula>
    </cfRule>
  </conditionalFormatting>
  <conditionalFormatting sqref="A187:D187">
    <cfRule type="expression" dxfId="4" priority="46">
      <formula>$K$187=0</formula>
    </cfRule>
  </conditionalFormatting>
  <conditionalFormatting sqref="A188:D188">
    <cfRule type="expression" dxfId="4" priority="48">
      <formula>$K$188=0</formula>
    </cfRule>
  </conditionalFormatting>
  <conditionalFormatting sqref="A190:D190">
    <cfRule type="expression" dxfId="4" priority="50">
      <formula>$K$190=0</formula>
    </cfRule>
  </conditionalFormatting>
  <conditionalFormatting sqref="A191:D191">
    <cfRule type="expression" dxfId="4" priority="52">
      <formula>$K$191=0</formula>
    </cfRule>
  </conditionalFormatting>
  <conditionalFormatting sqref="A192:D192">
    <cfRule type="expression" dxfId="4" priority="54">
      <formula>$K$192=0</formula>
    </cfRule>
  </conditionalFormatting>
  <conditionalFormatting sqref="A194:D194">
    <cfRule type="expression" dxfId="4" priority="56">
      <formula>$K$194=0</formula>
    </cfRule>
  </conditionalFormatting>
  <conditionalFormatting sqref="A195:D195">
    <cfRule type="expression" dxfId="4" priority="58">
      <formula>$K$195=0</formula>
    </cfRule>
  </conditionalFormatting>
  <conditionalFormatting sqref="A196:D196">
    <cfRule type="expression" dxfId="4" priority="60">
      <formula>$K$196=0</formula>
    </cfRule>
  </conditionalFormatting>
  <conditionalFormatting sqref="A198:D198">
    <cfRule type="expression" dxfId="4" priority="62">
      <formula>$K$198=0</formula>
    </cfRule>
  </conditionalFormatting>
  <conditionalFormatting sqref="A199:D199">
    <cfRule type="expression" dxfId="4" priority="64">
      <formula>$K$199=0</formula>
    </cfRule>
  </conditionalFormatting>
  <conditionalFormatting sqref="A200:D200">
    <cfRule type="expression" dxfId="4" priority="66">
      <formula>$K$200=0</formula>
    </cfRule>
  </conditionalFormatting>
  <conditionalFormatting sqref="A201:D201">
    <cfRule type="expression" dxfId="4" priority="68">
      <formula>$K$201=0</formula>
    </cfRule>
  </conditionalFormatting>
  <conditionalFormatting sqref="B145">
    <cfRule type="expression" dxfId="2" priority="143">
      <formula>NOT($B$145&lt;&gt;"")</formula>
    </cfRule>
  </conditionalFormatting>
  <conditionalFormatting sqref="B146">
    <cfRule type="expression" dxfId="2" priority="144">
      <formula>NOT($B$146&lt;&gt;"")</formula>
    </cfRule>
  </conditionalFormatting>
  <conditionalFormatting sqref="B147">
    <cfRule type="expression" dxfId="2" priority="145">
      <formula>NOT($B$147&lt;&gt;"")</formula>
    </cfRule>
  </conditionalFormatting>
  <conditionalFormatting sqref="B15">
    <cfRule type="expression" dxfId="2" priority="124">
      <formula>NOT($B$15&lt;&gt;"")</formula>
    </cfRule>
  </conditionalFormatting>
  <conditionalFormatting sqref="B150">
    <cfRule type="expression" dxfId="2" priority="146">
      <formula>NOT(OR($B$17="P1",$B$150&lt;&gt;""))</formula>
    </cfRule>
  </conditionalFormatting>
  <conditionalFormatting sqref="B151">
    <cfRule type="expression" dxfId="2" priority="147">
      <formula>NOT(ISNUMBER($B$151))</formula>
    </cfRule>
  </conditionalFormatting>
  <conditionalFormatting sqref="B152">
    <cfRule type="expression" dxfId="2" priority="148">
      <formula>NOT(ISNUMBER($B$152))</formula>
    </cfRule>
  </conditionalFormatting>
  <conditionalFormatting sqref="B153">
    <cfRule type="expression" dxfId="2" priority="149">
      <formula>NOT(ISNUMBER($B$153))</formula>
    </cfRule>
  </conditionalFormatting>
  <conditionalFormatting sqref="B154">
    <cfRule type="expression" dxfId="2" priority="150">
      <formula>NOT(ISNUMBER($B$154))</formula>
    </cfRule>
  </conditionalFormatting>
  <conditionalFormatting sqref="B155">
    <cfRule type="expression" dxfId="2" priority="151">
      <formula>NOT(OR(N($B$154)&lt;=P_C8,$B$155&lt;&gt;""))</formula>
    </cfRule>
  </conditionalFormatting>
  <conditionalFormatting sqref="B156">
    <cfRule type="expression" dxfId="2" priority="152">
      <formula>NOT(ISNUMBER($B$156))</formula>
    </cfRule>
  </conditionalFormatting>
  <conditionalFormatting sqref="B157">
    <cfRule type="expression" dxfId="2" priority="153">
      <formula>NOT($B$157&lt;&gt;"")</formula>
    </cfRule>
  </conditionalFormatting>
  <conditionalFormatting sqref="B158">
    <cfRule type="expression" dxfId="2" priority="154">
      <formula>NOT(OR($B$15="R4",ISNUMBER($B$158)))</formula>
    </cfRule>
  </conditionalFormatting>
  <conditionalFormatting sqref="B159">
    <cfRule type="expression" dxfId="2" priority="155">
      <formula>NOT(ISNUMBER($B$159))</formula>
    </cfRule>
  </conditionalFormatting>
  <conditionalFormatting sqref="B16">
    <cfRule type="expression" dxfId="2" priority="125">
      <formula>NOT($B$16&lt;&gt;"")</formula>
    </cfRule>
  </conditionalFormatting>
  <conditionalFormatting sqref="B160">
    <cfRule type="expression" dxfId="2" priority="156">
      <formula>NOT(OR(NOT(AND(ISNUMBER($B$158),ISNUMBER($B$159))),N($B$158)&gt;=N($B$159),$B$160&lt;&gt;""))</formula>
    </cfRule>
  </conditionalFormatting>
  <conditionalFormatting sqref="B161">
    <cfRule type="expression" dxfId="2" priority="157">
      <formula>NOT(OR($B$32&lt;&gt;"Oui",$B$161&lt;&gt;""))</formula>
    </cfRule>
  </conditionalFormatting>
  <conditionalFormatting sqref="B162">
    <cfRule type="expression" dxfId="2" priority="158">
      <formula>NOT($B$162&lt;&gt;"")</formula>
    </cfRule>
  </conditionalFormatting>
  <conditionalFormatting sqref="B163">
    <cfRule type="expression" dxfId="2" priority="159">
      <formula>NOT($B$163&lt;&gt;"")</formula>
    </cfRule>
  </conditionalFormatting>
  <conditionalFormatting sqref="B164">
    <cfRule type="expression" dxfId="2" priority="160">
      <formula>NOT(OR($B$163&lt;&gt;"Non",ISNUMBER($B$164)))</formula>
    </cfRule>
  </conditionalFormatting>
  <conditionalFormatting sqref="B165">
    <cfRule type="expression" dxfId="2" priority="161">
      <formula>NOT($B$165&lt;&gt;"")</formula>
    </cfRule>
  </conditionalFormatting>
  <conditionalFormatting sqref="B17">
    <cfRule type="expression" dxfId="2" priority="126">
      <formula>NOT($B$17&lt;&gt;"")</formula>
    </cfRule>
  </conditionalFormatting>
  <conditionalFormatting sqref="B170">
    <cfRule type="expression" dxfId="2" priority="21">
      <formula>AND($K$170=1,$B$170="")</formula>
    </cfRule>
  </conditionalFormatting>
  <conditionalFormatting sqref="B171">
    <cfRule type="expression" dxfId="2" priority="23">
      <formula>AND($K$171=1,$B$171="")</formula>
    </cfRule>
  </conditionalFormatting>
  <conditionalFormatting sqref="B172">
    <cfRule type="expression" dxfId="2" priority="25">
      <formula>AND($K$172=1,$B$172="")</formula>
    </cfRule>
  </conditionalFormatting>
  <conditionalFormatting sqref="B174">
    <cfRule type="expression" dxfId="2" priority="27">
      <formula>AND($K$174=1,$B$174="")</formula>
    </cfRule>
  </conditionalFormatting>
  <conditionalFormatting sqref="B175">
    <cfRule type="expression" dxfId="2" priority="29">
      <formula>AND($K$175=1,$B$175="")</formula>
    </cfRule>
  </conditionalFormatting>
  <conditionalFormatting sqref="B176">
    <cfRule type="expression" dxfId="2" priority="31">
      <formula>AND($K$176=1,$B$176="")</formula>
    </cfRule>
  </conditionalFormatting>
  <conditionalFormatting sqref="B178">
    <cfRule type="expression" dxfId="2" priority="33">
      <formula>AND($K$178=1,$B$178="")</formula>
    </cfRule>
  </conditionalFormatting>
  <conditionalFormatting sqref="B179">
    <cfRule type="expression" dxfId="2" priority="35">
      <formula>AND($K$179=1,$B$179="")</formula>
    </cfRule>
  </conditionalFormatting>
  <conditionalFormatting sqref="B18">
    <cfRule type="expression" dxfId="2" priority="127">
      <formula>NOT($B$18&lt;&gt;"")</formula>
    </cfRule>
  </conditionalFormatting>
  <conditionalFormatting sqref="B180">
    <cfRule type="expression" dxfId="2" priority="37">
      <formula>AND($K$180=1,$B$180="")</formula>
    </cfRule>
  </conditionalFormatting>
  <conditionalFormatting sqref="B182">
    <cfRule type="expression" dxfId="2" priority="39">
      <formula>AND($K$182=1,$B$182="")</formula>
    </cfRule>
  </conditionalFormatting>
  <conditionalFormatting sqref="B183">
    <cfRule type="expression" dxfId="2" priority="41">
      <formula>AND($K$183=1,$B$183="")</formula>
    </cfRule>
  </conditionalFormatting>
  <conditionalFormatting sqref="B184">
    <cfRule type="expression" dxfId="2" priority="43">
      <formula>AND($K$184=1,$B$184="")</formula>
    </cfRule>
  </conditionalFormatting>
  <conditionalFormatting sqref="B186">
    <cfRule type="expression" dxfId="2" priority="45">
      <formula>AND($K$186=1,$B$186="")</formula>
    </cfRule>
  </conditionalFormatting>
  <conditionalFormatting sqref="B187">
    <cfRule type="expression" dxfId="2" priority="47">
      <formula>AND($K$187=1,$B$187="")</formula>
    </cfRule>
  </conditionalFormatting>
  <conditionalFormatting sqref="B188">
    <cfRule type="expression" dxfId="2" priority="49">
      <formula>AND($K$188=1,$B$188="")</formula>
    </cfRule>
  </conditionalFormatting>
  <conditionalFormatting sqref="B190">
    <cfRule type="expression" dxfId="2" priority="51">
      <formula>AND($K$190=1,$B$190="")</formula>
    </cfRule>
  </conditionalFormatting>
  <conditionalFormatting sqref="B191">
    <cfRule type="expression" dxfId="2" priority="53">
      <formula>AND($K$191=1,$B$191="")</formula>
    </cfRule>
  </conditionalFormatting>
  <conditionalFormatting sqref="B192">
    <cfRule type="expression" dxfId="2" priority="55">
      <formula>AND($K$192=1,$B$192="")</formula>
    </cfRule>
  </conditionalFormatting>
  <conditionalFormatting sqref="B194">
    <cfRule type="expression" dxfId="2" priority="57">
      <formula>AND($K$194=1,$B$194="")</formula>
    </cfRule>
  </conditionalFormatting>
  <conditionalFormatting sqref="B195">
    <cfRule type="expression" dxfId="2" priority="59">
      <formula>AND($K$195=1,$B$195="")</formula>
    </cfRule>
  </conditionalFormatting>
  <conditionalFormatting sqref="B196">
    <cfRule type="expression" dxfId="2" priority="61">
      <formula>AND($K$196=1,$B$196="")</formula>
    </cfRule>
  </conditionalFormatting>
  <conditionalFormatting sqref="B198">
    <cfRule type="expression" dxfId="2" priority="63">
      <formula>AND($K$198=1,$B$198="")</formula>
    </cfRule>
  </conditionalFormatting>
  <conditionalFormatting sqref="B199">
    <cfRule type="expression" dxfId="2" priority="65">
      <formula>AND($K$199=1,$B$199="")</formula>
    </cfRule>
  </conditionalFormatting>
  <conditionalFormatting sqref="B200">
    <cfRule type="expression" dxfId="2" priority="67">
      <formula>AND($K$200=1,$B$200="")</formula>
    </cfRule>
  </conditionalFormatting>
  <conditionalFormatting sqref="B201">
    <cfRule type="expression" dxfId="2" priority="69">
      <formula>AND($K$201=1,$B$201="")</formula>
    </cfRule>
  </conditionalFormatting>
  <conditionalFormatting sqref="B23">
    <cfRule type="expression" dxfId="2" priority="128">
      <formula>NOT(ISNUMBER($B$23))</formula>
    </cfRule>
  </conditionalFormatting>
  <conditionalFormatting sqref="B24">
    <cfRule type="expression" dxfId="2" priority="129">
      <formula>NOT($B$24&lt;&gt;"")</formula>
    </cfRule>
  </conditionalFormatting>
  <conditionalFormatting sqref="B25">
    <cfRule type="expression" dxfId="2" priority="130">
      <formula>NOT(ISNUMBER($B$25))</formula>
    </cfRule>
  </conditionalFormatting>
  <conditionalFormatting sqref="B26">
    <cfRule type="expression" dxfId="2" priority="131">
      <formula>NOT($B$26&lt;&gt;"")</formula>
    </cfRule>
  </conditionalFormatting>
  <conditionalFormatting sqref="B27">
    <cfRule type="expression" dxfId="2" priority="132">
      <formula>NOT(OR(NOT($B$17="P1"),$B$27&lt;&gt;""))</formula>
    </cfRule>
  </conditionalFormatting>
  <conditionalFormatting sqref="B28">
    <cfRule type="expression" dxfId="2" priority="133">
      <formula>NOT($B$28&lt;&gt;"")</formula>
    </cfRule>
  </conditionalFormatting>
  <conditionalFormatting sqref="B29">
    <cfRule type="expression" dxfId="2" priority="134">
      <formula>NOT($B$29&lt;&gt;"")</formula>
    </cfRule>
  </conditionalFormatting>
  <conditionalFormatting sqref="B30">
    <cfRule type="expression" dxfId="2" priority="135">
      <formula>NOT($B$30&lt;&gt;"")</formula>
    </cfRule>
  </conditionalFormatting>
  <conditionalFormatting sqref="B31">
    <cfRule type="expression" dxfId="2" priority="136">
      <formula>NOT($B$31&lt;&gt;"")</formula>
    </cfRule>
  </conditionalFormatting>
  <conditionalFormatting sqref="B32">
    <cfRule type="expression" dxfId="2" priority="137">
      <formula>NOT($B$32&lt;&gt;"")</formula>
    </cfRule>
  </conditionalFormatting>
  <conditionalFormatting sqref="B33">
    <cfRule type="expression" dxfId="2" priority="138">
      <formula>NOT(ISNUMBER($B$33))</formula>
    </cfRule>
  </conditionalFormatting>
  <conditionalFormatting sqref="B39">
    <cfRule type="expression" dxfId="2" priority="139">
      <formula>NOT(N($B$47)&gt;0)</formula>
    </cfRule>
  </conditionalFormatting>
  <conditionalFormatting sqref="B4">
    <cfRule type="expression" dxfId="1" priority="1">
      <formula>AND(ISNUMBER($B$4),$B$4=0)</formula>
    </cfRule>
    <cfRule type="expression" dxfId="2" priority="2">
      <formula>AND(ISNUMBER($B$4),$B$4&gt;0)</formula>
    </cfRule>
  </conditionalFormatting>
  <conditionalFormatting sqref="B50">
    <cfRule type="expression" dxfId="2" priority="141">
      <formula>NOT(OR(NOT(AND($B$17="P1",ISNUMBER($B$48),N($B$48)&gt;=P_N3_V,N($B$48)&lt;P_N3_F)),$B$50&lt;&gt;""))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70">
    <cfRule type="expression" dxfId="2" priority="142">
      <formula>NOT(ISNUMBER($B$70))</formula>
    </cfRule>
  </conditionalFormatting>
  <conditionalFormatting sqref="B72:C73">
    <cfRule type="expression" dxfId="2" priority="12">
      <formula>AND(COUNT($B$72:$B$131)&lt;2,B72="")</formula>
    </cfRule>
  </conditionalFormatting>
  <conditionalFormatting sqref="C72:C131">
    <cfRule type="expression" dxfId="2" priority="11">
      <formula>AND(ISNUMBER($B72),NOT(ISNUMBER($C72)))</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33">
    <cfRule type="cellIs" dxfId="0" priority="16" operator="equal">
      <formula>"Critique"</formula>
    </cfRule>
    <cfRule type="cellIs" dxfId="3" priority="17" operator="equal">
      <formula>"Vigilance"</formula>
    </cfRule>
  </conditionalFormatting>
  <conditionalFormatting sqref="E134">
    <cfRule type="cellIs" dxfId="0" priority="18" operator="equal">
      <formula>"Critique"</formula>
    </cfRule>
    <cfRule type="cellIs" dxfId="3" priority="19" operator="equal">
      <formula>"Vigilance"</formula>
    </cfRule>
  </conditionalFormatting>
  <conditionalFormatting sqref="E222">
    <cfRule type="expression" dxfId="2" priority="70">
      <formula>$E$222=""</formula>
    </cfRule>
  </conditionalFormatting>
  <conditionalFormatting sqref="E223">
    <cfRule type="expression" dxfId="2" priority="72">
      <formula>$E$223=""</formula>
    </cfRule>
  </conditionalFormatting>
  <conditionalFormatting sqref="E224">
    <cfRule type="expression" dxfId="2" priority="74">
      <formula>$E$224=""</formula>
    </cfRule>
  </conditionalFormatting>
  <conditionalFormatting sqref="E225">
    <cfRule type="expression" dxfId="2" priority="76">
      <formula>$E$225=""</formula>
    </cfRule>
  </conditionalFormatting>
  <conditionalFormatting sqref="E226">
    <cfRule type="expression" dxfId="2" priority="78">
      <formula>$E$226=""</formula>
    </cfRule>
  </conditionalFormatting>
  <conditionalFormatting sqref="E227">
    <cfRule type="expression" dxfId="2" priority="80">
      <formula>$E$227=""</formula>
    </cfRule>
  </conditionalFormatting>
  <conditionalFormatting sqref="E228">
    <cfRule type="expression" dxfId="2" priority="82">
      <formula>$E$228=""</formula>
    </cfRule>
  </conditionalFormatting>
  <conditionalFormatting sqref="E229">
    <cfRule type="expression" dxfId="2" priority="84">
      <formula>$E$229=""</formula>
    </cfRule>
  </conditionalFormatting>
  <conditionalFormatting sqref="E230">
    <cfRule type="expression" dxfId="2" priority="86">
      <formula>$E$230=""</formula>
    </cfRule>
  </conditionalFormatting>
  <conditionalFormatting sqref="E231">
    <cfRule type="expression" dxfId="2" priority="88">
      <formula>$E$231=""</formula>
    </cfRule>
  </conditionalFormatting>
  <conditionalFormatting sqref="E232">
    <cfRule type="expression" dxfId="2" priority="90">
      <formula>$E$232=""</formula>
    </cfRule>
  </conditionalFormatting>
  <conditionalFormatting sqref="E233">
    <cfRule type="expression" dxfId="2" priority="92">
      <formula>$E$233=""</formula>
    </cfRule>
  </conditionalFormatting>
  <conditionalFormatting sqref="E237">
    <cfRule type="cellIs" dxfId="0" priority="94" operator="equal">
      <formula>"Oui"</formula>
    </cfRule>
    <cfRule type="cellIs" dxfId="3" priority="95" operator="equal">
      <formula>"n.r."</formula>
    </cfRule>
  </conditionalFormatting>
  <conditionalFormatting sqref="E238">
    <cfRule type="cellIs" dxfId="0" priority="96" operator="equal">
      <formula>"Oui"</formula>
    </cfRule>
    <cfRule type="cellIs" dxfId="3" priority="97" operator="equal">
      <formula>"n.r."</formula>
    </cfRule>
  </conditionalFormatting>
  <conditionalFormatting sqref="E239">
    <cfRule type="cellIs" dxfId="0" priority="98" operator="equal">
      <formula>"Oui"</formula>
    </cfRule>
    <cfRule type="cellIs" dxfId="3" priority="99" operator="equal">
      <formula>"n.r."</formula>
    </cfRule>
  </conditionalFormatting>
  <conditionalFormatting sqref="E240">
    <cfRule type="cellIs" dxfId="0" priority="100" operator="equal">
      <formula>"Oui"</formula>
    </cfRule>
    <cfRule type="cellIs" dxfId="3" priority="101" operator="equal">
      <formula>"n.r."</formula>
    </cfRule>
  </conditionalFormatting>
  <conditionalFormatting sqref="E241">
    <cfRule type="cellIs" dxfId="0" priority="102" operator="equal">
      <formula>"Oui"</formula>
    </cfRule>
    <cfRule type="cellIs" dxfId="3" priority="103" operator="equal">
      <formula>"n.r."</formula>
    </cfRule>
  </conditionalFormatting>
  <conditionalFormatting sqref="E242">
    <cfRule type="cellIs" dxfId="0" priority="104" operator="equal">
      <formula>"Oui"</formula>
    </cfRule>
    <cfRule type="cellIs" dxfId="3" priority="105" operator="equal">
      <formula>"n.r."</formula>
    </cfRule>
  </conditionalFormatting>
  <conditionalFormatting sqref="E243">
    <cfRule type="cellIs" dxfId="0" priority="106" operator="equal">
      <formula>"Oui"</formula>
    </cfRule>
    <cfRule type="cellIs" dxfId="3" priority="107" operator="equal">
      <formula>"n.r."</formula>
    </cfRule>
  </conditionalFormatting>
  <conditionalFormatting sqref="E244">
    <cfRule type="cellIs" dxfId="0" priority="108" operator="equal">
      <formula>"Oui"</formula>
    </cfRule>
    <cfRule type="cellIs" dxfId="3" priority="109" operator="equal">
      <formula>"n.r."</formula>
    </cfRule>
  </conditionalFormatting>
  <conditionalFormatting sqref="E245">
    <cfRule type="cellIs" dxfId="0" priority="110" operator="equal">
      <formula>"Oui"</formula>
    </cfRule>
    <cfRule type="cellIs" dxfId="3" priority="111" operator="equal">
      <formula>"n.r."</formula>
    </cfRule>
  </conditionalFormatting>
  <conditionalFormatting sqref="E246">
    <cfRule type="cellIs" dxfId="0" priority="112" operator="equal">
      <formula>"Oui"</formula>
    </cfRule>
    <cfRule type="cellIs" dxfId="3" priority="113" operator="equal">
      <formula>"n.r."</formula>
    </cfRule>
  </conditionalFormatting>
  <conditionalFormatting sqref="E247">
    <cfRule type="cellIs" dxfId="0" priority="114" operator="equal">
      <formula>"Oui"</formula>
    </cfRule>
    <cfRule type="cellIs" dxfId="3" priority="115" operator="equal">
      <formula>"n.r."</formula>
    </cfRule>
  </conditionalFormatting>
  <conditionalFormatting sqref="E248">
    <cfRule type="cellIs" dxfId="0" priority="116" operator="equal">
      <formula>"Oui"</formula>
    </cfRule>
    <cfRule type="cellIs" dxfId="3" priority="117" operator="equal">
      <formula>"n.r."</formula>
    </cfRule>
  </conditionalFormatting>
  <conditionalFormatting sqref="E249">
    <cfRule type="cellIs" dxfId="0" priority="118" operator="equal">
      <formula>"Oui"</formula>
    </cfRule>
    <cfRule type="cellIs" dxfId="3" priority="119" operator="equal">
      <formula>"n.r."</formula>
    </cfRule>
  </conditionalFormatting>
  <conditionalFormatting sqref="E250">
    <cfRule type="cellIs" dxfId="0" priority="120" operator="equal">
      <formula>"Oui"</formula>
    </cfRule>
    <cfRule type="cellIs" dxfId="3" priority="121" operator="equal">
      <formula>"n.r."</formula>
    </cfRule>
  </conditionalFormatting>
  <conditionalFormatting sqref="E251">
    <cfRule type="cellIs" dxfId="0" priority="122" operator="equal">
      <formula>"Oui"</formula>
    </cfRule>
    <cfRule type="cellIs" dxfId="3" priority="123" operator="equal">
      <formula>"n.r."</formula>
    </cfRule>
  </conditionalFormatting>
  <conditionalFormatting sqref="E39">
    <cfRule type="expression" dxfId="2" priority="140">
      <formula>NOT(N($E$47)&gt;0)</formula>
    </cfRule>
  </conditionalFormatting>
  <conditionalFormatting sqref="E72:E131">
    <cfRule type="cellIs" dxfId="0" priority="13" operator="equal">
      <formula>"Critique"</formula>
    </cfRule>
    <cfRule type="cellIs" dxfId="3" priority="14" operator="equal">
      <formula>"Vigilance"</formula>
    </cfRule>
    <cfRule type="cellIs" dxfId="1" priority="15" operator="equal">
      <formula>"Très favorable"</formula>
    </cfRule>
  </conditionalFormatting>
  <conditionalFormatting sqref="F222">
    <cfRule type="cellIs" dxfId="0" priority="71" operator="equal">
      <formula>"Oui"</formula>
    </cfRule>
  </conditionalFormatting>
  <conditionalFormatting sqref="F223">
    <cfRule type="cellIs" dxfId="0" priority="73" operator="equal">
      <formula>"Oui"</formula>
    </cfRule>
  </conditionalFormatting>
  <conditionalFormatting sqref="F224">
    <cfRule type="cellIs" dxfId="0" priority="75" operator="equal">
      <formula>"Oui"</formula>
    </cfRule>
  </conditionalFormatting>
  <conditionalFormatting sqref="F225">
    <cfRule type="cellIs" dxfId="0" priority="77" operator="equal">
      <formula>"Oui"</formula>
    </cfRule>
  </conditionalFormatting>
  <conditionalFormatting sqref="F226">
    <cfRule type="cellIs" dxfId="0" priority="79" operator="equal">
      <formula>"Oui"</formula>
    </cfRule>
  </conditionalFormatting>
  <conditionalFormatting sqref="F227">
    <cfRule type="cellIs" dxfId="0" priority="81" operator="equal">
      <formula>"Oui"</formula>
    </cfRule>
  </conditionalFormatting>
  <conditionalFormatting sqref="F228">
    <cfRule type="cellIs" dxfId="0" priority="83" operator="equal">
      <formula>"Oui"</formula>
    </cfRule>
  </conditionalFormatting>
  <conditionalFormatting sqref="F229">
    <cfRule type="cellIs" dxfId="0" priority="85" operator="equal">
      <formula>"Oui"</formula>
    </cfRule>
  </conditionalFormatting>
  <conditionalFormatting sqref="F230">
    <cfRule type="cellIs" dxfId="0" priority="87" operator="equal">
      <formula>"Oui"</formula>
    </cfRule>
  </conditionalFormatting>
  <conditionalFormatting sqref="F231">
    <cfRule type="cellIs" dxfId="0" priority="89" operator="equal">
      <formula>"Oui"</formula>
    </cfRule>
  </conditionalFormatting>
  <conditionalFormatting sqref="F232">
    <cfRule type="cellIs" dxfId="0" priority="91" operator="equal">
      <formula>"Oui"</formula>
    </cfRule>
  </conditionalFormatting>
  <conditionalFormatting sqref="F233">
    <cfRule type="cellIs" dxfId="0" priority="93" operator="equal">
      <formula>"Oui"</formula>
    </cfRule>
  </conditionalFormatting>
  <conditionalFormatting sqref="F39:F46">
    <cfRule type="expression" dxfId="2" priority="10">
      <formula>AND(ISNUMBER($E39),$F39="")</formula>
    </cfRule>
  </conditionalFormatting>
  <dataValidations count="100">
    <dataValidation allowBlank="1" showInputMessage="1" showErrorMessage="1" promptTitle="Intitulé du dossier" prompt="Référence et nom du projet, ex. « PF-2026-014 · Centrale solaire de Ouarzazate »."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5">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sectoriel Δ au seuil DSCR du régime (onglet Paramètres)." sqref="B16">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17">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18">
      <formula1>L_Periodicite</formula1>
    </dataValidation>
    <dataValidation allowBlank="1" showInputMessage="1" showErrorMessage="1" promptTitle="Famille de financement" prompt="PF-FLUX : société de projet remboursée par les flux du projet. La vente d'actifs (R5) est hors outil." sqref="B19"/>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3">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4">
      <formula1>L_OuiNon</formula1>
    </dataValidation>
    <dataValidation type="decimal" allowBlank="1" showInputMessage="1" showErrorMessage="1" errorTitle="Valeur non admise" error="Saisissez une durée en années (0 à 99)." promptTitle="Durée du financement" prompt="Durée totale de la dette, en années. Ex. : 15." sqref="B25">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6">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27">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28">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29">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0">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1">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2">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3">
      <formula1>0</formula1>
      <formula2>99</formula2>
    </dataValidation>
    <dataValidation allowBlank="1" showInputMessage="1" showErrorMessage="1" promptTitle="Emploi" prompt="Poste du besoin à terminaison : CAPEX, intérêts intercalaires, DSRA initiale, aléas…" sqref="A39:A46"/>
    <dataValidation type="decimal" operator="greaterThanOrEqual" allowBlank="1" showInputMessage="1" showErrorMessage="1" errorTitle="Valeur non admise" error="Saisissez un nombre positif ou nul." promptTitle="Montant de l'emploi" prompt="Montant en millions de dirhams (MMAD)." sqref="B39:B46">
      <formula1>0</formula1>
    </dataValidation>
    <dataValidation allowBlank="1" showInputMessage="1" showErrorMessage="1" promptTitle="Ressource" prompt="Ressource engagée : dette senior, capital, quasi-fonds propres, subvention…" sqref="D39:D46"/>
    <dataValidation type="decimal" operator="greaterThanOrEqual" allowBlank="1" showInputMessage="1" showErrorMessage="1" errorTitle="Valeur non admise" error="Saisissez un nombre positif ou nul." promptTitle="Montant de la ressource" prompt="Montant engagé, en millions de dirhams (MMAD)." sqref="E39:E46">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39:F46">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0">
      <formula1>L_OuiNon</formula1>
    </dataValidation>
    <dataValidation allowBlank="1" showInputMessage="1" showErrorMessage="1" promptTitle="Hypothèse d'exploitation" prompt="Information libre, non utilisée par le calcul." sqref="A53:B60"/>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70">
      <formula1>0</formula1>
      <formula2>0.95</formula2>
    </dataValidation>
    <dataValidation allowBlank="1" showInputMessage="1" showErrorMessage="1" promptTitle="Description du stress" prompt="Décrivez le scénario défavorable, ex. « production P90 et tarif −10 % »." sqref="C70"/>
    <dataValidation allowBlank="1" showInputMessage="1" showErrorMessage="1" promptTitle="Période" prompt="Libellé de l'échéance, ex. « An 1 · S1 ». Le bouton « Préparer l'échéancier » les génère." sqref="A72:A131"/>
    <dataValidation type="decimal" allowBlank="1" showInputMessage="1" showErrorMessage="1" errorTitle="Valeur non admise" error="Saisissez un nombre." promptTitle="CFADS central" prompt="Flux disponible pour le service de la dette sur la période, en MMAD. Un CFADS négatif est noté Critique d'office." sqref="B72:B131">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72:C131">
      <formula1>0</formula1>
    </dataValidation>
    <dataValidation type="decimal" allowBlank="1" showInputMessage="1" showErrorMessage="1" errorTitle="Valeur non admise" error="Saisissez un nombre." promptTitle="CFADS stressé (facultatif)" prompt="Laisser vide pour appliquer le choc de la ligne 70. Sinon, CFADS du scénario défavorable issu du modèle de flux." sqref="F72:F131">
      <formula1>-1000000000.0</formula1>
      <formula2>1000000000.0</formula2>
    </dataValidation>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5">
      <formula1>L_Notes</formula1>
    </dataValidation>
    <dataValidation allowBlank="1" showInputMessage="1" showErrorMessage="1" promptTitle="Justification" prompt="Mesure et pièce justificative, ex. « DSRA 6 mois, cascade de paiement signée »." sqref="E145"/>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6">
      <formula1>L_Notes</formula1>
    </dataValidation>
    <dataValidation allowBlank="1" showInputMessage="1" showErrorMessage="1" promptTitle="Justification" prompt="Mesure et pièce justificative, ex. « DSRA 6 mois, cascade de paiement signée »." sqref="E146"/>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7">
      <formula1>L_Notes</formula1>
    </dataValidation>
    <dataValidation allowBlank="1" showInputMessage="1" showErrorMessage="1" promptTitle="Justification" prompt="Mesure et pièce justificative, ex. « DSRA 6 mois, cascade de paiement signée »." sqref="E147"/>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50">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51">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52">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53">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54">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55">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56">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57">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58">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59">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60">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61">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62">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63">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64">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65">
      <formula1>L_OuiNon</formula1>
    </dataValidation>
    <dataValidation allowBlank="1" showInputMessage="1" showErrorMessage="1" promptTitle="Commentaire du domaine" prompt="Constats et pièces qui justifient les notes du domaine." sqref="E16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2">
      <formula1>L_Notes</formula1>
    </dataValidation>
    <dataValidation allowBlank="1" showInputMessage="1" showErrorMessage="1" promptTitle="Commentaire du domaine" prompt="Constats et pièces qui justifient les notes du domaine." sqref="E17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6">
      <formula1>L_Notes</formula1>
    </dataValidation>
    <dataValidation allowBlank="1" showInputMessage="1" showErrorMessage="1" promptTitle="Commentaire du domaine" prompt="Constats et pièces qui justifient les notes du domaine." sqref="E17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0">
      <formula1>L_Notes</formula1>
    </dataValidation>
    <dataValidation allowBlank="1" showInputMessage="1" showErrorMessage="1" promptTitle="Commentaire du domaine" prompt="Constats et pièces qui justifient les notes du domaine." sqref="E181"/>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2">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3">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4">
      <formula1>L_Notes</formula1>
    </dataValidation>
    <dataValidation allowBlank="1" showInputMessage="1" showErrorMessage="1" promptTitle="Commentaire du domaine" prompt="Constats et pièces qui justifient les notes du domaine." sqref="E185"/>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6">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7">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8">
      <formula1>L_Notes</formula1>
    </dataValidation>
    <dataValidation allowBlank="1" showInputMessage="1" showErrorMessage="1" promptTitle="Commentaire du domaine" prompt="Constats et pièces qui justifient les notes du domaine." sqref="E18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2">
      <formula1>L_Notes</formula1>
    </dataValidation>
    <dataValidation allowBlank="1" showInputMessage="1" showErrorMessage="1" promptTitle="Commentaire du domaine" prompt="Constats et pièces qui justifient les notes du domaine." sqref="E19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6">
      <formula1>L_Notes</formula1>
    </dataValidation>
    <dataValidation allowBlank="1" showInputMessage="1" showErrorMessage="1" promptTitle="Commentaire du domaine" prompt="Constats et pièces qui justifient les notes du domaine." sqref="E19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1">
      <formula1>L_Notes</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0">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31">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3">
      <formula1>L_OuiNon</formula1>
    </dataValidation>
    <dataValidation allowBlank="1" showInputMessage="1" showErrorMessage="1" promptTitle="Conclusion" prompt="Ce que le dossier enseigne, ou la recommandation de l'analyste au comité." sqref="A259"/>
  </dataValidations>
  <pageMargins left="0.7" right="0.7" top="0.75" bottom="0.75" header="0.3" footer="0.3"/>
  <pageSetup paperSize="9" fitToHeight="0" orientation="landscape"/>
  <legacyDrawing r:id="rId1"/>
</worksheet>
</file>

<file path=xl/worksheets/sheet6.xml><?xml version="1.0" encoding="utf-8"?>
<worksheet xmlns="http://schemas.openxmlformats.org/spreadsheetml/2006/main" xmlns:r="http://schemas.openxmlformats.org/officeDocument/2006/relationships">
  <sheetPr>
    <pageSetUpPr fitToPage="1"/>
  </sheetPr>
  <dimension ref="A1:R259"/>
  <sheetViews>
    <sheetView showGridLines="0" workbookViewId="0">
      <pane ySplit="12" topLeftCell="A13" activePane="bottomLeft" state="frozen"/>
      <selection pane="bottomLeft"/>
    </sheetView>
  </sheetViews>
  <sheetFormatPr defaultRowHeight="15"/>
  <cols>
    <col min="1" max="1" width="46.7109375" customWidth="1"/>
    <col min="2" max="7" width="14.7109375" customWidth="1"/>
    <col min="8" max="8" width="18.7109375" customWidth="1"/>
    <col min="9" max="9" width="3.7109375" customWidth="1"/>
    <col min="10" max="13" width="10.7109375" hidden="1" customWidth="1"/>
    <col min="14" max="14" width="24.7109375" customWidth="1"/>
    <col min="15" max="15" width="3.7109375" customWidth="1"/>
    <col min="16" max="18" width="10.7109375" hidden="1" customWidth="1"/>
  </cols>
  <sheetData>
    <row r="1" spans="1:18">
      <c r="A1" s="30" t="s">
        <v>625</v>
      </c>
      <c r="J1" s="31" t="s">
        <v>278</v>
      </c>
    </row>
    <row r="2" spans="1:18">
      <c r="A2" s="32" t="s">
        <v>626</v>
      </c>
    </row>
    <row r="3" spans="1:18" ht="42" customHeight="1">
      <c r="A3" s="33" t="s">
        <v>627</v>
      </c>
      <c r="B3" s="33"/>
      <c r="C3" s="33"/>
      <c r="D3" s="33"/>
      <c r="E3" s="33"/>
      <c r="F3" s="33"/>
      <c r="G3" s="33"/>
      <c r="H3" s="33"/>
    </row>
    <row r="4" spans="1:18" ht="22" customHeight="1">
      <c r="A4" s="22" t="s">
        <v>282</v>
      </c>
      <c r="B4" s="14">
        <f>COUNTIF($R$14:$R$56,0)</f>
        <v>0</v>
      </c>
      <c r="C4" s="34">
        <f>IF(B4=0,"Saisie complète : lisez la note ci-dessous, puis « Fiche comité ».","Prochaine saisie : "&amp;INDEX($P$14:$P$56,MATCH(0,$R$14:$R$56,0)))</f>
        <v>0</v>
      </c>
      <c r="D4" s="34"/>
      <c r="E4" s="34"/>
      <c r="F4" s="34"/>
      <c r="G4" s="12">
        <f>IF(B4=0,"",HYPERLINK("#"&amp;INDEX($Q$14:$Q$56,MATCH(0,$R$14:$R$56,0)),"→ Aller à la cellule "&amp;INDEX($Q$14:$Q$56,MATCH(0,$R$14:$R$56,0))))</f>
        <v>0</v>
      </c>
      <c r="H4" s="12"/>
    </row>
    <row r="5" spans="1:18">
      <c r="A5" s="3" t="s">
        <v>284</v>
      </c>
      <c r="B5" s="3"/>
      <c r="C5" s="3"/>
      <c r="D5" s="3"/>
      <c r="E5" s="3"/>
      <c r="F5" s="3"/>
      <c r="G5" s="3"/>
      <c r="H5" s="3"/>
    </row>
    <row r="6" spans="1:18" ht="34" customHeight="1">
      <c r="A6" s="22" t="s">
        <v>285</v>
      </c>
      <c r="B6" s="25">
        <f>B255</f>
        <v>0</v>
      </c>
      <c r="C6" s="22" t="s">
        <v>4</v>
      </c>
      <c r="D6" s="34">
        <f>IFERROR(INDEX(P_ConvLib,MATCH(B255,P_ConvNote,0)),"")</f>
        <v>0</v>
      </c>
      <c r="E6" s="22" t="s">
        <v>286</v>
      </c>
      <c r="F6" s="34">
        <f>B256</f>
        <v>0</v>
      </c>
      <c r="G6" s="34"/>
      <c r="H6" s="34"/>
    </row>
    <row r="7" spans="1:18">
      <c r="A7" s="22" t="s">
        <v>287</v>
      </c>
      <c r="B7" s="14">
        <f>B217</f>
        <v>0</v>
      </c>
      <c r="C7" s="22" t="s">
        <v>288</v>
      </c>
      <c r="D7" s="14">
        <f>B218</f>
        <v>0</v>
      </c>
      <c r="E7" s="22" t="s">
        <v>289</v>
      </c>
      <c r="F7" s="34">
        <f>IF(B252&gt;=10,"Aucun (10)",B252)</f>
        <v>0</v>
      </c>
      <c r="G7" s="34"/>
      <c r="H7" s="34"/>
    </row>
    <row r="8" spans="1:18">
      <c r="A8" s="22" t="s">
        <v>290</v>
      </c>
      <c r="B8" s="34">
        <f>IF(TRIM(IF(E237="Oui","C1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",""))="","Aucun",TRIM(IF(E237="Oui","C1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","")))&amp;IF(COUNTIF(E237:E251,"n.r.")&gt;0,"   —   "&amp;COUNTIF(E237:E251,"n.r.")&amp;" plafond(s) non évalué(s) faute de donnée","")</f>
        <v>0</v>
      </c>
      <c r="C8" s="34"/>
      <c r="D8" s="34"/>
      <c r="E8" s="34"/>
      <c r="F8" s="34"/>
      <c r="G8" s="34"/>
      <c r="H8" s="34"/>
    </row>
    <row r="9" spans="1:18">
      <c r="A9" s="22" t="s">
        <v>291</v>
      </c>
      <c r="B9" s="34">
        <f>IF(TRIM(IF(F222="Oui","X1  ","")&amp;IF(F223="Oui","X2  ","")&amp;IF(F224="Oui","X3  ","")&amp;IF(F225="Oui","X4  ","")&amp;IF(F226="Oui","B1  ","")&amp;IF(F227="Oui","B2  ","")&amp;IF(F228="Oui","B3  ","")&amp;IF(F229="Oui","B4  ","")&amp;IF(F230="Oui","B5  ","")&amp;IF(F231="Oui","B6  ","")&amp;IF(F232="Oui","B7  ","")&amp;IF(F233="Oui","B8  ",""))="","Aucun",TRIM(IF(F222="Oui","X1  ","")&amp;IF(F223="Oui","X2  ","")&amp;IF(F224="Oui","X3  ","")&amp;IF(F225="Oui","X4  ","")&amp;IF(F226="Oui","B1  ","")&amp;IF(F227="Oui","B2  ","")&amp;IF(F228="Oui","B3  ","")&amp;IF(F229="Oui","B4  ","")&amp;IF(F230="Oui","B5  ","")&amp;IF(F231="Oui","B6  ","")&amp;IF(F232="Oui","B7  ","")&amp;IF(F233="Oui","B8  ","")))</f>
        <v>0</v>
      </c>
      <c r="C9" s="34"/>
      <c r="D9" s="34"/>
      <c r="E9" s="34"/>
      <c r="F9" s="34"/>
      <c r="G9" s="34"/>
      <c r="H9" s="34"/>
    </row>
    <row r="10" spans="1:18">
      <c r="A10" s="22" t="s">
        <v>292</v>
      </c>
      <c r="B10" s="14">
        <f>B35</f>
        <v>0</v>
      </c>
      <c r="C10" s="22" t="s">
        <v>293</v>
      </c>
      <c r="D10" s="35">
        <f>D133</f>
        <v>0</v>
      </c>
      <c r="E10" s="22" t="s">
        <v>294</v>
      </c>
      <c r="F10" s="35">
        <f>D134</f>
        <v>0</v>
      </c>
    </row>
    <row r="11" spans="1:18">
      <c r="A11" s="22" t="s">
        <v>295</v>
      </c>
      <c r="B11" s="36">
        <f>B204</f>
        <v>0</v>
      </c>
      <c r="C11" s="22" t="s">
        <v>296</v>
      </c>
      <c r="D11" s="14">
        <f>D148</f>
        <v>0</v>
      </c>
      <c r="E11" s="22" t="s">
        <v>109</v>
      </c>
      <c r="F11" s="34">
        <f>IFERROR(INDEX(P_ConvOrient,MATCH(B255,P_ConvNote,0)),"")</f>
        <v>0</v>
      </c>
      <c r="G11" s="34"/>
      <c r="H11" s="34"/>
    </row>
    <row r="12" spans="1:18">
      <c r="A12" s="37" t="s">
        <v>283</v>
      </c>
      <c r="B12" s="38">
        <f>HYPERLINK("#A13","1 · Routage")</f>
        <v>0</v>
      </c>
      <c r="C12" s="38">
        <f>HYPERLINK("#A37","3 · Sources")</f>
        <v>0</v>
      </c>
      <c r="D12" s="38">
        <f>HYPERLINK("#A69","6 · Échéancier")</f>
        <v>0</v>
      </c>
      <c r="E12" s="38">
        <f>HYPERLINK("#A140","7 · Noyau")</f>
        <v>0</v>
      </c>
      <c r="F12" s="38">
        <f>HYPERLINK("#A167","8 · Grille")</f>
        <v>0</v>
      </c>
      <c r="G12" s="38">
        <f>HYPERLINK("#A220","10 · Verrous")</f>
        <v>0</v>
      </c>
      <c r="H12" s="38">
        <f>HYPERLINK("#A235","11 · Plafonds")</f>
        <v>0</v>
      </c>
    </row>
    <row r="13" spans="1:18">
      <c r="A13" s="3" t="s">
        <v>297</v>
      </c>
      <c r="B13" s="3"/>
      <c r="C13" s="3"/>
      <c r="D13" s="3"/>
      <c r="E13" s="3"/>
      <c r="F13" s="3"/>
      <c r="G13" s="3"/>
      <c r="H13" s="3"/>
    </row>
    <row r="14" spans="1:18">
      <c r="A14" s="11" t="s">
        <v>298</v>
      </c>
      <c r="B14" s="11" t="s">
        <v>94</v>
      </c>
      <c r="C14" s="11" t="s">
        <v>4</v>
      </c>
      <c r="D14" s="11"/>
      <c r="E14" s="11"/>
      <c r="F14" s="11"/>
      <c r="G14" s="11"/>
      <c r="H14" s="11"/>
      <c r="P14" s="31" t="s">
        <v>509</v>
      </c>
      <c r="Q14" s="31" t="s">
        <v>510</v>
      </c>
      <c r="R14" s="31">
        <f>IF($B$15&lt;&gt;"",1,0)</f>
        <v>0</v>
      </c>
    </row>
    <row r="15" spans="1:18">
      <c r="A15" s="17" t="s">
        <v>299</v>
      </c>
      <c r="B15" s="5" t="s">
        <v>14</v>
      </c>
      <c r="C15" s="13">
        <f>IFERROR(INDEX(P_RegLib,MATCH(B15,P_Regimes,0)),"")</f>
        <v>0</v>
      </c>
      <c r="D15" s="13"/>
      <c r="E15" s="13"/>
      <c r="F15" s="13"/>
      <c r="G15" s="13"/>
      <c r="H15" s="13"/>
      <c r="P15" s="31" t="s">
        <v>511</v>
      </c>
      <c r="Q15" s="31" t="s">
        <v>512</v>
      </c>
      <c r="R15" s="31">
        <f>IF($B$16&lt;&gt;"",1,0)</f>
        <v>0</v>
      </c>
    </row>
    <row r="16" spans="1:18">
      <c r="A16" s="17" t="s">
        <v>300</v>
      </c>
      <c r="B16" s="5" t="s">
        <v>41</v>
      </c>
      <c r="C16" s="13">
        <f>IFERROR(INDEX(P_SecLib,MATCH(B16,P_SecCodes,0)),"")</f>
        <v>0</v>
      </c>
      <c r="D16" s="13"/>
      <c r="E16" s="13"/>
      <c r="F16" s="13"/>
      <c r="G16" s="13"/>
      <c r="H16" s="13"/>
      <c r="P16" s="31" t="s">
        <v>513</v>
      </c>
      <c r="Q16" s="31" t="s">
        <v>514</v>
      </c>
      <c r="R16" s="31">
        <f>IF($B$17&lt;&gt;"",1,0)</f>
        <v>0</v>
      </c>
    </row>
    <row r="17" spans="1:18">
      <c r="A17" s="17" t="s">
        <v>301</v>
      </c>
      <c r="B17" s="5" t="s">
        <v>50</v>
      </c>
      <c r="C17" s="13">
        <f>IFERROR(INDEX(P_PhaseLib,MATCH(B17,P_PhaseCodes,0)),"")</f>
        <v>0</v>
      </c>
      <c r="D17" s="13"/>
      <c r="E17" s="13"/>
      <c r="F17" s="13"/>
      <c r="G17" s="13"/>
      <c r="H17" s="13"/>
      <c r="P17" s="31" t="s">
        <v>515</v>
      </c>
      <c r="Q17" s="31" t="s">
        <v>516</v>
      </c>
      <c r="R17" s="31">
        <f>IF($B$18&lt;&gt;"",1,0)</f>
        <v>0</v>
      </c>
    </row>
    <row r="18" spans="1:18">
      <c r="A18" s="17" t="s">
        <v>302</v>
      </c>
      <c r="B18" s="5" t="s">
        <v>262</v>
      </c>
      <c r="C18" s="13" t="s">
        <v>303</v>
      </c>
      <c r="D18" s="13"/>
      <c r="E18" s="13"/>
      <c r="F18" s="13"/>
      <c r="G18" s="13"/>
      <c r="H18" s="13"/>
      <c r="P18" s="31" t="s">
        <v>517</v>
      </c>
      <c r="Q18" s="31" t="s">
        <v>518</v>
      </c>
      <c r="R18" s="31">
        <f>IF(ISNUMBER($B$23),1,0)</f>
        <v>0</v>
      </c>
    </row>
    <row r="19" spans="1:18">
      <c r="A19" s="17" t="s">
        <v>304</v>
      </c>
      <c r="B19" s="5" t="s">
        <v>305</v>
      </c>
      <c r="C19" s="13" t="s">
        <v>306</v>
      </c>
      <c r="D19" s="13"/>
      <c r="E19" s="13"/>
      <c r="F19" s="13"/>
      <c r="G19" s="13"/>
      <c r="H19" s="13"/>
      <c r="P19" s="31" t="s">
        <v>519</v>
      </c>
      <c r="Q19" s="31" t="s">
        <v>520</v>
      </c>
      <c r="R19" s="31">
        <f>IF($B$24&lt;&gt;"",1,0)</f>
        <v>0</v>
      </c>
    </row>
    <row r="20" spans="1:18">
      <c r="P20" s="31" t="s">
        <v>521</v>
      </c>
      <c r="Q20" s="31" t="s">
        <v>522</v>
      </c>
      <c r="R20" s="31">
        <f>IF(ISNUMBER($B$25),1,0)</f>
        <v>0</v>
      </c>
    </row>
    <row r="21" spans="1:18">
      <c r="A21" s="3" t="s">
        <v>307</v>
      </c>
      <c r="B21" s="3"/>
      <c r="C21" s="3"/>
      <c r="D21" s="3"/>
      <c r="E21" s="3"/>
      <c r="F21" s="3"/>
      <c r="G21" s="3"/>
      <c r="H21" s="3"/>
      <c r="P21" s="31" t="s">
        <v>523</v>
      </c>
      <c r="Q21" s="31" t="s">
        <v>524</v>
      </c>
      <c r="R21" s="31">
        <f>IF($B$26&lt;&gt;"",1,0)</f>
        <v>0</v>
      </c>
    </row>
    <row r="22" spans="1:18">
      <c r="A22" s="17" t="s">
        <v>308</v>
      </c>
      <c r="B22" s="28">
        <f>B47</f>
        <v>0</v>
      </c>
      <c r="C22" s="13" t="s">
        <v>309</v>
      </c>
      <c r="D22" s="13"/>
      <c r="E22" s="13"/>
      <c r="F22" s="13"/>
      <c r="G22" s="13"/>
      <c r="H22" s="13"/>
      <c r="P22" s="31" t="s">
        <v>525</v>
      </c>
      <c r="Q22" s="31" t="s">
        <v>526</v>
      </c>
      <c r="R22" s="31">
        <f>IF(OR(NOT($B$17="P1"),$B$27&lt;&gt;""),1,0)</f>
        <v>0</v>
      </c>
    </row>
    <row r="23" spans="1:18">
      <c r="A23" s="17" t="s">
        <v>310</v>
      </c>
      <c r="B23" s="39">
        <v>240</v>
      </c>
      <c r="P23" s="31" t="s">
        <v>527</v>
      </c>
      <c r="Q23" s="31" t="s">
        <v>528</v>
      </c>
      <c r="R23" s="31">
        <f>IF($B$28&lt;&gt;"",1,0)</f>
        <v>0</v>
      </c>
    </row>
    <row r="24" spans="1:18">
      <c r="A24" s="17" t="s">
        <v>311</v>
      </c>
      <c r="B24" s="5" t="s">
        <v>257</v>
      </c>
      <c r="P24" s="31" t="s">
        <v>529</v>
      </c>
      <c r="Q24" s="31" t="s">
        <v>530</v>
      </c>
      <c r="R24" s="31">
        <f>IF($B$29&lt;&gt;"",1,0)</f>
        <v>0</v>
      </c>
    </row>
    <row r="25" spans="1:18">
      <c r="A25" s="17" t="s">
        <v>312</v>
      </c>
      <c r="B25" s="40">
        <v>15</v>
      </c>
      <c r="P25" s="31" t="s">
        <v>531</v>
      </c>
      <c r="Q25" s="31" t="s">
        <v>532</v>
      </c>
      <c r="R25" s="31">
        <f>IF($B$30&lt;&gt;"",1,0)</f>
        <v>0</v>
      </c>
    </row>
    <row r="26" spans="1:18">
      <c r="A26" s="17" t="s">
        <v>313</v>
      </c>
      <c r="B26" s="5" t="s">
        <v>257</v>
      </c>
      <c r="P26" s="31" t="s">
        <v>533</v>
      </c>
      <c r="Q26" s="31" t="s">
        <v>534</v>
      </c>
      <c r="R26" s="31">
        <f>IF($B$31&lt;&gt;"",1,0)</f>
        <v>0</v>
      </c>
    </row>
    <row r="27" spans="1:18">
      <c r="A27" s="17" t="s">
        <v>314</v>
      </c>
      <c r="B27" s="5" t="s">
        <v>258</v>
      </c>
      <c r="P27" s="31" t="s">
        <v>535</v>
      </c>
      <c r="Q27" s="31" t="s">
        <v>536</v>
      </c>
      <c r="R27" s="31">
        <f>IF($B$32&lt;&gt;"",1,0)</f>
        <v>0</v>
      </c>
    </row>
    <row r="28" spans="1:18">
      <c r="A28" s="17" t="s">
        <v>315</v>
      </c>
      <c r="B28" s="5" t="s">
        <v>258</v>
      </c>
      <c r="P28" s="31" t="s">
        <v>537</v>
      </c>
      <c r="Q28" s="31" t="s">
        <v>538</v>
      </c>
      <c r="R28" s="31">
        <f>IF(ISNUMBER($B$33),1,0)</f>
        <v>0</v>
      </c>
    </row>
    <row r="29" spans="1:18">
      <c r="A29" s="17" t="s">
        <v>316</v>
      </c>
      <c r="B29" s="5" t="s">
        <v>258</v>
      </c>
      <c r="P29" s="31" t="s">
        <v>539</v>
      </c>
      <c r="Q29" s="31" t="s">
        <v>540</v>
      </c>
      <c r="R29" s="31">
        <f>IF(N($B$47)&gt;0,1,0)</f>
        <v>0</v>
      </c>
    </row>
    <row r="30" spans="1:18">
      <c r="A30" s="17" t="s">
        <v>317</v>
      </c>
      <c r="B30" s="5" t="s">
        <v>258</v>
      </c>
      <c r="P30" s="31" t="s">
        <v>541</v>
      </c>
      <c r="Q30" s="31" t="s">
        <v>542</v>
      </c>
      <c r="R30" s="31">
        <f>IF(N($E$47)&gt;0,1,0)</f>
        <v>0</v>
      </c>
    </row>
    <row r="31" spans="1:18">
      <c r="A31" s="17" t="s">
        <v>318</v>
      </c>
      <c r="B31" s="5" t="s">
        <v>258</v>
      </c>
      <c r="P31" s="31" t="s">
        <v>543</v>
      </c>
      <c r="Q31" s="31" t="s">
        <v>544</v>
      </c>
      <c r="R31" s="31">
        <f>IF(SUMPRODUCT(ISNUMBER($E$39:$E$46)*($F$39:$F$46=""))=0,1,0)</f>
        <v>0</v>
      </c>
    </row>
    <row r="32" spans="1:18">
      <c r="A32" s="17" t="s">
        <v>319</v>
      </c>
      <c r="B32" s="5" t="s">
        <v>258</v>
      </c>
      <c r="P32" s="31" t="s">
        <v>545</v>
      </c>
      <c r="Q32" s="31" t="s">
        <v>546</v>
      </c>
      <c r="R32" s="31">
        <f>IF(OR(NOT(AND($B$17="P1",ISNUMBER($B$48),N($B$48)&gt;=P_N3_V,N($B$48)&lt;P_N3_F)),$B$50&lt;&gt;""),1,0)</f>
        <v>0</v>
      </c>
    </row>
    <row r="33" spans="1:18">
      <c r="A33" s="17" t="s">
        <v>320</v>
      </c>
      <c r="B33" s="40"/>
      <c r="P33" s="31" t="s">
        <v>547</v>
      </c>
      <c r="Q33" s="31" t="s">
        <v>548</v>
      </c>
      <c r="R33" s="31">
        <f>IF(ISNUMBER($B$70),1,0)</f>
        <v>0</v>
      </c>
    </row>
    <row r="34" spans="1:18" ht="30" customHeight="1">
      <c r="A34" s="21" t="s">
        <v>321</v>
      </c>
      <c r="B34" s="14">
        <f>IF(OR(B22="",B22=0,B15=""),"",IF(OR(B22&gt;P_L_CAPEX,N(B23)&gt;P_L_EXPO,B15="R4",B29="Oui",N(B153)&gt;0,B30="Oui",B31="Oui",B32="Oui",N(B33)&gt;P_L_NBCP),"L",IF(AND(B22&lt;=P_S_CAPEX,B23&lt;&gt;"",N(B23)&lt;=P_S_EXPO,OR(B15="R1",B15="R2"),B26="Oui",B24="Oui",B25&lt;&gt;"",N(B25)&lt;=P_S_DUREE,OR(B17&lt;&gt;"P1",B27="Oui"),B28="Oui",COUNTIF($F$222:$F$233,"Oui")=0),"S","M")))</f>
        <v>0</v>
      </c>
      <c r="C34" s="13">
        <f>IF(B34="","",IF(B34="L","Escalade : "&amp;IF(B22&gt;P_L_CAPEX,"CAPEX &gt; "&amp;P_L_CAPEX&amp;" MMAD ; ","")&amp;IF(N(B23)&gt;P_L_EXPO,"exposition &gt; "&amp;P_L_EXPO&amp;" MMAD ; ","")&amp;IF(B15="R4","régime de revenus R4 ; ","")&amp;IF(B29="Oui","première référence technologique ; ","")&amp;IF(N(B153)&gt;0,"devises non intégralement couvertes ; ","")&amp;IF(B30="Oui","opération consortiale ; ","")&amp;IF(B31="Oui","contrat de revenus &gt; 20 ans ; ","")&amp;IF(B32="Oui","risque climatique élevé ; ","")&amp;IF(N(B33)&gt;P_L_NBCP,"plus de "&amp;P_L_NBCP&amp;" contreparties clés ; ",""),IF(B34="S","Toutes les conditions du régime simplifié sont réunies.","Régime standard par défaut : une condition du régime S manque, aucune condition d'escalade.")))</f>
        <v>0</v>
      </c>
      <c r="D34" s="13"/>
      <c r="E34" s="13"/>
      <c r="F34" s="13"/>
      <c r="G34" s="13"/>
      <c r="H34" s="13"/>
      <c r="P34" s="31" t="s">
        <v>549</v>
      </c>
      <c r="Q34" s="31" t="s">
        <v>550</v>
      </c>
      <c r="R34" s="31">
        <f>IF(COUNT($B$72:$B$131)&gt;=2,1,0)</f>
        <v>0</v>
      </c>
    </row>
    <row r="35" spans="1:18">
      <c r="A35" s="21" t="s">
        <v>322</v>
      </c>
      <c r="B35" s="14">
        <f>IF(B34="","",IF(AND(IF(AND(B34="S",COUNTIF($F$222:$F$233,"Oui")&gt;0),"M",B34)="M",COUNTIF($E$237:$E$251,"Oui")&gt;0),"L",IF(AND(B34="S",COUNTIF($F$222:$F$233,"Oui")&gt;0),"M",B34)))</f>
        <v>0</v>
      </c>
      <c r="C35" s="13">
        <f>IF(B35=B34,"Aucune escalade.",IF(B35="L","Escalade : un plafond de note est actif (M passe en L).","Escalade : un verrou est actif (S passe en M)."))</f>
        <v>0</v>
      </c>
      <c r="D35" s="13"/>
      <c r="E35" s="13"/>
      <c r="F35" s="13"/>
      <c r="G35" s="13"/>
      <c r="H35" s="13"/>
      <c r="P35" s="31" t="s">
        <v>551</v>
      </c>
      <c r="Q35" s="31" t="s">
        <v>552</v>
      </c>
      <c r="R35" s="31">
        <f>IF(SUMPRODUCT(ISNUMBER($B$72:$B$131)*(1-ISNUMBER($C$72:$C$131)))=0,1,0)</f>
        <v>0</v>
      </c>
    </row>
    <row r="36" spans="1:18">
      <c r="P36" s="31" t="s">
        <v>553</v>
      </c>
      <c r="Q36" s="31" t="s">
        <v>554</v>
      </c>
      <c r="R36" s="31">
        <f>IF($B$145&lt;&gt;"",1,0)</f>
        <v>0</v>
      </c>
    </row>
    <row r="37" spans="1:18">
      <c r="A37" s="3" t="s">
        <v>323</v>
      </c>
      <c r="B37" s="3"/>
      <c r="C37" s="3"/>
      <c r="D37" s="3"/>
      <c r="E37" s="3"/>
      <c r="F37" s="3"/>
      <c r="G37" s="3"/>
      <c r="H37" s="3"/>
      <c r="P37" s="31" t="s">
        <v>555</v>
      </c>
      <c r="Q37" s="31" t="s">
        <v>556</v>
      </c>
      <c r="R37" s="31">
        <f>IF($B$146&lt;&gt;"",1,0)</f>
        <v>0</v>
      </c>
    </row>
    <row r="38" spans="1:18">
      <c r="A38" s="11" t="s">
        <v>324</v>
      </c>
      <c r="B38" s="11" t="s">
        <v>325</v>
      </c>
      <c r="C38" s="11"/>
      <c r="D38" s="11" t="s">
        <v>326</v>
      </c>
      <c r="E38" s="11" t="s">
        <v>325</v>
      </c>
      <c r="F38" s="11" t="s">
        <v>327</v>
      </c>
      <c r="P38" s="31" t="s">
        <v>557</v>
      </c>
      <c r="Q38" s="31" t="s">
        <v>558</v>
      </c>
      <c r="R38" s="31">
        <f>IF($B$147&lt;&gt;"",1,0)</f>
        <v>0</v>
      </c>
    </row>
    <row r="39" spans="1:18">
      <c r="A39" s="41" t="s">
        <v>628</v>
      </c>
      <c r="B39" s="39">
        <v>330</v>
      </c>
      <c r="D39" s="41" t="s">
        <v>629</v>
      </c>
      <c r="E39" s="39">
        <v>240</v>
      </c>
      <c r="F39" s="41" t="s">
        <v>266</v>
      </c>
      <c r="P39" s="31" t="s">
        <v>559</v>
      </c>
      <c r="Q39" s="31" t="s">
        <v>560</v>
      </c>
      <c r="R39" s="31">
        <f>IF(OR($B$17="P1",$B$150&lt;&gt;""),1,0)</f>
        <v>0</v>
      </c>
    </row>
    <row r="40" spans="1:18">
      <c r="A40" s="41" t="s">
        <v>630</v>
      </c>
      <c r="B40" s="39">
        <v>60</v>
      </c>
      <c r="D40" s="41" t="s">
        <v>268</v>
      </c>
      <c r="E40" s="39">
        <v>240</v>
      </c>
      <c r="F40" s="41" t="s">
        <v>268</v>
      </c>
      <c r="P40" s="31" t="s">
        <v>561</v>
      </c>
      <c r="Q40" s="31" t="s">
        <v>562</v>
      </c>
      <c r="R40" s="31">
        <f>IF(ISNUMBER($B$151),1,0)</f>
        <v>0</v>
      </c>
    </row>
    <row r="41" spans="1:18">
      <c r="A41" s="41" t="s">
        <v>631</v>
      </c>
      <c r="B41" s="39">
        <v>45</v>
      </c>
      <c r="D41" s="41"/>
      <c r="E41" s="39"/>
      <c r="F41" s="41"/>
      <c r="P41" s="31" t="s">
        <v>563</v>
      </c>
      <c r="Q41" s="31" t="s">
        <v>564</v>
      </c>
      <c r="R41" s="31">
        <f>IF(ISNUMBER($B$152),1,0)</f>
        <v>0</v>
      </c>
    </row>
    <row r="42" spans="1:18">
      <c r="A42" s="41" t="s">
        <v>632</v>
      </c>
      <c r="B42" s="39">
        <v>30</v>
      </c>
      <c r="D42" s="41"/>
      <c r="E42" s="39"/>
      <c r="F42" s="41"/>
      <c r="P42" s="31" t="s">
        <v>565</v>
      </c>
      <c r="Q42" s="31" t="s">
        <v>566</v>
      </c>
      <c r="R42" s="31">
        <f>IF(ISNUMBER($B$153),1,0)</f>
        <v>0</v>
      </c>
    </row>
    <row r="43" spans="1:18">
      <c r="A43" s="41" t="s">
        <v>336</v>
      </c>
      <c r="B43" s="39">
        <v>15</v>
      </c>
      <c r="D43" s="41"/>
      <c r="E43" s="39"/>
      <c r="F43" s="41"/>
      <c r="P43" s="31" t="s">
        <v>567</v>
      </c>
      <c r="Q43" s="31" t="s">
        <v>568</v>
      </c>
      <c r="R43" s="31">
        <f>IF(ISNUMBER($B$154),1,0)</f>
        <v>0</v>
      </c>
    </row>
    <row r="44" spans="1:18">
      <c r="A44" s="41"/>
      <c r="B44" s="39"/>
      <c r="D44" s="41"/>
      <c r="E44" s="39"/>
      <c r="F44" s="41"/>
      <c r="P44" s="31" t="s">
        <v>569</v>
      </c>
      <c r="Q44" s="31" t="s">
        <v>570</v>
      </c>
      <c r="R44" s="31">
        <f>IF(OR(N($B$154)&lt;=P_C8,$B$155&lt;&gt;""),1,0)</f>
        <v>0</v>
      </c>
    </row>
    <row r="45" spans="1:18">
      <c r="A45" s="41"/>
      <c r="B45" s="39"/>
      <c r="D45" s="41"/>
      <c r="E45" s="39"/>
      <c r="F45" s="41"/>
      <c r="P45" s="31" t="s">
        <v>571</v>
      </c>
      <c r="Q45" s="31" t="s">
        <v>572</v>
      </c>
      <c r="R45" s="31">
        <f>IF(ISNUMBER($B$156),1,0)</f>
        <v>0</v>
      </c>
    </row>
    <row r="46" spans="1:18">
      <c r="A46" s="41"/>
      <c r="B46" s="39"/>
      <c r="D46" s="41"/>
      <c r="E46" s="39"/>
      <c r="F46" s="41"/>
      <c r="P46" s="31" t="s">
        <v>573</v>
      </c>
      <c r="Q46" s="31" t="s">
        <v>574</v>
      </c>
      <c r="R46" s="31">
        <f>IF($B$157&lt;&gt;"",1,0)</f>
        <v>0</v>
      </c>
    </row>
    <row r="47" spans="1:18">
      <c r="A47" s="21" t="s">
        <v>338</v>
      </c>
      <c r="B47" s="42">
        <f>SUM(B39:B46)</f>
        <v>0</v>
      </c>
      <c r="D47" s="21" t="s">
        <v>339</v>
      </c>
      <c r="E47" s="42">
        <f>SUM(E39:E46)</f>
        <v>0</v>
      </c>
      <c r="P47" s="31" t="s">
        <v>575</v>
      </c>
      <c r="Q47" s="31" t="s">
        <v>576</v>
      </c>
      <c r="R47" s="31">
        <f>IF(OR($B$15="R4",ISNUMBER($B$158)),1,0)</f>
        <v>0</v>
      </c>
    </row>
    <row r="48" spans="1:18">
      <c r="A48" s="17" t="s">
        <v>340</v>
      </c>
      <c r="B48" s="27">
        <f>IF(N(B47)=0,"",E47/B47)</f>
        <v>0</v>
      </c>
      <c r="P48" s="31" t="s">
        <v>577</v>
      </c>
      <c r="Q48" s="31" t="s">
        <v>578</v>
      </c>
      <c r="R48" s="31">
        <f>IF(ISNUMBER($B$159),1,0)</f>
        <v>0</v>
      </c>
    </row>
    <row r="49" spans="1:18">
      <c r="A49" s="17" t="s">
        <v>341</v>
      </c>
      <c r="B49" s="27">
        <f>IF(N(B47)=0,"",(SUMIF(F39:F46,"Dette senior",E39:E46)+SUMIF(F39:F46,"Dette subordonnée",E39:E46))/B47)</f>
        <v>0</v>
      </c>
      <c r="P49" s="31" t="s">
        <v>579</v>
      </c>
      <c r="Q49" s="31" t="s">
        <v>580</v>
      </c>
      <c r="R49" s="31">
        <f>IF(OR(NOT(AND(ISNUMBER($B$158),ISNUMBER($B$159))),N($B$158)&gt;=N($B$159),$B$160&lt;&gt;""),1,0)</f>
        <v>0</v>
      </c>
    </row>
    <row r="50" spans="1:18">
      <c r="A50" s="17" t="s">
        <v>342</v>
      </c>
      <c r="B50" s="5" t="s">
        <v>258</v>
      </c>
      <c r="P50" s="31" t="s">
        <v>581</v>
      </c>
      <c r="Q50" s="31" t="s">
        <v>582</v>
      </c>
      <c r="R50" s="31">
        <f>IF(OR($B$32&lt;&gt;"Oui",$B$161&lt;&gt;""),1,0)</f>
        <v>0</v>
      </c>
    </row>
    <row r="51" spans="1:18">
      <c r="P51" s="31" t="s">
        <v>583</v>
      </c>
      <c r="Q51" s="31" t="s">
        <v>584</v>
      </c>
      <c r="R51" s="31">
        <f>IF($B$162&lt;&gt;"",1,0)</f>
        <v>0</v>
      </c>
    </row>
    <row r="52" spans="1:18">
      <c r="A52" s="3" t="s">
        <v>343</v>
      </c>
      <c r="B52" s="3"/>
      <c r="C52" s="3"/>
      <c r="D52" s="3"/>
      <c r="E52" s="3"/>
      <c r="F52" s="3"/>
      <c r="G52" s="3"/>
      <c r="H52" s="3"/>
      <c r="P52" s="31" t="s">
        <v>585</v>
      </c>
      <c r="Q52" s="31" t="s">
        <v>586</v>
      </c>
      <c r="R52" s="31">
        <f>IF($B$163&lt;&gt;"",1,0)</f>
        <v>0</v>
      </c>
    </row>
    <row r="53" spans="1:18">
      <c r="A53" s="41" t="s">
        <v>633</v>
      </c>
      <c r="B53" s="41" t="s">
        <v>634</v>
      </c>
      <c r="C53" s="41"/>
      <c r="D53" s="41"/>
      <c r="E53" s="41"/>
      <c r="F53" s="41"/>
      <c r="G53" s="41"/>
      <c r="H53" s="41"/>
      <c r="P53" s="31" t="s">
        <v>587</v>
      </c>
      <c r="Q53" s="31" t="s">
        <v>588</v>
      </c>
      <c r="R53" s="31">
        <f>IF(OR($B$163&lt;&gt;"Non",ISNUMBER($B$164)),1,0)</f>
        <v>0</v>
      </c>
    </row>
    <row r="54" spans="1:18">
      <c r="A54" s="41" t="s">
        <v>635</v>
      </c>
      <c r="B54" s="41" t="s">
        <v>636</v>
      </c>
      <c r="C54" s="41"/>
      <c r="D54" s="41"/>
      <c r="E54" s="41"/>
      <c r="F54" s="41"/>
      <c r="G54" s="41"/>
      <c r="H54" s="41"/>
      <c r="P54" s="31" t="s">
        <v>589</v>
      </c>
      <c r="Q54" s="31" t="s">
        <v>590</v>
      </c>
      <c r="R54" s="31">
        <f>IF($B$165&lt;&gt;"",1,0)</f>
        <v>0</v>
      </c>
    </row>
    <row r="55" spans="1:18">
      <c r="A55" s="41" t="s">
        <v>637</v>
      </c>
      <c r="B55" s="41" t="s">
        <v>638</v>
      </c>
      <c r="C55" s="41"/>
      <c r="D55" s="41"/>
      <c r="E55" s="41"/>
      <c r="F55" s="41"/>
      <c r="G55" s="41"/>
      <c r="H55" s="41"/>
      <c r="P55" s="31" t="s">
        <v>591</v>
      </c>
      <c r="Q55" s="31">
        <f>"B"&amp;IF(COUNT($P$169:$P$201)=0,169,MIN($P$169:$P$201))</f>
        <v>0</v>
      </c>
      <c r="R55" s="31">
        <f>IF(COUNT($P$169:$P$201)=0,1,0)</f>
        <v>0</v>
      </c>
    </row>
    <row r="56" spans="1:18">
      <c r="A56" s="41" t="s">
        <v>639</v>
      </c>
      <c r="B56" s="41" t="s">
        <v>353</v>
      </c>
      <c r="C56" s="41"/>
      <c r="D56" s="41"/>
      <c r="E56" s="41"/>
      <c r="F56" s="41"/>
      <c r="G56" s="41"/>
      <c r="H56" s="41"/>
      <c r="P56" s="31" t="s">
        <v>592</v>
      </c>
      <c r="Q56" s="31" t="s">
        <v>593</v>
      </c>
      <c r="R56" s="31">
        <f>IF(COUNTBLANK($E$222:$E$233)=0,1,0)</f>
        <v>0</v>
      </c>
    </row>
    <row r="57" spans="1:18">
      <c r="A57" s="41" t="s">
        <v>640</v>
      </c>
      <c r="B57" s="41" t="s">
        <v>641</v>
      </c>
      <c r="C57" s="41"/>
      <c r="D57" s="41"/>
      <c r="E57" s="41"/>
      <c r="F57" s="41"/>
      <c r="G57" s="41"/>
      <c r="H57" s="41"/>
    </row>
    <row r="58" spans="1:18">
      <c r="A58" s="41" t="s">
        <v>642</v>
      </c>
      <c r="B58" s="41" t="s">
        <v>643</v>
      </c>
      <c r="C58" s="41"/>
      <c r="D58" s="41"/>
      <c r="E58" s="41"/>
      <c r="F58" s="41"/>
      <c r="G58" s="41"/>
      <c r="H58" s="41"/>
    </row>
    <row r="59" spans="1:18">
      <c r="A59" s="41" t="s">
        <v>356</v>
      </c>
      <c r="B59" s="41" t="s">
        <v>644</v>
      </c>
      <c r="C59" s="41"/>
      <c r="D59" s="41"/>
      <c r="E59" s="41"/>
      <c r="F59" s="41"/>
      <c r="G59" s="41"/>
      <c r="H59" s="41"/>
    </row>
    <row r="60" spans="1:18">
      <c r="A60" s="41" t="s">
        <v>645</v>
      </c>
      <c r="B60" s="41" t="s">
        <v>646</v>
      </c>
      <c r="C60" s="41"/>
      <c r="D60" s="41"/>
      <c r="E60" s="41"/>
      <c r="F60" s="41"/>
      <c r="G60" s="41"/>
      <c r="H60" s="41"/>
    </row>
    <row r="62" spans="1:18">
      <c r="A62" s="3" t="s">
        <v>358</v>
      </c>
      <c r="B62" s="3"/>
      <c r="C62" s="3"/>
      <c r="D62" s="3"/>
      <c r="E62" s="3"/>
      <c r="F62" s="3"/>
      <c r="G62" s="3"/>
      <c r="H62" s="3"/>
    </row>
    <row r="63" spans="1:18">
      <c r="A63" s="17" t="s">
        <v>359</v>
      </c>
      <c r="B63" s="18">
        <f>IFERROR(INDEX(P_Crit,MATCH($B$15,P_Regimes,0)),"")</f>
        <v>0</v>
      </c>
    </row>
    <row r="64" spans="1:18">
      <c r="A64" s="17" t="s">
        <v>360</v>
      </c>
      <c r="B64" s="18">
        <f>IFERROR(INDEX(P_SecDelta,MATCH($B$16,P_SecCodes,0)),"")</f>
        <v>0</v>
      </c>
    </row>
    <row r="65" spans="1:8">
      <c r="A65" s="17" t="s">
        <v>361</v>
      </c>
      <c r="B65" s="18">
        <f>IFERROR(INDEX(P_PhaseMaj,MATCH($B$17,P_PhaseCodes,0)),"")</f>
        <v>0</v>
      </c>
    </row>
    <row r="66" spans="1:8">
      <c r="A66" s="11" t="s">
        <v>362</v>
      </c>
      <c r="B66" s="11" t="s">
        <v>5</v>
      </c>
      <c r="C66" s="11" t="s">
        <v>6</v>
      </c>
      <c r="D66" s="11" t="s">
        <v>7</v>
      </c>
      <c r="E66" s="11" t="s">
        <v>363</v>
      </c>
    </row>
    <row r="67" spans="1:8">
      <c r="A67" s="21" t="s">
        <v>364</v>
      </c>
      <c r="B67" s="18">
        <f>IFERROR(INDEX(P_Crit,MATCH($B$15,P_Regimes,0))+$B$64+$B$65,"")</f>
        <v>0</v>
      </c>
      <c r="C67" s="18">
        <f>IFERROR(INDEX(P_Vig,MATCH($B$15,P_Regimes,0))+$B$64+$B$65,"")</f>
        <v>0</v>
      </c>
      <c r="D67" s="18">
        <f>IFERROR(INDEX(P_Fav,MATCH($B$15,P_Regimes,0))+$B$64+$B$65,"")</f>
        <v>0</v>
      </c>
      <c r="E67" s="18">
        <f>D67</f>
        <v>0</v>
      </c>
    </row>
    <row r="69" spans="1:8">
      <c r="A69" s="3" t="s">
        <v>365</v>
      </c>
      <c r="B69" s="3"/>
      <c r="C69" s="3"/>
      <c r="D69" s="3"/>
      <c r="E69" s="3"/>
      <c r="F69" s="3"/>
      <c r="G69" s="3"/>
      <c r="H69" s="3"/>
    </row>
    <row r="70" spans="1:8">
      <c r="A70" s="17" t="s">
        <v>366</v>
      </c>
      <c r="B70" s="43">
        <v>0.289778</v>
      </c>
      <c r="C70" s="44" t="s">
        <v>647</v>
      </c>
      <c r="D70" s="44"/>
      <c r="E70" s="44"/>
      <c r="F70" s="44"/>
      <c r="G70" s="44"/>
      <c r="H70" s="44"/>
    </row>
    <row r="71" spans="1:8" ht="30" customHeight="1">
      <c r="A71" s="11" t="s">
        <v>368</v>
      </c>
      <c r="B71" s="11" t="s">
        <v>369</v>
      </c>
      <c r="C71" s="11" t="s">
        <v>356</v>
      </c>
      <c r="D71" s="11" t="s">
        <v>370</v>
      </c>
      <c r="E71" s="11" t="s">
        <v>371</v>
      </c>
      <c r="F71" s="11" t="s">
        <v>372</v>
      </c>
      <c r="G71" s="11" t="s">
        <v>373</v>
      </c>
      <c r="H71" s="11" t="s">
        <v>374</v>
      </c>
    </row>
    <row r="72" spans="1:8">
      <c r="A72" s="41" t="s">
        <v>648</v>
      </c>
      <c r="B72" s="39">
        <v>16.5</v>
      </c>
      <c r="C72" s="45">
        <v>12.75</v>
      </c>
      <c r="D72" s="19">
        <f>IF(OR(B72="",C72=""),"",IF(C72=0,"",B72/C72))</f>
        <v>0</v>
      </c>
      <c r="E72" s="7">
        <f>IF(B72="","",IF(C72=0,"Différé",IF(B72&lt;0,"Critique",IF(D72&lt;$B$67,"Critique",IF(D72&lt;$C$67,"Vigilance",IF(D72&lt;$D$67,"Favorable","Très favorable"))))))</f>
        <v>0</v>
      </c>
      <c r="F72" s="39"/>
      <c r="G72" s="19">
        <f>IF(OR(B72="",C72="",C72=0),"",IF(F72&lt;&gt;"",F72,B72*(1-$B$70))/C72)</f>
        <v>0</v>
      </c>
      <c r="H72" s="19"/>
    </row>
    <row r="73" spans="1:8">
      <c r="A73" s="41" t="s">
        <v>649</v>
      </c>
      <c r="B73" s="39">
        <v>13.5</v>
      </c>
      <c r="C73" s="45">
        <v>12.75</v>
      </c>
      <c r="D73" s="19">
        <f>IF(OR(B73="",C73=""),"",IF(C73=0,"",B73/C73))</f>
        <v>0</v>
      </c>
      <c r="E73" s="7">
        <f>IF(B73="","",IF(C73=0,"Différé",IF(B73&lt;0,"Critique",IF(D73&lt;$B$67,"Critique",IF(D73&lt;$C$67,"Vigilance",IF(D73&lt;$D$67,"Favorable","Très favorable"))))))</f>
        <v>0</v>
      </c>
      <c r="F73" s="39"/>
      <c r="G73" s="19">
        <f>IF(OR(B73="",C73="",C73=0),"",IF(F73&lt;&gt;"",F73,B73*(1-$B$70))/C73)</f>
        <v>0</v>
      </c>
      <c r="H73" s="19">
        <f>IF(AND($B$18="Semestrielle",B73&lt;&gt;"",B72&lt;&gt;"",N(C73)+N(C72)&gt;0),(B73+B72)/(C73+C72),"")</f>
        <v>0</v>
      </c>
    </row>
    <row r="74" spans="1:8">
      <c r="A74" s="41" t="s">
        <v>650</v>
      </c>
      <c r="B74" s="39">
        <v>17.2</v>
      </c>
      <c r="C74" s="45">
        <v>12.75</v>
      </c>
      <c r="D74" s="19">
        <f>IF(OR(B74="",C74=""),"",IF(C74=0,"",B74/C74))</f>
        <v>0</v>
      </c>
      <c r="E74" s="7">
        <f>IF(B74="","",IF(C74=0,"Différé",IF(B74&lt;0,"Critique",IF(D74&lt;$B$67,"Critique",IF(D74&lt;$C$67,"Vigilance",IF(D74&lt;$D$67,"Favorable","Très favorable"))))))</f>
        <v>0</v>
      </c>
      <c r="F74" s="39"/>
      <c r="G74" s="19">
        <f>IF(OR(B74="",C74="",C74=0),"",IF(F74&lt;&gt;"",F74,B74*(1-$B$70))/C74)</f>
        <v>0</v>
      </c>
      <c r="H74" s="19"/>
    </row>
    <row r="75" spans="1:8">
      <c r="A75" s="41" t="s">
        <v>651</v>
      </c>
      <c r="B75" s="39">
        <v>14.1</v>
      </c>
      <c r="C75" s="45">
        <v>12.75</v>
      </c>
      <c r="D75" s="19">
        <f>IF(OR(B75="",C75=""),"",IF(C75=0,"",B75/C75))</f>
        <v>0</v>
      </c>
      <c r="E75" s="7">
        <f>IF(B75="","",IF(C75=0,"Différé",IF(B75&lt;0,"Critique",IF(D75&lt;$B$67,"Critique",IF(D75&lt;$C$67,"Vigilance",IF(D75&lt;$D$67,"Favorable","Très favorable"))))))</f>
        <v>0</v>
      </c>
      <c r="F75" s="39"/>
      <c r="G75" s="19">
        <f>IF(OR(B75="",C75="",C75=0),"",IF(F75&lt;&gt;"",F75,B75*(1-$B$70))/C75)</f>
        <v>0</v>
      </c>
      <c r="H75" s="19">
        <f>IF(AND($B$18="Semestrielle",B75&lt;&gt;"",B74&lt;&gt;"",N(C75)+N(C74)&gt;0),(B75+B74)/(C75+C74),"")</f>
        <v>0</v>
      </c>
    </row>
    <row r="76" spans="1:8">
      <c r="A76" s="41"/>
      <c r="B76" s="39"/>
      <c r="C76" s="45"/>
      <c r="D76" s="19">
        <f>IF(OR(B76="",C76=""),"",IF(C76=0,"",B76/C76))</f>
        <v>0</v>
      </c>
      <c r="E76" s="7">
        <f>IF(B76="","",IF(C76=0,"Différé",IF(B76&lt;0,"Critique",IF(D76&lt;$B$67,"Critique",IF(D76&lt;$C$67,"Vigilance",IF(D76&lt;$D$67,"Favorable","Très favorable"))))))</f>
        <v>0</v>
      </c>
      <c r="F76" s="39"/>
      <c r="G76" s="19">
        <f>IF(OR(B76="",C76="",C76=0),"",IF(F76&lt;&gt;"",F76,B76*(1-$B$70))/C76)</f>
        <v>0</v>
      </c>
      <c r="H76" s="19"/>
    </row>
    <row r="77" spans="1:8">
      <c r="A77" s="41"/>
      <c r="B77" s="39"/>
      <c r="C77" s="45"/>
      <c r="D77" s="19">
        <f>IF(OR(B77="",C77=""),"",IF(C77=0,"",B77/C77))</f>
        <v>0</v>
      </c>
      <c r="E77" s="7">
        <f>IF(B77="","",IF(C77=0,"Différé",IF(B77&lt;0,"Critique",IF(D77&lt;$B$67,"Critique",IF(D77&lt;$C$67,"Vigilance",IF(D77&lt;$D$67,"Favorable","Très favorable"))))))</f>
        <v>0</v>
      </c>
      <c r="F77" s="39"/>
      <c r="G77" s="19">
        <f>IF(OR(B77="",C77="",C77=0),"",IF(F77&lt;&gt;"",F77,B77*(1-$B$70))/C77)</f>
        <v>0</v>
      </c>
      <c r="H77" s="19">
        <f>IF(AND($B$18="Semestrielle",B77&lt;&gt;"",B76&lt;&gt;"",N(C77)+N(C76)&gt;0),(B77+B76)/(C77+C76),"")</f>
        <v>0</v>
      </c>
    </row>
    <row r="78" spans="1:8">
      <c r="A78" s="41"/>
      <c r="B78" s="39"/>
      <c r="C78" s="45"/>
      <c r="D78" s="19">
        <f>IF(OR(B78="",C78=""),"",IF(C78=0,"",B78/C78))</f>
        <v>0</v>
      </c>
      <c r="E78" s="7">
        <f>IF(B78="","",IF(C78=0,"Différé",IF(B78&lt;0,"Critique",IF(D78&lt;$B$67,"Critique",IF(D78&lt;$C$67,"Vigilance",IF(D78&lt;$D$67,"Favorable","Très favorable"))))))</f>
        <v>0</v>
      </c>
      <c r="F78" s="39"/>
      <c r="G78" s="19">
        <f>IF(OR(B78="",C78="",C78=0),"",IF(F78&lt;&gt;"",F78,B78*(1-$B$70))/C78)</f>
        <v>0</v>
      </c>
      <c r="H78" s="19"/>
    </row>
    <row r="79" spans="1:8">
      <c r="A79" s="41"/>
      <c r="B79" s="39"/>
      <c r="C79" s="45"/>
      <c r="D79" s="19">
        <f>IF(OR(B79="",C79=""),"",IF(C79=0,"",B79/C79))</f>
        <v>0</v>
      </c>
      <c r="E79" s="7">
        <f>IF(B79="","",IF(C79=0,"Différé",IF(B79&lt;0,"Critique",IF(D79&lt;$B$67,"Critique",IF(D79&lt;$C$67,"Vigilance",IF(D79&lt;$D$67,"Favorable","Très favorable"))))))</f>
        <v>0</v>
      </c>
      <c r="F79" s="39"/>
      <c r="G79" s="19">
        <f>IF(OR(B79="",C79="",C79=0),"",IF(F79&lt;&gt;"",F79,B79*(1-$B$70))/C79)</f>
        <v>0</v>
      </c>
      <c r="H79" s="19">
        <f>IF(AND($B$18="Semestrielle",B79&lt;&gt;"",B78&lt;&gt;"",N(C79)+N(C78)&gt;0),(B79+B78)/(C79+C78),"")</f>
        <v>0</v>
      </c>
    </row>
    <row r="80" spans="1:8">
      <c r="A80" s="41"/>
      <c r="B80" s="39"/>
      <c r="C80" s="45"/>
      <c r="D80" s="19">
        <f>IF(OR(B80="",C80=""),"",IF(C80=0,"",B80/C80))</f>
        <v>0</v>
      </c>
      <c r="E80" s="7">
        <f>IF(B80="","",IF(C80=0,"Différé",IF(B80&lt;0,"Critique",IF(D80&lt;$B$67,"Critique",IF(D80&lt;$C$67,"Vigilance",IF(D80&lt;$D$67,"Favorable","Très favorable"))))))</f>
        <v>0</v>
      </c>
      <c r="F80" s="39"/>
      <c r="G80" s="19">
        <f>IF(OR(B80="",C80="",C80=0),"",IF(F80&lt;&gt;"",F80,B80*(1-$B$70))/C80)</f>
        <v>0</v>
      </c>
      <c r="H80" s="19"/>
    </row>
    <row r="81" spans="1:8">
      <c r="A81" s="41"/>
      <c r="B81" s="39"/>
      <c r="C81" s="45"/>
      <c r="D81" s="19">
        <f>IF(OR(B81="",C81=""),"",IF(C81=0,"",B81/C81))</f>
        <v>0</v>
      </c>
      <c r="E81" s="7">
        <f>IF(B81="","",IF(C81=0,"Différé",IF(B81&lt;0,"Critique",IF(D81&lt;$B$67,"Critique",IF(D81&lt;$C$67,"Vigilance",IF(D81&lt;$D$67,"Favorable","Très favorable"))))))</f>
        <v>0</v>
      </c>
      <c r="F81" s="39"/>
      <c r="G81" s="19">
        <f>IF(OR(B81="",C81="",C81=0),"",IF(F81&lt;&gt;"",F81,B81*(1-$B$70))/C81)</f>
        <v>0</v>
      </c>
      <c r="H81" s="19">
        <f>IF(AND($B$18="Semestrielle",B81&lt;&gt;"",B80&lt;&gt;"",N(C81)+N(C80)&gt;0),(B81+B80)/(C81+C80),"")</f>
        <v>0</v>
      </c>
    </row>
    <row r="82" spans="1:8">
      <c r="A82" s="41"/>
      <c r="B82" s="39"/>
      <c r="C82" s="45"/>
      <c r="D82" s="19">
        <f>IF(OR(B82="",C82=""),"",IF(C82=0,"",B82/C82))</f>
        <v>0</v>
      </c>
      <c r="E82" s="7">
        <f>IF(B82="","",IF(C82=0,"Différé",IF(B82&lt;0,"Critique",IF(D82&lt;$B$67,"Critique",IF(D82&lt;$C$67,"Vigilance",IF(D82&lt;$D$67,"Favorable","Très favorable"))))))</f>
        <v>0</v>
      </c>
      <c r="F82" s="39"/>
      <c r="G82" s="19">
        <f>IF(OR(B82="",C82="",C82=0),"",IF(F82&lt;&gt;"",F82,B82*(1-$B$70))/C82)</f>
        <v>0</v>
      </c>
      <c r="H82" s="19"/>
    </row>
    <row r="83" spans="1:8">
      <c r="A83" s="41"/>
      <c r="B83" s="39"/>
      <c r="C83" s="45"/>
      <c r="D83" s="19">
        <f>IF(OR(B83="",C83=""),"",IF(C83=0,"",B83/C83))</f>
        <v>0</v>
      </c>
      <c r="E83" s="7">
        <f>IF(B83="","",IF(C83=0,"Différé",IF(B83&lt;0,"Critique",IF(D83&lt;$B$67,"Critique",IF(D83&lt;$C$67,"Vigilance",IF(D83&lt;$D$67,"Favorable","Très favorable"))))))</f>
        <v>0</v>
      </c>
      <c r="F83" s="39"/>
      <c r="G83" s="19">
        <f>IF(OR(B83="",C83="",C83=0),"",IF(F83&lt;&gt;"",F83,B83*(1-$B$70))/C83)</f>
        <v>0</v>
      </c>
      <c r="H83" s="19">
        <f>IF(AND($B$18="Semestrielle",B83&lt;&gt;"",B82&lt;&gt;"",N(C83)+N(C82)&gt;0),(B83+B82)/(C83+C82),"")</f>
        <v>0</v>
      </c>
    </row>
    <row r="84" spans="1:8">
      <c r="A84" s="41"/>
      <c r="B84" s="39"/>
      <c r="C84" s="45"/>
      <c r="D84" s="19">
        <f>IF(OR(B84="",C84=""),"",IF(C84=0,"",B84/C84))</f>
        <v>0</v>
      </c>
      <c r="E84" s="7">
        <f>IF(B84="","",IF(C84=0,"Différé",IF(B84&lt;0,"Critique",IF(D84&lt;$B$67,"Critique",IF(D84&lt;$C$67,"Vigilance",IF(D84&lt;$D$67,"Favorable","Très favorable"))))))</f>
        <v>0</v>
      </c>
      <c r="F84" s="39"/>
      <c r="G84" s="19">
        <f>IF(OR(B84="",C84="",C84=0),"",IF(F84&lt;&gt;"",F84,B84*(1-$B$70))/C84)</f>
        <v>0</v>
      </c>
      <c r="H84" s="19"/>
    </row>
    <row r="85" spans="1:8">
      <c r="A85" s="41"/>
      <c r="B85" s="39"/>
      <c r="C85" s="45"/>
      <c r="D85" s="19">
        <f>IF(OR(B85="",C85=""),"",IF(C85=0,"",B85/C85))</f>
        <v>0</v>
      </c>
      <c r="E85" s="7">
        <f>IF(B85="","",IF(C85=0,"Différé",IF(B85&lt;0,"Critique",IF(D85&lt;$B$67,"Critique",IF(D85&lt;$C$67,"Vigilance",IF(D85&lt;$D$67,"Favorable","Très favorable"))))))</f>
        <v>0</v>
      </c>
      <c r="F85" s="39"/>
      <c r="G85" s="19">
        <f>IF(OR(B85="",C85="",C85=0),"",IF(F85&lt;&gt;"",F85,B85*(1-$B$70))/C85)</f>
        <v>0</v>
      </c>
      <c r="H85" s="19">
        <f>IF(AND($B$18="Semestrielle",B85&lt;&gt;"",B84&lt;&gt;"",N(C85)+N(C84)&gt;0),(B85+B84)/(C85+C84),"")</f>
        <v>0</v>
      </c>
    </row>
    <row r="86" spans="1:8">
      <c r="A86" s="41"/>
      <c r="B86" s="39"/>
      <c r="C86" s="45"/>
      <c r="D86" s="19">
        <f>IF(OR(B86="",C86=""),"",IF(C86=0,"",B86/C86))</f>
        <v>0</v>
      </c>
      <c r="E86" s="7">
        <f>IF(B86="","",IF(C86=0,"Différé",IF(B86&lt;0,"Critique",IF(D86&lt;$B$67,"Critique",IF(D86&lt;$C$67,"Vigilance",IF(D86&lt;$D$67,"Favorable","Très favorable"))))))</f>
        <v>0</v>
      </c>
      <c r="F86" s="39"/>
      <c r="G86" s="19">
        <f>IF(OR(B86="",C86="",C86=0),"",IF(F86&lt;&gt;"",F86,B86*(1-$B$70))/C86)</f>
        <v>0</v>
      </c>
      <c r="H86" s="19"/>
    </row>
    <row r="87" spans="1:8">
      <c r="A87" s="41"/>
      <c r="B87" s="39"/>
      <c r="C87" s="45"/>
      <c r="D87" s="19">
        <f>IF(OR(B87="",C87=""),"",IF(C87=0,"",B87/C87))</f>
        <v>0</v>
      </c>
      <c r="E87" s="7">
        <f>IF(B87="","",IF(C87=0,"Différé",IF(B87&lt;0,"Critique",IF(D87&lt;$B$67,"Critique",IF(D87&lt;$C$67,"Vigilance",IF(D87&lt;$D$67,"Favorable","Très favorable"))))))</f>
        <v>0</v>
      </c>
      <c r="F87" s="39"/>
      <c r="G87" s="19">
        <f>IF(OR(B87="",C87="",C87=0),"",IF(F87&lt;&gt;"",F87,B87*(1-$B$70))/C87)</f>
        <v>0</v>
      </c>
      <c r="H87" s="19">
        <f>IF(AND($B$18="Semestrielle",B87&lt;&gt;"",B86&lt;&gt;"",N(C87)+N(C86)&gt;0),(B87+B86)/(C87+C86),"")</f>
        <v>0</v>
      </c>
    </row>
    <row r="88" spans="1:8">
      <c r="A88" s="41"/>
      <c r="B88" s="39"/>
      <c r="C88" s="45"/>
      <c r="D88" s="19">
        <f>IF(OR(B88="",C88=""),"",IF(C88=0,"",B88/C88))</f>
        <v>0</v>
      </c>
      <c r="E88" s="7">
        <f>IF(B88="","",IF(C88=0,"Différé",IF(B88&lt;0,"Critique",IF(D88&lt;$B$67,"Critique",IF(D88&lt;$C$67,"Vigilance",IF(D88&lt;$D$67,"Favorable","Très favorable"))))))</f>
        <v>0</v>
      </c>
      <c r="F88" s="39"/>
      <c r="G88" s="19">
        <f>IF(OR(B88="",C88="",C88=0),"",IF(F88&lt;&gt;"",F88,B88*(1-$B$70))/C88)</f>
        <v>0</v>
      </c>
      <c r="H88" s="19"/>
    </row>
    <row r="89" spans="1:8">
      <c r="A89" s="41"/>
      <c r="B89" s="39"/>
      <c r="C89" s="45"/>
      <c r="D89" s="19">
        <f>IF(OR(B89="",C89=""),"",IF(C89=0,"",B89/C89))</f>
        <v>0</v>
      </c>
      <c r="E89" s="7">
        <f>IF(B89="","",IF(C89=0,"Différé",IF(B89&lt;0,"Critique",IF(D89&lt;$B$67,"Critique",IF(D89&lt;$C$67,"Vigilance",IF(D89&lt;$D$67,"Favorable","Très favorable"))))))</f>
        <v>0</v>
      </c>
      <c r="F89" s="39"/>
      <c r="G89" s="19">
        <f>IF(OR(B89="",C89="",C89=0),"",IF(F89&lt;&gt;"",F89,B89*(1-$B$70))/C89)</f>
        <v>0</v>
      </c>
      <c r="H89" s="19">
        <f>IF(AND($B$18="Semestrielle",B89&lt;&gt;"",B88&lt;&gt;"",N(C89)+N(C88)&gt;0),(B89+B88)/(C89+C88),"")</f>
        <v>0</v>
      </c>
    </row>
    <row r="90" spans="1:8">
      <c r="A90" s="41"/>
      <c r="B90" s="39"/>
      <c r="C90" s="45"/>
      <c r="D90" s="19">
        <f>IF(OR(B90="",C90=""),"",IF(C90=0,"",B90/C90))</f>
        <v>0</v>
      </c>
      <c r="E90" s="7">
        <f>IF(B90="","",IF(C90=0,"Différé",IF(B90&lt;0,"Critique",IF(D90&lt;$B$67,"Critique",IF(D90&lt;$C$67,"Vigilance",IF(D90&lt;$D$67,"Favorable","Très favorable"))))))</f>
        <v>0</v>
      </c>
      <c r="F90" s="39"/>
      <c r="G90" s="19">
        <f>IF(OR(B90="",C90="",C90=0),"",IF(F90&lt;&gt;"",F90,B90*(1-$B$70))/C90)</f>
        <v>0</v>
      </c>
      <c r="H90" s="19"/>
    </row>
    <row r="91" spans="1:8">
      <c r="A91" s="41"/>
      <c r="B91" s="39"/>
      <c r="C91" s="45"/>
      <c r="D91" s="19">
        <f>IF(OR(B91="",C91=""),"",IF(C91=0,"",B91/C91))</f>
        <v>0</v>
      </c>
      <c r="E91" s="7">
        <f>IF(B91="","",IF(C91=0,"Différé",IF(B91&lt;0,"Critique",IF(D91&lt;$B$67,"Critique",IF(D91&lt;$C$67,"Vigilance",IF(D91&lt;$D$67,"Favorable","Très favorable"))))))</f>
        <v>0</v>
      </c>
      <c r="F91" s="39"/>
      <c r="G91" s="19">
        <f>IF(OR(B91="",C91="",C91=0),"",IF(F91&lt;&gt;"",F91,B91*(1-$B$70))/C91)</f>
        <v>0</v>
      </c>
      <c r="H91" s="19">
        <f>IF(AND($B$18="Semestrielle",B91&lt;&gt;"",B90&lt;&gt;"",N(C91)+N(C90)&gt;0),(B91+B90)/(C91+C90),"")</f>
        <v>0</v>
      </c>
    </row>
    <row r="92" spans="1:8">
      <c r="A92" s="41"/>
      <c r="B92" s="39"/>
      <c r="C92" s="45"/>
      <c r="D92" s="19">
        <f>IF(OR(B92="",C92=""),"",IF(C92=0,"",B92/C92))</f>
        <v>0</v>
      </c>
      <c r="E92" s="7">
        <f>IF(B92="","",IF(C92=0,"Différé",IF(B92&lt;0,"Critique",IF(D92&lt;$B$67,"Critique",IF(D92&lt;$C$67,"Vigilance",IF(D92&lt;$D$67,"Favorable","Très favorable"))))))</f>
        <v>0</v>
      </c>
      <c r="F92" s="39"/>
      <c r="G92" s="19">
        <f>IF(OR(B92="",C92="",C92=0),"",IF(F92&lt;&gt;"",F92,B92*(1-$B$70))/C92)</f>
        <v>0</v>
      </c>
      <c r="H92" s="19"/>
    </row>
    <row r="93" spans="1:8">
      <c r="A93" s="41"/>
      <c r="B93" s="39"/>
      <c r="C93" s="45"/>
      <c r="D93" s="19">
        <f>IF(OR(B93="",C93=""),"",IF(C93=0,"",B93/C93))</f>
        <v>0</v>
      </c>
      <c r="E93" s="7">
        <f>IF(B93="","",IF(C93=0,"Différé",IF(B93&lt;0,"Critique",IF(D93&lt;$B$67,"Critique",IF(D93&lt;$C$67,"Vigilance",IF(D93&lt;$D$67,"Favorable","Très favorable"))))))</f>
        <v>0</v>
      </c>
      <c r="F93" s="39"/>
      <c r="G93" s="19">
        <f>IF(OR(B93="",C93="",C93=0),"",IF(F93&lt;&gt;"",F93,B93*(1-$B$70))/C93)</f>
        <v>0</v>
      </c>
      <c r="H93" s="19">
        <f>IF(AND($B$18="Semestrielle",B93&lt;&gt;"",B92&lt;&gt;"",N(C93)+N(C92)&gt;0),(B93+B92)/(C93+C92),"")</f>
        <v>0</v>
      </c>
    </row>
    <row r="94" spans="1:8">
      <c r="A94" s="41"/>
      <c r="B94" s="39"/>
      <c r="C94" s="45"/>
      <c r="D94" s="19">
        <f>IF(OR(B94="",C94=""),"",IF(C94=0,"",B94/C94))</f>
        <v>0</v>
      </c>
      <c r="E94" s="7">
        <f>IF(B94="","",IF(C94=0,"Différé",IF(B94&lt;0,"Critique",IF(D94&lt;$B$67,"Critique",IF(D94&lt;$C$67,"Vigilance",IF(D94&lt;$D$67,"Favorable","Très favorable"))))))</f>
        <v>0</v>
      </c>
      <c r="F94" s="39"/>
      <c r="G94" s="19">
        <f>IF(OR(B94="",C94="",C94=0),"",IF(F94&lt;&gt;"",F94,B94*(1-$B$70))/C94)</f>
        <v>0</v>
      </c>
      <c r="H94" s="19"/>
    </row>
    <row r="95" spans="1:8">
      <c r="A95" s="41"/>
      <c r="B95" s="39"/>
      <c r="C95" s="45"/>
      <c r="D95" s="19">
        <f>IF(OR(B95="",C95=""),"",IF(C95=0,"",B95/C95))</f>
        <v>0</v>
      </c>
      <c r="E95" s="7">
        <f>IF(B95="","",IF(C95=0,"Différé",IF(B95&lt;0,"Critique",IF(D95&lt;$B$67,"Critique",IF(D95&lt;$C$67,"Vigilance",IF(D95&lt;$D$67,"Favorable","Très favorable"))))))</f>
        <v>0</v>
      </c>
      <c r="F95" s="39"/>
      <c r="G95" s="19">
        <f>IF(OR(B95="",C95="",C95=0),"",IF(F95&lt;&gt;"",F95,B95*(1-$B$70))/C95)</f>
        <v>0</v>
      </c>
      <c r="H95" s="19">
        <f>IF(AND($B$18="Semestrielle",B95&lt;&gt;"",B94&lt;&gt;"",N(C95)+N(C94)&gt;0),(B95+B94)/(C95+C94),"")</f>
        <v>0</v>
      </c>
    </row>
    <row r="96" spans="1:8">
      <c r="A96" s="41"/>
      <c r="B96" s="39"/>
      <c r="C96" s="45"/>
      <c r="D96" s="19">
        <f>IF(OR(B96="",C96=""),"",IF(C96=0,"",B96/C96))</f>
        <v>0</v>
      </c>
      <c r="E96" s="7">
        <f>IF(B96="","",IF(C96=0,"Différé",IF(B96&lt;0,"Critique",IF(D96&lt;$B$67,"Critique",IF(D96&lt;$C$67,"Vigilance",IF(D96&lt;$D$67,"Favorable","Très favorable"))))))</f>
        <v>0</v>
      </c>
      <c r="F96" s="39"/>
      <c r="G96" s="19">
        <f>IF(OR(B96="",C96="",C96=0),"",IF(F96&lt;&gt;"",F96,B96*(1-$B$70))/C96)</f>
        <v>0</v>
      </c>
      <c r="H96" s="19"/>
    </row>
    <row r="97" spans="1:8">
      <c r="A97" s="41"/>
      <c r="B97" s="39"/>
      <c r="C97" s="45"/>
      <c r="D97" s="19">
        <f>IF(OR(B97="",C97=""),"",IF(C97=0,"",B97/C97))</f>
        <v>0</v>
      </c>
      <c r="E97" s="7">
        <f>IF(B97="","",IF(C97=0,"Différé",IF(B97&lt;0,"Critique",IF(D97&lt;$B$67,"Critique",IF(D97&lt;$C$67,"Vigilance",IF(D97&lt;$D$67,"Favorable","Très favorable"))))))</f>
        <v>0</v>
      </c>
      <c r="F97" s="39"/>
      <c r="G97" s="19">
        <f>IF(OR(B97="",C97="",C97=0),"",IF(F97&lt;&gt;"",F97,B97*(1-$B$70))/C97)</f>
        <v>0</v>
      </c>
      <c r="H97" s="19">
        <f>IF(AND($B$18="Semestrielle",B97&lt;&gt;"",B96&lt;&gt;"",N(C97)+N(C96)&gt;0),(B97+B96)/(C97+C96),"")</f>
        <v>0</v>
      </c>
    </row>
    <row r="98" spans="1:8">
      <c r="A98" s="41"/>
      <c r="B98" s="39"/>
      <c r="C98" s="45"/>
      <c r="D98" s="19">
        <f>IF(OR(B98="",C98=""),"",IF(C98=0,"",B98/C98))</f>
        <v>0</v>
      </c>
      <c r="E98" s="7">
        <f>IF(B98="","",IF(C98=0,"Différé",IF(B98&lt;0,"Critique",IF(D98&lt;$B$67,"Critique",IF(D98&lt;$C$67,"Vigilance",IF(D98&lt;$D$67,"Favorable","Très favorable"))))))</f>
        <v>0</v>
      </c>
      <c r="F98" s="39"/>
      <c r="G98" s="19">
        <f>IF(OR(B98="",C98="",C98=0),"",IF(F98&lt;&gt;"",F98,B98*(1-$B$70))/C98)</f>
        <v>0</v>
      </c>
      <c r="H98" s="19"/>
    </row>
    <row r="99" spans="1:8">
      <c r="A99" s="41"/>
      <c r="B99" s="39"/>
      <c r="C99" s="45"/>
      <c r="D99" s="19">
        <f>IF(OR(B99="",C99=""),"",IF(C99=0,"",B99/C99))</f>
        <v>0</v>
      </c>
      <c r="E99" s="7">
        <f>IF(B99="","",IF(C99=0,"Différé",IF(B99&lt;0,"Critique",IF(D99&lt;$B$67,"Critique",IF(D99&lt;$C$67,"Vigilance",IF(D99&lt;$D$67,"Favorable","Très favorable"))))))</f>
        <v>0</v>
      </c>
      <c r="F99" s="39"/>
      <c r="G99" s="19">
        <f>IF(OR(B99="",C99="",C99=0),"",IF(F99&lt;&gt;"",F99,B99*(1-$B$70))/C99)</f>
        <v>0</v>
      </c>
      <c r="H99" s="19">
        <f>IF(AND($B$18="Semestrielle",B99&lt;&gt;"",B98&lt;&gt;"",N(C99)+N(C98)&gt;0),(B99+B98)/(C99+C98),"")</f>
        <v>0</v>
      </c>
    </row>
    <row r="100" spans="1:8">
      <c r="A100" s="41"/>
      <c r="B100" s="39"/>
      <c r="C100" s="45"/>
      <c r="D100" s="19">
        <f>IF(OR(B100="",C100=""),"",IF(C100=0,"",B100/C100))</f>
        <v>0</v>
      </c>
      <c r="E100" s="7">
        <f>IF(B100="","",IF(C100=0,"Différé",IF(B100&lt;0,"Critique",IF(D100&lt;$B$67,"Critique",IF(D100&lt;$C$67,"Vigilance",IF(D100&lt;$D$67,"Favorable","Très favorable"))))))</f>
        <v>0</v>
      </c>
      <c r="F100" s="39"/>
      <c r="G100" s="19">
        <f>IF(OR(B100="",C100="",C100=0),"",IF(F100&lt;&gt;"",F100,B100*(1-$B$70))/C100)</f>
        <v>0</v>
      </c>
      <c r="H100" s="19"/>
    </row>
    <row r="101" spans="1:8">
      <c r="A101" s="41"/>
      <c r="B101" s="39"/>
      <c r="C101" s="45"/>
      <c r="D101" s="19">
        <f>IF(OR(B101="",C101=""),"",IF(C101=0,"",B101/C101))</f>
        <v>0</v>
      </c>
      <c r="E101" s="7">
        <f>IF(B101="","",IF(C101=0,"Différé",IF(B101&lt;0,"Critique",IF(D101&lt;$B$67,"Critique",IF(D101&lt;$C$67,"Vigilance",IF(D101&lt;$D$67,"Favorable","Très favorable"))))))</f>
        <v>0</v>
      </c>
      <c r="F101" s="39"/>
      <c r="G101" s="19">
        <f>IF(OR(B101="",C101="",C101=0),"",IF(F101&lt;&gt;"",F101,B101*(1-$B$70))/C101)</f>
        <v>0</v>
      </c>
      <c r="H101" s="19">
        <f>IF(AND($B$18="Semestrielle",B101&lt;&gt;"",B100&lt;&gt;"",N(C101)+N(C100)&gt;0),(B101+B100)/(C101+C100),"")</f>
        <v>0</v>
      </c>
    </row>
    <row r="102" spans="1:8">
      <c r="A102" s="41"/>
      <c r="B102" s="39"/>
      <c r="C102" s="45"/>
      <c r="D102" s="19">
        <f>IF(OR(B102="",C102=""),"",IF(C102=0,"",B102/C102))</f>
        <v>0</v>
      </c>
      <c r="E102" s="7">
        <f>IF(B102="","",IF(C102=0,"Différé",IF(B102&lt;0,"Critique",IF(D102&lt;$B$67,"Critique",IF(D102&lt;$C$67,"Vigilance",IF(D102&lt;$D$67,"Favorable","Très favorable"))))))</f>
        <v>0</v>
      </c>
      <c r="F102" s="39"/>
      <c r="G102" s="19">
        <f>IF(OR(B102="",C102="",C102=0),"",IF(F102&lt;&gt;"",F102,B102*(1-$B$70))/C102)</f>
        <v>0</v>
      </c>
      <c r="H102" s="19"/>
    </row>
    <row r="103" spans="1:8">
      <c r="A103" s="41"/>
      <c r="B103" s="39"/>
      <c r="C103" s="45"/>
      <c r="D103" s="19">
        <f>IF(OR(B103="",C103=""),"",IF(C103=0,"",B103/C103))</f>
        <v>0</v>
      </c>
      <c r="E103" s="7">
        <f>IF(B103="","",IF(C103=0,"Différé",IF(B103&lt;0,"Critique",IF(D103&lt;$B$67,"Critique",IF(D103&lt;$C$67,"Vigilance",IF(D103&lt;$D$67,"Favorable","Très favorable"))))))</f>
        <v>0</v>
      </c>
      <c r="F103" s="39"/>
      <c r="G103" s="19">
        <f>IF(OR(B103="",C103="",C103=0),"",IF(F103&lt;&gt;"",F103,B103*(1-$B$70))/C103)</f>
        <v>0</v>
      </c>
      <c r="H103" s="19">
        <f>IF(AND($B$18="Semestrielle",B103&lt;&gt;"",B102&lt;&gt;"",N(C103)+N(C102)&gt;0),(B103+B102)/(C103+C102),"")</f>
        <v>0</v>
      </c>
    </row>
    <row r="104" spans="1:8">
      <c r="A104" s="41"/>
      <c r="B104" s="39"/>
      <c r="C104" s="45"/>
      <c r="D104" s="19">
        <f>IF(OR(B104="",C104=""),"",IF(C104=0,"",B104/C104))</f>
        <v>0</v>
      </c>
      <c r="E104" s="7">
        <f>IF(B104="","",IF(C104=0,"Différé",IF(B104&lt;0,"Critique",IF(D104&lt;$B$67,"Critique",IF(D104&lt;$C$67,"Vigilance",IF(D104&lt;$D$67,"Favorable","Très favorable"))))))</f>
        <v>0</v>
      </c>
      <c r="F104" s="39"/>
      <c r="G104" s="19">
        <f>IF(OR(B104="",C104="",C104=0),"",IF(F104&lt;&gt;"",F104,B104*(1-$B$70))/C104)</f>
        <v>0</v>
      </c>
      <c r="H104" s="19"/>
    </row>
    <row r="105" spans="1:8">
      <c r="A105" s="41"/>
      <c r="B105" s="39"/>
      <c r="C105" s="45"/>
      <c r="D105" s="19">
        <f>IF(OR(B105="",C105=""),"",IF(C105=0,"",B105/C105))</f>
        <v>0</v>
      </c>
      <c r="E105" s="7">
        <f>IF(B105="","",IF(C105=0,"Différé",IF(B105&lt;0,"Critique",IF(D105&lt;$B$67,"Critique",IF(D105&lt;$C$67,"Vigilance",IF(D105&lt;$D$67,"Favorable","Très favorable"))))))</f>
        <v>0</v>
      </c>
      <c r="F105" s="39"/>
      <c r="G105" s="19">
        <f>IF(OR(B105="",C105="",C105=0),"",IF(F105&lt;&gt;"",F105,B105*(1-$B$70))/C105)</f>
        <v>0</v>
      </c>
      <c r="H105" s="19">
        <f>IF(AND($B$18="Semestrielle",B105&lt;&gt;"",B104&lt;&gt;"",N(C105)+N(C104)&gt;0),(B105+B104)/(C105+C104),"")</f>
        <v>0</v>
      </c>
    </row>
    <row r="106" spans="1:8">
      <c r="A106" s="41"/>
      <c r="B106" s="39"/>
      <c r="C106" s="45"/>
      <c r="D106" s="19">
        <f>IF(OR(B106="",C106=""),"",IF(C106=0,"",B106/C106))</f>
        <v>0</v>
      </c>
      <c r="E106" s="7">
        <f>IF(B106="","",IF(C106=0,"Différé",IF(B106&lt;0,"Critique",IF(D106&lt;$B$67,"Critique",IF(D106&lt;$C$67,"Vigilance",IF(D106&lt;$D$67,"Favorable","Très favorable"))))))</f>
        <v>0</v>
      </c>
      <c r="F106" s="39"/>
      <c r="G106" s="19">
        <f>IF(OR(B106="",C106="",C106=0),"",IF(F106&lt;&gt;"",F106,B106*(1-$B$70))/C106)</f>
        <v>0</v>
      </c>
      <c r="H106" s="19"/>
    </row>
    <row r="107" spans="1:8">
      <c r="A107" s="41"/>
      <c r="B107" s="39"/>
      <c r="C107" s="45"/>
      <c r="D107" s="19">
        <f>IF(OR(B107="",C107=""),"",IF(C107=0,"",B107/C107))</f>
        <v>0</v>
      </c>
      <c r="E107" s="7">
        <f>IF(B107="","",IF(C107=0,"Différé",IF(B107&lt;0,"Critique",IF(D107&lt;$B$67,"Critique",IF(D107&lt;$C$67,"Vigilance",IF(D107&lt;$D$67,"Favorable","Très favorable"))))))</f>
        <v>0</v>
      </c>
      <c r="F107" s="39"/>
      <c r="G107" s="19">
        <f>IF(OR(B107="",C107="",C107=0),"",IF(F107&lt;&gt;"",F107,B107*(1-$B$70))/C107)</f>
        <v>0</v>
      </c>
      <c r="H107" s="19">
        <f>IF(AND($B$18="Semestrielle",B107&lt;&gt;"",B106&lt;&gt;"",N(C107)+N(C106)&gt;0),(B107+B106)/(C107+C106),"")</f>
        <v>0</v>
      </c>
    </row>
    <row r="108" spans="1:8">
      <c r="A108" s="41"/>
      <c r="B108" s="39"/>
      <c r="C108" s="45"/>
      <c r="D108" s="19">
        <f>IF(OR(B108="",C108=""),"",IF(C108=0,"",B108/C108))</f>
        <v>0</v>
      </c>
      <c r="E108" s="7">
        <f>IF(B108="","",IF(C108=0,"Différé",IF(B108&lt;0,"Critique",IF(D108&lt;$B$67,"Critique",IF(D108&lt;$C$67,"Vigilance",IF(D108&lt;$D$67,"Favorable","Très favorable"))))))</f>
        <v>0</v>
      </c>
      <c r="F108" s="39"/>
      <c r="G108" s="19">
        <f>IF(OR(B108="",C108="",C108=0),"",IF(F108&lt;&gt;"",F108,B108*(1-$B$70))/C108)</f>
        <v>0</v>
      </c>
      <c r="H108" s="19"/>
    </row>
    <row r="109" spans="1:8">
      <c r="A109" s="41"/>
      <c r="B109" s="39"/>
      <c r="C109" s="45"/>
      <c r="D109" s="19">
        <f>IF(OR(B109="",C109=""),"",IF(C109=0,"",B109/C109))</f>
        <v>0</v>
      </c>
      <c r="E109" s="7">
        <f>IF(B109="","",IF(C109=0,"Différé",IF(B109&lt;0,"Critique",IF(D109&lt;$B$67,"Critique",IF(D109&lt;$C$67,"Vigilance",IF(D109&lt;$D$67,"Favorable","Très favorable"))))))</f>
        <v>0</v>
      </c>
      <c r="F109" s="39"/>
      <c r="G109" s="19">
        <f>IF(OR(B109="",C109="",C109=0),"",IF(F109&lt;&gt;"",F109,B109*(1-$B$70))/C109)</f>
        <v>0</v>
      </c>
      <c r="H109" s="19">
        <f>IF(AND($B$18="Semestrielle",B109&lt;&gt;"",B108&lt;&gt;"",N(C109)+N(C108)&gt;0),(B109+B108)/(C109+C108),"")</f>
        <v>0</v>
      </c>
    </row>
    <row r="110" spans="1:8">
      <c r="A110" s="41"/>
      <c r="B110" s="39"/>
      <c r="C110" s="45"/>
      <c r="D110" s="19">
        <f>IF(OR(B110="",C110=""),"",IF(C110=0,"",B110/C110))</f>
        <v>0</v>
      </c>
      <c r="E110" s="7">
        <f>IF(B110="","",IF(C110=0,"Différé",IF(B110&lt;0,"Critique",IF(D110&lt;$B$67,"Critique",IF(D110&lt;$C$67,"Vigilance",IF(D110&lt;$D$67,"Favorable","Très favorable"))))))</f>
        <v>0</v>
      </c>
      <c r="F110" s="39"/>
      <c r="G110" s="19">
        <f>IF(OR(B110="",C110="",C110=0),"",IF(F110&lt;&gt;"",F110,B110*(1-$B$70))/C110)</f>
        <v>0</v>
      </c>
      <c r="H110" s="19"/>
    </row>
    <row r="111" spans="1:8">
      <c r="A111" s="41"/>
      <c r="B111" s="39"/>
      <c r="C111" s="45"/>
      <c r="D111" s="19">
        <f>IF(OR(B111="",C111=""),"",IF(C111=0,"",B111/C111))</f>
        <v>0</v>
      </c>
      <c r="E111" s="7">
        <f>IF(B111="","",IF(C111=0,"Différé",IF(B111&lt;0,"Critique",IF(D111&lt;$B$67,"Critique",IF(D111&lt;$C$67,"Vigilance",IF(D111&lt;$D$67,"Favorable","Très favorable"))))))</f>
        <v>0</v>
      </c>
      <c r="F111" s="39"/>
      <c r="G111" s="19">
        <f>IF(OR(B111="",C111="",C111=0),"",IF(F111&lt;&gt;"",F111,B111*(1-$B$70))/C111)</f>
        <v>0</v>
      </c>
      <c r="H111" s="19">
        <f>IF(AND($B$18="Semestrielle",B111&lt;&gt;"",B110&lt;&gt;"",N(C111)+N(C110)&gt;0),(B111+B110)/(C111+C110),"")</f>
        <v>0</v>
      </c>
    </row>
    <row r="112" spans="1:8">
      <c r="A112" s="41"/>
      <c r="B112" s="39"/>
      <c r="C112" s="45"/>
      <c r="D112" s="19">
        <f>IF(OR(B112="",C112=""),"",IF(C112=0,"",B112/C112))</f>
        <v>0</v>
      </c>
      <c r="E112" s="7">
        <f>IF(B112="","",IF(C112=0,"Différé",IF(B112&lt;0,"Critique",IF(D112&lt;$B$67,"Critique",IF(D112&lt;$C$67,"Vigilance",IF(D112&lt;$D$67,"Favorable","Très favorable"))))))</f>
        <v>0</v>
      </c>
      <c r="F112" s="39"/>
      <c r="G112" s="19">
        <f>IF(OR(B112="",C112="",C112=0),"",IF(F112&lt;&gt;"",F112,B112*(1-$B$70))/C112)</f>
        <v>0</v>
      </c>
      <c r="H112" s="19"/>
    </row>
    <row r="113" spans="1:8">
      <c r="A113" s="41"/>
      <c r="B113" s="39"/>
      <c r="C113" s="45"/>
      <c r="D113" s="19">
        <f>IF(OR(B113="",C113=""),"",IF(C113=0,"",B113/C113))</f>
        <v>0</v>
      </c>
      <c r="E113" s="7">
        <f>IF(B113="","",IF(C113=0,"Différé",IF(B113&lt;0,"Critique",IF(D113&lt;$B$67,"Critique",IF(D113&lt;$C$67,"Vigilance",IF(D113&lt;$D$67,"Favorable","Très favorable"))))))</f>
        <v>0</v>
      </c>
      <c r="F113" s="39"/>
      <c r="G113" s="19">
        <f>IF(OR(B113="",C113="",C113=0),"",IF(F113&lt;&gt;"",F113,B113*(1-$B$70))/C113)</f>
        <v>0</v>
      </c>
      <c r="H113" s="19">
        <f>IF(AND($B$18="Semestrielle",B113&lt;&gt;"",B112&lt;&gt;"",N(C113)+N(C112)&gt;0),(B113+B112)/(C113+C112),"")</f>
        <v>0</v>
      </c>
    </row>
    <row r="114" spans="1:8">
      <c r="A114" s="41"/>
      <c r="B114" s="39"/>
      <c r="C114" s="45"/>
      <c r="D114" s="19">
        <f>IF(OR(B114="",C114=""),"",IF(C114=0,"",B114/C114))</f>
        <v>0</v>
      </c>
      <c r="E114" s="7">
        <f>IF(B114="","",IF(C114=0,"Différé",IF(B114&lt;0,"Critique",IF(D114&lt;$B$67,"Critique",IF(D114&lt;$C$67,"Vigilance",IF(D114&lt;$D$67,"Favorable","Très favorable"))))))</f>
        <v>0</v>
      </c>
      <c r="F114" s="39"/>
      <c r="G114" s="19">
        <f>IF(OR(B114="",C114="",C114=0),"",IF(F114&lt;&gt;"",F114,B114*(1-$B$70))/C114)</f>
        <v>0</v>
      </c>
      <c r="H114" s="19"/>
    </row>
    <row r="115" spans="1:8">
      <c r="A115" s="41"/>
      <c r="B115" s="39"/>
      <c r="C115" s="45"/>
      <c r="D115" s="19">
        <f>IF(OR(B115="",C115=""),"",IF(C115=0,"",B115/C115))</f>
        <v>0</v>
      </c>
      <c r="E115" s="7">
        <f>IF(B115="","",IF(C115=0,"Différé",IF(B115&lt;0,"Critique",IF(D115&lt;$B$67,"Critique",IF(D115&lt;$C$67,"Vigilance",IF(D115&lt;$D$67,"Favorable","Très favorable"))))))</f>
        <v>0</v>
      </c>
      <c r="F115" s="39"/>
      <c r="G115" s="19">
        <f>IF(OR(B115="",C115="",C115=0),"",IF(F115&lt;&gt;"",F115,B115*(1-$B$70))/C115)</f>
        <v>0</v>
      </c>
      <c r="H115" s="19">
        <f>IF(AND($B$18="Semestrielle",B115&lt;&gt;"",B114&lt;&gt;"",N(C115)+N(C114)&gt;0),(B115+B114)/(C115+C114),"")</f>
        <v>0</v>
      </c>
    </row>
    <row r="116" spans="1:8">
      <c r="A116" s="41"/>
      <c r="B116" s="39"/>
      <c r="C116" s="45"/>
      <c r="D116" s="19">
        <f>IF(OR(B116="",C116=""),"",IF(C116=0,"",B116/C116))</f>
        <v>0</v>
      </c>
      <c r="E116" s="7">
        <f>IF(B116="","",IF(C116=0,"Différé",IF(B116&lt;0,"Critique",IF(D116&lt;$B$67,"Critique",IF(D116&lt;$C$67,"Vigilance",IF(D116&lt;$D$67,"Favorable","Très favorable"))))))</f>
        <v>0</v>
      </c>
      <c r="F116" s="39"/>
      <c r="G116" s="19">
        <f>IF(OR(B116="",C116="",C116=0),"",IF(F116&lt;&gt;"",F116,B116*(1-$B$70))/C116)</f>
        <v>0</v>
      </c>
      <c r="H116" s="19"/>
    </row>
    <row r="117" spans="1:8">
      <c r="A117" s="41"/>
      <c r="B117" s="39"/>
      <c r="C117" s="45"/>
      <c r="D117" s="19">
        <f>IF(OR(B117="",C117=""),"",IF(C117=0,"",B117/C117))</f>
        <v>0</v>
      </c>
      <c r="E117" s="7">
        <f>IF(B117="","",IF(C117=0,"Différé",IF(B117&lt;0,"Critique",IF(D117&lt;$B$67,"Critique",IF(D117&lt;$C$67,"Vigilance",IF(D117&lt;$D$67,"Favorable","Très favorable"))))))</f>
        <v>0</v>
      </c>
      <c r="F117" s="39"/>
      <c r="G117" s="19">
        <f>IF(OR(B117="",C117="",C117=0),"",IF(F117&lt;&gt;"",F117,B117*(1-$B$70))/C117)</f>
        <v>0</v>
      </c>
      <c r="H117" s="19">
        <f>IF(AND($B$18="Semestrielle",B117&lt;&gt;"",B116&lt;&gt;"",N(C117)+N(C116)&gt;0),(B117+B116)/(C117+C116),"")</f>
        <v>0</v>
      </c>
    </row>
    <row r="118" spans="1:8">
      <c r="A118" s="41"/>
      <c r="B118" s="39"/>
      <c r="C118" s="45"/>
      <c r="D118" s="19">
        <f>IF(OR(B118="",C118=""),"",IF(C118=0,"",B118/C118))</f>
        <v>0</v>
      </c>
      <c r="E118" s="7">
        <f>IF(B118="","",IF(C118=0,"Différé",IF(B118&lt;0,"Critique",IF(D118&lt;$B$67,"Critique",IF(D118&lt;$C$67,"Vigilance",IF(D118&lt;$D$67,"Favorable","Très favorable"))))))</f>
        <v>0</v>
      </c>
      <c r="F118" s="39"/>
      <c r="G118" s="19">
        <f>IF(OR(B118="",C118="",C118=0),"",IF(F118&lt;&gt;"",F118,B118*(1-$B$70))/C118)</f>
        <v>0</v>
      </c>
      <c r="H118" s="19"/>
    </row>
    <row r="119" spans="1:8">
      <c r="A119" s="41"/>
      <c r="B119" s="39"/>
      <c r="C119" s="45"/>
      <c r="D119" s="19">
        <f>IF(OR(B119="",C119=""),"",IF(C119=0,"",B119/C119))</f>
        <v>0</v>
      </c>
      <c r="E119" s="7">
        <f>IF(B119="","",IF(C119=0,"Différé",IF(B119&lt;0,"Critique",IF(D119&lt;$B$67,"Critique",IF(D119&lt;$C$67,"Vigilance",IF(D119&lt;$D$67,"Favorable","Très favorable"))))))</f>
        <v>0</v>
      </c>
      <c r="F119" s="39"/>
      <c r="G119" s="19">
        <f>IF(OR(B119="",C119="",C119=0),"",IF(F119&lt;&gt;"",F119,B119*(1-$B$70))/C119)</f>
        <v>0</v>
      </c>
      <c r="H119" s="19">
        <f>IF(AND($B$18="Semestrielle",B119&lt;&gt;"",B118&lt;&gt;"",N(C119)+N(C118)&gt;0),(B119+B118)/(C119+C118),"")</f>
        <v>0</v>
      </c>
    </row>
    <row r="120" spans="1:8">
      <c r="A120" s="41"/>
      <c r="B120" s="39"/>
      <c r="C120" s="45"/>
      <c r="D120" s="19">
        <f>IF(OR(B120="",C120=""),"",IF(C120=0,"",B120/C120))</f>
        <v>0</v>
      </c>
      <c r="E120" s="7">
        <f>IF(B120="","",IF(C120=0,"Différé",IF(B120&lt;0,"Critique",IF(D120&lt;$B$67,"Critique",IF(D120&lt;$C$67,"Vigilance",IF(D120&lt;$D$67,"Favorable","Très favorable"))))))</f>
        <v>0</v>
      </c>
      <c r="F120" s="39"/>
      <c r="G120" s="19">
        <f>IF(OR(B120="",C120="",C120=0),"",IF(F120&lt;&gt;"",F120,B120*(1-$B$70))/C120)</f>
        <v>0</v>
      </c>
      <c r="H120" s="19"/>
    </row>
    <row r="121" spans="1:8">
      <c r="A121" s="41"/>
      <c r="B121" s="39"/>
      <c r="C121" s="45"/>
      <c r="D121" s="19">
        <f>IF(OR(B121="",C121=""),"",IF(C121=0,"",B121/C121))</f>
        <v>0</v>
      </c>
      <c r="E121" s="7">
        <f>IF(B121="","",IF(C121=0,"Différé",IF(B121&lt;0,"Critique",IF(D121&lt;$B$67,"Critique",IF(D121&lt;$C$67,"Vigilance",IF(D121&lt;$D$67,"Favorable","Très favorable"))))))</f>
        <v>0</v>
      </c>
      <c r="F121" s="39"/>
      <c r="G121" s="19">
        <f>IF(OR(B121="",C121="",C121=0),"",IF(F121&lt;&gt;"",F121,B121*(1-$B$70))/C121)</f>
        <v>0</v>
      </c>
      <c r="H121" s="19">
        <f>IF(AND($B$18="Semestrielle",B121&lt;&gt;"",B120&lt;&gt;"",N(C121)+N(C120)&gt;0),(B121+B120)/(C121+C120),"")</f>
        <v>0</v>
      </c>
    </row>
    <row r="122" spans="1:8">
      <c r="A122" s="41"/>
      <c r="B122" s="39"/>
      <c r="C122" s="45"/>
      <c r="D122" s="19">
        <f>IF(OR(B122="",C122=""),"",IF(C122=0,"",B122/C122))</f>
        <v>0</v>
      </c>
      <c r="E122" s="7">
        <f>IF(B122="","",IF(C122=0,"Différé",IF(B122&lt;0,"Critique",IF(D122&lt;$B$67,"Critique",IF(D122&lt;$C$67,"Vigilance",IF(D122&lt;$D$67,"Favorable","Très favorable"))))))</f>
        <v>0</v>
      </c>
      <c r="F122" s="39"/>
      <c r="G122" s="19">
        <f>IF(OR(B122="",C122="",C122=0),"",IF(F122&lt;&gt;"",F122,B122*(1-$B$70))/C122)</f>
        <v>0</v>
      </c>
      <c r="H122" s="19"/>
    </row>
    <row r="123" spans="1:8">
      <c r="A123" s="41"/>
      <c r="B123" s="39"/>
      <c r="C123" s="45"/>
      <c r="D123" s="19">
        <f>IF(OR(B123="",C123=""),"",IF(C123=0,"",B123/C123))</f>
        <v>0</v>
      </c>
      <c r="E123" s="7">
        <f>IF(B123="","",IF(C123=0,"Différé",IF(B123&lt;0,"Critique",IF(D123&lt;$B$67,"Critique",IF(D123&lt;$C$67,"Vigilance",IF(D123&lt;$D$67,"Favorable","Très favorable"))))))</f>
        <v>0</v>
      </c>
      <c r="F123" s="39"/>
      <c r="G123" s="19">
        <f>IF(OR(B123="",C123="",C123=0),"",IF(F123&lt;&gt;"",F123,B123*(1-$B$70))/C123)</f>
        <v>0</v>
      </c>
      <c r="H123" s="19">
        <f>IF(AND($B$18="Semestrielle",B123&lt;&gt;"",B122&lt;&gt;"",N(C123)+N(C122)&gt;0),(B123+B122)/(C123+C122),"")</f>
        <v>0</v>
      </c>
    </row>
    <row r="124" spans="1:8">
      <c r="A124" s="41"/>
      <c r="B124" s="39"/>
      <c r="C124" s="45"/>
      <c r="D124" s="19">
        <f>IF(OR(B124="",C124=""),"",IF(C124=0,"",B124/C124))</f>
        <v>0</v>
      </c>
      <c r="E124" s="7">
        <f>IF(B124="","",IF(C124=0,"Différé",IF(B124&lt;0,"Critique",IF(D124&lt;$B$67,"Critique",IF(D124&lt;$C$67,"Vigilance",IF(D124&lt;$D$67,"Favorable","Très favorable"))))))</f>
        <v>0</v>
      </c>
      <c r="F124" s="39"/>
      <c r="G124" s="19">
        <f>IF(OR(B124="",C124="",C124=0),"",IF(F124&lt;&gt;"",F124,B124*(1-$B$70))/C124)</f>
        <v>0</v>
      </c>
      <c r="H124" s="19"/>
    </row>
    <row r="125" spans="1:8">
      <c r="A125" s="41"/>
      <c r="B125" s="39"/>
      <c r="C125" s="45"/>
      <c r="D125" s="19">
        <f>IF(OR(B125="",C125=""),"",IF(C125=0,"",B125/C125))</f>
        <v>0</v>
      </c>
      <c r="E125" s="7">
        <f>IF(B125="","",IF(C125=0,"Différé",IF(B125&lt;0,"Critique",IF(D125&lt;$B$67,"Critique",IF(D125&lt;$C$67,"Vigilance",IF(D125&lt;$D$67,"Favorable","Très favorable"))))))</f>
        <v>0</v>
      </c>
      <c r="F125" s="39"/>
      <c r="G125" s="19">
        <f>IF(OR(B125="",C125="",C125=0),"",IF(F125&lt;&gt;"",F125,B125*(1-$B$70))/C125)</f>
        <v>0</v>
      </c>
      <c r="H125" s="19">
        <f>IF(AND($B$18="Semestrielle",B125&lt;&gt;"",B124&lt;&gt;"",N(C125)+N(C124)&gt;0),(B125+B124)/(C125+C124),"")</f>
        <v>0</v>
      </c>
    </row>
    <row r="126" spans="1:8">
      <c r="A126" s="41"/>
      <c r="B126" s="39"/>
      <c r="C126" s="45"/>
      <c r="D126" s="19">
        <f>IF(OR(B126="",C126=""),"",IF(C126=0,"",B126/C126))</f>
        <v>0</v>
      </c>
      <c r="E126" s="7">
        <f>IF(B126="","",IF(C126=0,"Différé",IF(B126&lt;0,"Critique",IF(D126&lt;$B$67,"Critique",IF(D126&lt;$C$67,"Vigilance",IF(D126&lt;$D$67,"Favorable","Très favorable"))))))</f>
        <v>0</v>
      </c>
      <c r="F126" s="39"/>
      <c r="G126" s="19">
        <f>IF(OR(B126="",C126="",C126=0),"",IF(F126&lt;&gt;"",F126,B126*(1-$B$70))/C126)</f>
        <v>0</v>
      </c>
      <c r="H126" s="19"/>
    </row>
    <row r="127" spans="1:8">
      <c r="A127" s="41"/>
      <c r="B127" s="39"/>
      <c r="C127" s="45"/>
      <c r="D127" s="19">
        <f>IF(OR(B127="",C127=""),"",IF(C127=0,"",B127/C127))</f>
        <v>0</v>
      </c>
      <c r="E127" s="7">
        <f>IF(B127="","",IF(C127=0,"Différé",IF(B127&lt;0,"Critique",IF(D127&lt;$B$67,"Critique",IF(D127&lt;$C$67,"Vigilance",IF(D127&lt;$D$67,"Favorable","Très favorable"))))))</f>
        <v>0</v>
      </c>
      <c r="F127" s="39"/>
      <c r="G127" s="19">
        <f>IF(OR(B127="",C127="",C127=0),"",IF(F127&lt;&gt;"",F127,B127*(1-$B$70))/C127)</f>
        <v>0</v>
      </c>
      <c r="H127" s="19">
        <f>IF(AND($B$18="Semestrielle",B127&lt;&gt;"",B126&lt;&gt;"",N(C127)+N(C126)&gt;0),(B127+B126)/(C127+C126),"")</f>
        <v>0</v>
      </c>
    </row>
    <row r="128" spans="1:8">
      <c r="A128" s="41"/>
      <c r="B128" s="39"/>
      <c r="C128" s="45"/>
      <c r="D128" s="19">
        <f>IF(OR(B128="",C128=""),"",IF(C128=0,"",B128/C128))</f>
        <v>0</v>
      </c>
      <c r="E128" s="7">
        <f>IF(B128="","",IF(C128=0,"Différé",IF(B128&lt;0,"Critique",IF(D128&lt;$B$67,"Critique",IF(D128&lt;$C$67,"Vigilance",IF(D128&lt;$D$67,"Favorable","Très favorable"))))))</f>
        <v>0</v>
      </c>
      <c r="F128" s="39"/>
      <c r="G128" s="19">
        <f>IF(OR(B128="",C128="",C128=0),"",IF(F128&lt;&gt;"",F128,B128*(1-$B$70))/C128)</f>
        <v>0</v>
      </c>
      <c r="H128" s="19"/>
    </row>
    <row r="129" spans="1:8">
      <c r="A129" s="41"/>
      <c r="B129" s="39"/>
      <c r="C129" s="45"/>
      <c r="D129" s="19">
        <f>IF(OR(B129="",C129=""),"",IF(C129=0,"",B129/C129))</f>
        <v>0</v>
      </c>
      <c r="E129" s="7">
        <f>IF(B129="","",IF(C129=0,"Différé",IF(B129&lt;0,"Critique",IF(D129&lt;$B$67,"Critique",IF(D129&lt;$C$67,"Vigilance",IF(D129&lt;$D$67,"Favorable","Très favorable"))))))</f>
        <v>0</v>
      </c>
      <c r="F129" s="39"/>
      <c r="G129" s="19">
        <f>IF(OR(B129="",C129="",C129=0),"",IF(F129&lt;&gt;"",F129,B129*(1-$B$70))/C129)</f>
        <v>0</v>
      </c>
      <c r="H129" s="19">
        <f>IF(AND($B$18="Semestrielle",B129&lt;&gt;"",B128&lt;&gt;"",N(C129)+N(C128)&gt;0),(B129+B128)/(C129+C128),"")</f>
        <v>0</v>
      </c>
    </row>
    <row r="130" spans="1:8">
      <c r="A130" s="41"/>
      <c r="B130" s="39"/>
      <c r="C130" s="45"/>
      <c r="D130" s="19">
        <f>IF(OR(B130="",C130=""),"",IF(C130=0,"",B130/C130))</f>
        <v>0</v>
      </c>
      <c r="E130" s="7">
        <f>IF(B130="","",IF(C130=0,"Différé",IF(B130&lt;0,"Critique",IF(D130&lt;$B$67,"Critique",IF(D130&lt;$C$67,"Vigilance",IF(D130&lt;$D$67,"Favorable","Très favorable"))))))</f>
        <v>0</v>
      </c>
      <c r="F130" s="39"/>
      <c r="G130" s="19">
        <f>IF(OR(B130="",C130="",C130=0),"",IF(F130&lt;&gt;"",F130,B130*(1-$B$70))/C130)</f>
        <v>0</v>
      </c>
      <c r="H130" s="19"/>
    </row>
    <row r="131" spans="1:8">
      <c r="A131" s="41"/>
      <c r="B131" s="39"/>
      <c r="C131" s="45"/>
      <c r="D131" s="19">
        <f>IF(OR(B131="",C131=""),"",IF(C131=0,"",B131/C131))</f>
        <v>0</v>
      </c>
      <c r="E131" s="7">
        <f>IF(B131="","",IF(C131=0,"Différé",IF(B131&lt;0,"Critique",IF(D131&lt;$B$67,"Critique",IF(D131&lt;$C$67,"Vigilance",IF(D131&lt;$D$67,"Favorable","Très favorable"))))))</f>
        <v>0</v>
      </c>
      <c r="F131" s="39"/>
      <c r="G131" s="19">
        <f>IF(OR(B131="",C131="",C131=0),"",IF(F131&lt;&gt;"",F131,B131*(1-$B$70))/C131)</f>
        <v>0</v>
      </c>
      <c r="H131" s="19">
        <f>IF(AND($B$18="Semestrielle",B131&lt;&gt;"",B130&lt;&gt;"",N(C131)+N(C130)&gt;0),(B131+B130)/(C131+C130),"")</f>
        <v>0</v>
      </c>
    </row>
    <row r="133" spans="1:8">
      <c r="A133" s="21" t="s">
        <v>381</v>
      </c>
      <c r="D133" s="35">
        <f>IF(COUNT(D72:D131)=0,"",MIN(D72:D131))</f>
        <v>0</v>
      </c>
      <c r="E133" s="7">
        <f>IF(D133="","",IF(F133&gt;0,"Critique",IF(D133&lt;$B$67,"Critique",IF(D133&lt;$C$67,"Vigilance",IF(D133&lt;$D$67,"Favorable","Très favorable")))))</f>
        <v>0</v>
      </c>
      <c r="F133" s="31">
        <f>COUNTIF(B72:B131,"&lt;0")</f>
        <v>0</v>
      </c>
    </row>
    <row r="134" spans="1:8">
      <c r="A134" s="21" t="s">
        <v>382</v>
      </c>
      <c r="D134" s="35">
        <f>IF(COUNT(G72:G131)=0,"",MIN(G72:G131))</f>
        <v>0</v>
      </c>
      <c r="E134" s="7">
        <f>IF(D134="","",IF(D134&lt;$B$67,"Critique",IF(D134&lt;$C$67,"Vigilance",IF(D134&lt;$D$67,"Favorable","Très favorable"))))</f>
        <v>0</v>
      </c>
    </row>
    <row r="135" spans="1:8">
      <c r="A135" s="17" t="s">
        <v>383</v>
      </c>
      <c r="D135" s="19">
        <f>IF(SUM(C72:C131)=0,"",SUM(B72:B131)/SUM(C72:C131))</f>
        <v>0</v>
      </c>
    </row>
    <row r="136" spans="1:8">
      <c r="A136" s="17" t="s">
        <v>384</v>
      </c>
      <c r="D136" s="19">
        <f>IF(COUNT(H72:H131)=0,"",MIN(H72:H131))</f>
        <v>0</v>
      </c>
    </row>
    <row r="137" spans="1:8">
      <c r="A137" s="17" t="s">
        <v>385</v>
      </c>
      <c r="D137" s="15">
        <f>COUNT(B72:B131)</f>
        <v>0</v>
      </c>
    </row>
    <row r="140" spans="1:8">
      <c r="A140" s="3" t="s">
        <v>386</v>
      </c>
      <c r="B140" s="3"/>
      <c r="C140" s="3"/>
      <c r="D140" s="3"/>
      <c r="E140" s="3"/>
      <c r="F140" s="3"/>
      <c r="G140" s="3"/>
      <c r="H140" s="3"/>
    </row>
    <row r="141" spans="1:8">
      <c r="A141" s="11" t="s">
        <v>76</v>
      </c>
      <c r="B141" s="11" t="s">
        <v>108</v>
      </c>
      <c r="C141" s="11" t="s">
        <v>77</v>
      </c>
      <c r="D141" s="11" t="s">
        <v>387</v>
      </c>
      <c r="E141" s="11" t="s">
        <v>388</v>
      </c>
      <c r="F141" s="11"/>
      <c r="G141" s="11"/>
      <c r="H141" s="11"/>
    </row>
    <row r="142" spans="1:8">
      <c r="A142" s="17" t="s">
        <v>389</v>
      </c>
      <c r="B142" s="7">
        <f>IF($D$133="","",IF($F$133&gt;0,P_Ancre_C,IF($D$133&lt;$B$67,P_Ancre_C,IF($D$133&lt;$C$67,P_Ancre_V,IF($D$133&lt;$D$67,P_Ancre_F,P_Ancre_TF)))))</f>
        <v>0</v>
      </c>
      <c r="C142" s="27">
        <f>INDEX(P_PoidsN,1)</f>
        <v>0</v>
      </c>
      <c r="D142" s="20">
        <f>IF(ISNUMBER(B142),B142,P_InfoInsuff)*C142</f>
        <v>0</v>
      </c>
      <c r="E142" s="13">
        <f>IF($D$133="","",IF($F$133&gt;0,"CFADS négatif sur au moins une période : Critique d'office","DSCR minimum "&amp;FIXED($D$133,3)&amp;" face au seuil critique "&amp;FIXED($B$67,2)&amp;" du couple "&amp;$B$15&amp;" × "&amp;$B$16))</f>
        <v>0</v>
      </c>
      <c r="F142" s="13"/>
      <c r="G142" s="13"/>
      <c r="H142" s="13"/>
    </row>
    <row r="143" spans="1:8">
      <c r="A143" s="17" t="s">
        <v>390</v>
      </c>
      <c r="B143" s="7">
        <f>IF($D$134="","",IF($D$134&lt;$B$67,P_Ancre_C,IF($D$134&lt;$C$67,P_Ancre_V,IF($D$134&lt;$D$67,P_Ancre_F,P_Ancre_TF))))</f>
        <v>0</v>
      </c>
      <c r="C143" s="27">
        <f>INDEX(P_PoidsN,2)</f>
        <v>0</v>
      </c>
      <c r="D143" s="20">
        <f>IF(ISNUMBER(B143),B143,P_InfoInsuff)*C143</f>
        <v>0</v>
      </c>
      <c r="E143" s="13">
        <f>IF($D$134="","","DSCR stressé minimum "&amp;FIXED($D$134,3)&amp;" — "&amp;$C$70)</f>
        <v>0</v>
      </c>
      <c r="F143" s="13"/>
      <c r="G143" s="13"/>
      <c r="H143" s="13"/>
    </row>
    <row r="144" spans="1:8">
      <c r="A144" s="17" t="s">
        <v>391</v>
      </c>
      <c r="B144" s="7">
        <f>IF($B$17="P1",IF($B$48="","",IF($B$48&gt;=P_N3_TF,P_Ancre_TF,IF($B$48&gt;=P_N3_F,P_Ancre_F,IF(AND($B$48&gt;=P_N3_V,$B$50="Oui"),P_Ancre_V,P_Ancre_C)))),IF($B$150="","",$B$150))</f>
        <v>0</v>
      </c>
      <c r="C144" s="27">
        <f>INDEX(P_PoidsN,3)</f>
        <v>0</v>
      </c>
      <c r="D144" s="20">
        <f>IF(ISNUMBER(B144),B144,P_InfoInsuff)*C144</f>
        <v>0</v>
      </c>
      <c r="E144" s="13">
        <f>IF($B$17="P1",IF($B$48="","","Phase P1 : test de financement à terminaison, couverture "&amp;FIXED($B$48*100,1)&amp;" %"),"LLCR "&amp;IF($B$151="","non renseigné",FIXED($B$151,2))&amp;" — note N3 saisie ligne 150")</f>
        <v>0</v>
      </c>
      <c r="F144" s="13"/>
      <c r="G144" s="13"/>
      <c r="H144" s="13"/>
    </row>
    <row r="145" spans="1:8">
      <c r="A145" s="17" t="s">
        <v>392</v>
      </c>
      <c r="B145" s="5">
        <v>80</v>
      </c>
      <c r="C145" s="27">
        <f>INDEX(P_PoidsN,4)</f>
        <v>0</v>
      </c>
      <c r="D145" s="20">
        <f>IF(ISNUMBER(B145),B145,P_InfoInsuff)*C145</f>
        <v>0</v>
      </c>
      <c r="E145" s="44" t="s">
        <v>652</v>
      </c>
      <c r="F145" s="44"/>
      <c r="G145" s="44"/>
      <c r="H145" s="44"/>
    </row>
    <row r="146" spans="1:8">
      <c r="A146" s="17" t="s">
        <v>394</v>
      </c>
      <c r="B146" s="5">
        <v>100</v>
      </c>
      <c r="C146" s="27">
        <f>INDEX(P_PoidsN,5)</f>
        <v>0</v>
      </c>
      <c r="D146" s="20">
        <f>IF(ISNUMBER(B146),B146,P_InfoInsuff)*C146</f>
        <v>0</v>
      </c>
      <c r="E146" s="44" t="s">
        <v>653</v>
      </c>
      <c r="F146" s="44"/>
      <c r="G146" s="44"/>
      <c r="H146" s="44"/>
    </row>
    <row r="147" spans="1:8">
      <c r="A147" s="17" t="s">
        <v>396</v>
      </c>
      <c r="B147" s="5">
        <v>80</v>
      </c>
      <c r="C147" s="27">
        <f>INDEX(P_PoidsN,6)</f>
        <v>0</v>
      </c>
      <c r="D147" s="20">
        <f>IF(ISNUMBER(B147),B147,P_InfoInsuff)*C147</f>
        <v>0</v>
      </c>
      <c r="E147" s="44" t="s">
        <v>654</v>
      </c>
      <c r="F147" s="44"/>
      <c r="G147" s="44"/>
      <c r="H147" s="44"/>
    </row>
    <row r="148" spans="1:8">
      <c r="A148" s="21" t="s">
        <v>398</v>
      </c>
      <c r="D148" s="14">
        <f>SUM(D142:D147)</f>
        <v>0</v>
      </c>
    </row>
    <row r="149" spans="1:8">
      <c r="A149" s="11" t="s">
        <v>399</v>
      </c>
      <c r="B149" s="11"/>
      <c r="C149" s="11"/>
      <c r="D149" s="11"/>
      <c r="E149" s="11"/>
      <c r="F149" s="11"/>
      <c r="G149" s="11"/>
      <c r="H149" s="11"/>
    </row>
    <row r="150" spans="1:8">
      <c r="A150" s="17" t="s">
        <v>400</v>
      </c>
      <c r="B150" s="5">
        <v>50</v>
      </c>
    </row>
    <row r="151" spans="1:8">
      <c r="A151" s="17" t="s">
        <v>401</v>
      </c>
      <c r="B151" s="45">
        <v>1.175</v>
      </c>
    </row>
    <row r="152" spans="1:8">
      <c r="A152" s="17" t="s">
        <v>402</v>
      </c>
      <c r="B152" s="39">
        <v>6</v>
      </c>
    </row>
    <row r="153" spans="1:8">
      <c r="A153" s="17" t="s">
        <v>403</v>
      </c>
      <c r="B153" s="43">
        <v>0</v>
      </c>
    </row>
    <row r="154" spans="1:8">
      <c r="A154" s="17" t="s">
        <v>404</v>
      </c>
      <c r="B154" s="43">
        <v>0</v>
      </c>
    </row>
    <row r="155" spans="1:8">
      <c r="A155" s="17" t="s">
        <v>405</v>
      </c>
      <c r="B155" s="5"/>
    </row>
    <row r="156" spans="1:8">
      <c r="A156" s="17" t="s">
        <v>406</v>
      </c>
      <c r="B156" s="43">
        <v>0.3</v>
      </c>
    </row>
    <row r="157" spans="1:8">
      <c r="A157" s="17" t="s">
        <v>407</v>
      </c>
      <c r="B157" s="5" t="s">
        <v>277</v>
      </c>
    </row>
    <row r="158" spans="1:8">
      <c r="A158" s="17" t="s">
        <v>408</v>
      </c>
      <c r="B158" s="39"/>
    </row>
    <row r="159" spans="1:8">
      <c r="A159" s="17" t="s">
        <v>409</v>
      </c>
      <c r="B159" s="39">
        <v>15</v>
      </c>
    </row>
    <row r="160" spans="1:8">
      <c r="A160" s="17" t="s">
        <v>410</v>
      </c>
      <c r="B160" s="5"/>
    </row>
    <row r="161" spans="1:16">
      <c r="A161" s="17" t="s">
        <v>411</v>
      </c>
      <c r="B161" s="5"/>
    </row>
    <row r="162" spans="1:16">
      <c r="A162" s="17" t="s">
        <v>412</v>
      </c>
      <c r="B162" s="5" t="s">
        <v>257</v>
      </c>
    </row>
    <row r="163" spans="1:16">
      <c r="A163" s="17" t="s">
        <v>413</v>
      </c>
      <c r="B163" s="5" t="s">
        <v>257</v>
      </c>
    </row>
    <row r="164" spans="1:16">
      <c r="A164" s="17" t="s">
        <v>414</v>
      </c>
      <c r="B164" s="39"/>
    </row>
    <row r="165" spans="1:16">
      <c r="A165" s="17" t="s">
        <v>415</v>
      </c>
      <c r="B165" s="5" t="s">
        <v>258</v>
      </c>
    </row>
    <row r="167" spans="1:16">
      <c r="A167" s="3" t="s">
        <v>416</v>
      </c>
      <c r="B167" s="3"/>
      <c r="C167" s="3"/>
      <c r="D167" s="3"/>
      <c r="E167" s="3"/>
      <c r="F167" s="3"/>
      <c r="G167" s="3"/>
      <c r="H167" s="3"/>
    </row>
    <row r="168" spans="1:16">
      <c r="A168" s="11" t="s">
        <v>417</v>
      </c>
      <c r="B168" s="11" t="s">
        <v>108</v>
      </c>
      <c r="C168" s="11" t="s">
        <v>77</v>
      </c>
      <c r="D168" s="11" t="s">
        <v>418</v>
      </c>
      <c r="E168" s="11" t="s">
        <v>419</v>
      </c>
      <c r="F168" s="11"/>
      <c r="G168" s="11"/>
      <c r="H168" s="11"/>
    </row>
    <row r="169" spans="1:16" ht="45" customHeight="1">
      <c r="A169" s="21" t="s">
        <v>420</v>
      </c>
      <c r="B169" s="17"/>
      <c r="C169" s="27">
        <f>IFERROR(INDEX(P_PoidsDom,1,MATCH($B$17,P_PoidsHdr,0)),"")</f>
        <v>0</v>
      </c>
      <c r="D169" s="14">
        <f>IF(N(C169)=0,"",SUMPRODUCT(B170:B172,C170:C172)+P_InfoInsuff*SUMPRODUCT((1-ISNUMBER(B170:B172))*C170:C172))</f>
        <v>0</v>
      </c>
      <c r="E169" s="44" t="s">
        <v>655</v>
      </c>
      <c r="F169" s="44"/>
      <c r="G169" s="44"/>
      <c r="H169" s="44"/>
      <c r="J169" s="31" t="s">
        <v>422</v>
      </c>
      <c r="K169" s="31">
        <f>IF(N(C169)&gt;0,1,0)</f>
        <v>0</v>
      </c>
      <c r="M169" s="31">
        <f>N(C169)*SUMPRODUCT(ISNUMBER(B170:B172)*C170:C172)</f>
        <v>0</v>
      </c>
    </row>
    <row r="170" spans="1:16">
      <c r="A170" s="17" t="s">
        <v>423</v>
      </c>
      <c r="B170" s="5">
        <v>100</v>
      </c>
      <c r="C170" s="27">
        <f>INDEX(P_SCPoids,MATCH(L170,P_SCCle,0))</f>
        <v>0</v>
      </c>
      <c r="J170" s="31" t="s">
        <v>424</v>
      </c>
      <c r="K170" s="31">
        <f>K169</f>
        <v>0</v>
      </c>
      <c r="L170" s="31" t="s">
        <v>205</v>
      </c>
      <c r="P170" s="31">
        <f>IF(AND(K170=1,B170=""),ROW(),"")</f>
        <v>0</v>
      </c>
    </row>
    <row r="171" spans="1:16">
      <c r="A171" s="17" t="s">
        <v>425</v>
      </c>
      <c r="B171" s="5">
        <v>100</v>
      </c>
      <c r="C171" s="27">
        <f>INDEX(P_SCPoids,MATCH(L171,P_SCCle,0))</f>
        <v>0</v>
      </c>
      <c r="J171" s="31" t="s">
        <v>424</v>
      </c>
      <c r="K171" s="31">
        <f>K169</f>
        <v>0</v>
      </c>
      <c r="L171" s="31" t="s">
        <v>207</v>
      </c>
      <c r="P171" s="31">
        <f>IF(AND(K171=1,B171=""),ROW(),"")</f>
        <v>0</v>
      </c>
    </row>
    <row r="172" spans="1:16">
      <c r="A172" s="17" t="s">
        <v>426</v>
      </c>
      <c r="B172" s="5">
        <v>100</v>
      </c>
      <c r="C172" s="27">
        <f>INDEX(P_SCPoids,MATCH(L172,P_SCCle,0))</f>
        <v>0</v>
      </c>
      <c r="J172" s="31" t="s">
        <v>424</v>
      </c>
      <c r="K172" s="31">
        <f>K169</f>
        <v>0</v>
      </c>
      <c r="L172" s="31" t="s">
        <v>209</v>
      </c>
      <c r="P172" s="31">
        <f>IF(AND(K172=1,B172=""),ROW(),"")</f>
        <v>0</v>
      </c>
    </row>
    <row r="173" spans="1:16">
      <c r="A173" s="21" t="s">
        <v>427</v>
      </c>
      <c r="B173" s="17"/>
      <c r="C173" s="27">
        <f>IFERROR(INDEX(P_PoidsDom,2,MATCH($B$17,P_PoidsHdr,0)),"")</f>
        <v>0</v>
      </c>
      <c r="D173" s="14">
        <f>IF(N(C173)=0,"",SUMPRODUCT(B174:B176,C174:C176)+P_InfoInsuff*SUMPRODUCT((1-ISNUMBER(B174:B176))*C174:C176))</f>
        <v>0</v>
      </c>
      <c r="E173" s="44"/>
      <c r="F173" s="44"/>
      <c r="G173" s="44"/>
      <c r="H173" s="44"/>
      <c r="J173" s="31" t="s">
        <v>422</v>
      </c>
      <c r="K173" s="31">
        <f>IF(N(C173)&gt;0,1,0)</f>
        <v>0</v>
      </c>
      <c r="M173" s="31">
        <f>N(C173)*SUMPRODUCT(ISNUMBER(B174:B176)*C174:C176)</f>
        <v>0</v>
      </c>
    </row>
    <row r="174" spans="1:16">
      <c r="A174" s="17" t="s">
        <v>428</v>
      </c>
      <c r="B174" s="5">
        <v>100</v>
      </c>
      <c r="C174" s="27">
        <f>INDEX(P_SCPoids,MATCH(L174,P_SCCle,0))</f>
        <v>0</v>
      </c>
      <c r="J174" s="31" t="s">
        <v>424</v>
      </c>
      <c r="K174" s="31">
        <f>K173</f>
        <v>0</v>
      </c>
      <c r="L174" s="31" t="s">
        <v>211</v>
      </c>
      <c r="P174" s="31">
        <f>IF(AND(K174=1,B174=""),ROW(),"")</f>
        <v>0</v>
      </c>
    </row>
    <row r="175" spans="1:16">
      <c r="A175" s="17" t="s">
        <v>429</v>
      </c>
      <c r="B175" s="5">
        <v>100</v>
      </c>
      <c r="C175" s="27">
        <f>INDEX(P_SCPoids,MATCH(L175,P_SCCle,0))</f>
        <v>0</v>
      </c>
      <c r="J175" s="31" t="s">
        <v>424</v>
      </c>
      <c r="K175" s="31">
        <f>K173</f>
        <v>0</v>
      </c>
      <c r="L175" s="31" t="s">
        <v>213</v>
      </c>
      <c r="P175" s="31">
        <f>IF(AND(K175=1,B175=""),ROW(),"")</f>
        <v>0</v>
      </c>
    </row>
    <row r="176" spans="1:16">
      <c r="A176" s="17" t="s">
        <v>430</v>
      </c>
      <c r="B176" s="5">
        <v>80</v>
      </c>
      <c r="C176" s="27">
        <f>INDEX(P_SCPoids,MATCH(L176,P_SCCle,0))</f>
        <v>0</v>
      </c>
      <c r="J176" s="31" t="s">
        <v>424</v>
      </c>
      <c r="K176" s="31">
        <f>K173</f>
        <v>0</v>
      </c>
      <c r="L176" s="31" t="s">
        <v>215</v>
      </c>
      <c r="P176" s="31">
        <f>IF(AND(K176=1,B176=""),ROW(),"")</f>
        <v>0</v>
      </c>
    </row>
    <row r="177" spans="1:16">
      <c r="A177" s="21" t="s">
        <v>431</v>
      </c>
      <c r="B177" s="17"/>
      <c r="C177" s="27">
        <f>IFERROR(INDEX(P_PoidsDom,3,MATCH($B$17,P_PoidsHdr,0)),"")</f>
        <v>0</v>
      </c>
      <c r="D177" s="14">
        <f>IF(N(C177)=0,"",SUMPRODUCT(B178:B180,C178:C180)+P_InfoInsuff*SUMPRODUCT((1-ISNUMBER(B178:B180))*C178:C180))</f>
        <v>0</v>
      </c>
      <c r="E177" s="44"/>
      <c r="F177" s="44"/>
      <c r="G177" s="44"/>
      <c r="H177" s="44"/>
      <c r="J177" s="31" t="s">
        <v>422</v>
      </c>
      <c r="K177" s="31">
        <f>IF(N(C177)&gt;0,1,0)</f>
        <v>0</v>
      </c>
      <c r="M177" s="31">
        <f>N(C177)*SUMPRODUCT(ISNUMBER(B178:B180)*C178:C180)</f>
        <v>0</v>
      </c>
    </row>
    <row r="178" spans="1:16">
      <c r="A178" s="17" t="s">
        <v>433</v>
      </c>
      <c r="B178" s="5">
        <v>100</v>
      </c>
      <c r="C178" s="27">
        <f>INDEX(P_SCPoids,MATCH(L178,P_SCCle,0))</f>
        <v>0</v>
      </c>
      <c r="J178" s="31" t="s">
        <v>424</v>
      </c>
      <c r="K178" s="31">
        <f>K177</f>
        <v>0</v>
      </c>
      <c r="L178" s="31" t="s">
        <v>217</v>
      </c>
      <c r="P178" s="31">
        <f>IF(AND(K178=1,B178=""),ROW(),"")</f>
        <v>0</v>
      </c>
    </row>
    <row r="179" spans="1:16">
      <c r="A179" s="17" t="s">
        <v>434</v>
      </c>
      <c r="B179" s="5">
        <v>80</v>
      </c>
      <c r="C179" s="27">
        <f>INDEX(P_SCPoids,MATCH(L179,P_SCCle,0))</f>
        <v>0</v>
      </c>
      <c r="J179" s="31" t="s">
        <v>424</v>
      </c>
      <c r="K179" s="31">
        <f>K177</f>
        <v>0</v>
      </c>
      <c r="L179" s="31" t="s">
        <v>219</v>
      </c>
      <c r="P179" s="31">
        <f>IF(AND(K179=1,B179=""),ROW(),"")</f>
        <v>0</v>
      </c>
    </row>
    <row r="180" spans="1:16">
      <c r="A180" s="17" t="s">
        <v>435</v>
      </c>
      <c r="B180" s="5">
        <v>100</v>
      </c>
      <c r="C180" s="27">
        <f>INDEX(P_SCPoids,MATCH(L180,P_SCCle,0))</f>
        <v>0</v>
      </c>
      <c r="J180" s="31" t="s">
        <v>424</v>
      </c>
      <c r="K180" s="31">
        <f>K177</f>
        <v>0</v>
      </c>
      <c r="L180" s="31" t="s">
        <v>221</v>
      </c>
      <c r="P180" s="31">
        <f>IF(AND(K180=1,B180=""),ROW(),"")</f>
        <v>0</v>
      </c>
    </row>
    <row r="181" spans="1:16" ht="45" customHeight="1">
      <c r="A181" s="21" t="s">
        <v>436</v>
      </c>
      <c r="B181" s="17"/>
      <c r="C181" s="27">
        <f>IFERROR(INDEX(P_PoidsDom,4,MATCH($B$17,P_PoidsHdr,0)),"")</f>
        <v>0</v>
      </c>
      <c r="D181" s="14">
        <f>IF(N(C181)=0,"",SUMPRODUCT(B182:B184,C182:C184)+P_InfoInsuff*SUMPRODUCT((1-ISNUMBER(B182:B184))*C182:C184))</f>
        <v>0</v>
      </c>
      <c r="E181" s="44" t="s">
        <v>656</v>
      </c>
      <c r="F181" s="44"/>
      <c r="G181" s="44"/>
      <c r="H181" s="44"/>
      <c r="J181" s="31" t="s">
        <v>422</v>
      </c>
      <c r="K181" s="31">
        <f>IF(N(C181)&gt;0,1,0)</f>
        <v>0</v>
      </c>
      <c r="M181" s="31">
        <f>N(C181)*SUMPRODUCT(ISNUMBER(B182:B184)*C182:C184)</f>
        <v>0</v>
      </c>
    </row>
    <row r="182" spans="1:16">
      <c r="A182" s="17" t="s">
        <v>438</v>
      </c>
      <c r="B182" s="5">
        <v>50</v>
      </c>
      <c r="C182" s="27">
        <f>INDEX(P_SCPoids,MATCH(L182,P_SCCle,0))</f>
        <v>0</v>
      </c>
      <c r="J182" s="31" t="s">
        <v>424</v>
      </c>
      <c r="K182" s="31">
        <f>K181</f>
        <v>0</v>
      </c>
      <c r="L182" s="31" t="s">
        <v>223</v>
      </c>
      <c r="P182" s="31">
        <f>IF(AND(K182=1,B182=""),ROW(),"")</f>
        <v>0</v>
      </c>
    </row>
    <row r="183" spans="1:16">
      <c r="A183" s="17" t="s">
        <v>439</v>
      </c>
      <c r="B183" s="5">
        <v>50</v>
      </c>
      <c r="C183" s="27">
        <f>INDEX(P_SCPoids,MATCH(L183,P_SCCle,0))</f>
        <v>0</v>
      </c>
      <c r="J183" s="31" t="s">
        <v>424</v>
      </c>
      <c r="K183" s="31">
        <f>K181</f>
        <v>0</v>
      </c>
      <c r="L183" s="31" t="s">
        <v>225</v>
      </c>
      <c r="P183" s="31">
        <f>IF(AND(K183=1,B183=""),ROW(),"")</f>
        <v>0</v>
      </c>
    </row>
    <row r="184" spans="1:16">
      <c r="A184" s="17" t="s">
        <v>440</v>
      </c>
      <c r="B184" s="5">
        <v>50</v>
      </c>
      <c r="C184" s="27">
        <f>INDEX(P_SCPoids,MATCH(L184,P_SCCle,0))</f>
        <v>0</v>
      </c>
      <c r="J184" s="31" t="s">
        <v>424</v>
      </c>
      <c r="K184" s="31">
        <f>K181</f>
        <v>0</v>
      </c>
      <c r="L184" s="31" t="s">
        <v>227</v>
      </c>
      <c r="P184" s="31">
        <f>IF(AND(K184=1,B184=""),ROW(),"")</f>
        <v>0</v>
      </c>
    </row>
    <row r="185" spans="1:16">
      <c r="A185" s="21" t="s">
        <v>441</v>
      </c>
      <c r="B185" s="17"/>
      <c r="C185" s="27">
        <f>IFERROR(INDEX(P_PoidsDom,5,MATCH($B$17,P_PoidsHdr,0)),"")</f>
        <v>0</v>
      </c>
      <c r="D185" s="14">
        <f>IF(N(C185)=0,"",SUMPRODUCT(B186:B188,C186:C188)+P_InfoInsuff*SUMPRODUCT((1-ISNUMBER(B186:B188))*C186:C188))</f>
        <v>0</v>
      </c>
      <c r="E185" s="44"/>
      <c r="F185" s="44"/>
      <c r="G185" s="44"/>
      <c r="H185" s="44"/>
      <c r="J185" s="31" t="s">
        <v>422</v>
      </c>
      <c r="K185" s="31">
        <f>IF(N(C185)&gt;0,1,0)</f>
        <v>0</v>
      </c>
      <c r="M185" s="31">
        <f>N(C185)*SUMPRODUCT(ISNUMBER(B186:B188)*C186:C188)</f>
        <v>0</v>
      </c>
    </row>
    <row r="186" spans="1:16">
      <c r="A186" s="17" t="s">
        <v>442</v>
      </c>
      <c r="B186" s="5">
        <v>100</v>
      </c>
      <c r="C186" s="27">
        <f>INDEX(P_SCPoids,MATCH(L186,P_SCCle,0))</f>
        <v>0</v>
      </c>
      <c r="J186" s="31" t="s">
        <v>424</v>
      </c>
      <c r="K186" s="31">
        <f>K185</f>
        <v>0</v>
      </c>
      <c r="L186" s="31" t="s">
        <v>229</v>
      </c>
      <c r="P186" s="31">
        <f>IF(AND(K186=1,B186=""),ROW(),"")</f>
        <v>0</v>
      </c>
    </row>
    <row r="187" spans="1:16">
      <c r="A187" s="17" t="s">
        <v>443</v>
      </c>
      <c r="B187" s="5">
        <v>80</v>
      </c>
      <c r="C187" s="27">
        <f>INDEX(P_SCPoids,MATCH(L187,P_SCCle,0))</f>
        <v>0</v>
      </c>
      <c r="J187" s="31" t="s">
        <v>424</v>
      </c>
      <c r="K187" s="31">
        <f>K185</f>
        <v>0</v>
      </c>
      <c r="L187" s="31" t="s">
        <v>231</v>
      </c>
      <c r="P187" s="31">
        <f>IF(AND(K187=1,B187=""),ROW(),"")</f>
        <v>0</v>
      </c>
    </row>
    <row r="188" spans="1:16">
      <c r="A188" s="17" t="s">
        <v>444</v>
      </c>
      <c r="B188" s="5">
        <v>80</v>
      </c>
      <c r="C188" s="27">
        <f>INDEX(P_SCPoids,MATCH(L188,P_SCCle,0))</f>
        <v>0</v>
      </c>
      <c r="J188" s="31" t="s">
        <v>424</v>
      </c>
      <c r="K188" s="31">
        <f>K185</f>
        <v>0</v>
      </c>
      <c r="L188" s="31" t="s">
        <v>233</v>
      </c>
      <c r="P188" s="31">
        <f>IF(AND(K188=1,B188=""),ROW(),"")</f>
        <v>0</v>
      </c>
    </row>
    <row r="189" spans="1:16">
      <c r="A189" s="21" t="s">
        <v>445</v>
      </c>
      <c r="B189" s="17"/>
      <c r="C189" s="27">
        <f>IFERROR(INDEX(P_PoidsDom,6,MATCH($B$17,P_PoidsHdr,0)),"")</f>
        <v>0</v>
      </c>
      <c r="D189" s="14">
        <f>IF(N(C189)=0,"",SUMPRODUCT(B190:B192,C190:C192)+P_InfoInsuff*SUMPRODUCT((1-ISNUMBER(B190:B192))*C190:C192))</f>
        <v>0</v>
      </c>
      <c r="E189" s="44"/>
      <c r="F189" s="44"/>
      <c r="G189" s="44"/>
      <c r="H189" s="44"/>
      <c r="J189" s="31" t="s">
        <v>422</v>
      </c>
      <c r="K189" s="31">
        <f>IF(N(C189)&gt;0,1,0)</f>
        <v>0</v>
      </c>
      <c r="M189" s="31">
        <f>N(C189)*SUMPRODUCT(ISNUMBER(B190:B192)*C190:C192)</f>
        <v>0</v>
      </c>
    </row>
    <row r="190" spans="1:16">
      <c r="A190" s="17" t="s">
        <v>447</v>
      </c>
      <c r="B190" s="5">
        <v>50</v>
      </c>
      <c r="C190" s="27">
        <f>INDEX(P_SCPoids,MATCH(L190,P_SCCle,0))</f>
        <v>0</v>
      </c>
      <c r="J190" s="31" t="s">
        <v>424</v>
      </c>
      <c r="K190" s="31">
        <f>K189</f>
        <v>0</v>
      </c>
      <c r="L190" s="31" t="s">
        <v>235</v>
      </c>
      <c r="P190" s="31">
        <f>IF(AND(K190=1,B190=""),ROW(),"")</f>
        <v>0</v>
      </c>
    </row>
    <row r="191" spans="1:16">
      <c r="A191" s="17" t="s">
        <v>448</v>
      </c>
      <c r="B191" s="5">
        <v>80</v>
      </c>
      <c r="C191" s="27">
        <f>INDEX(P_SCPoids,MATCH(L191,P_SCCle,0))</f>
        <v>0</v>
      </c>
      <c r="J191" s="31" t="s">
        <v>424</v>
      </c>
      <c r="K191" s="31">
        <f>K189</f>
        <v>0</v>
      </c>
      <c r="L191" s="31" t="s">
        <v>237</v>
      </c>
      <c r="P191" s="31">
        <f>IF(AND(K191=1,B191=""),ROW(),"")</f>
        <v>0</v>
      </c>
    </row>
    <row r="192" spans="1:16">
      <c r="A192" s="17" t="s">
        <v>449</v>
      </c>
      <c r="B192" s="5">
        <v>100</v>
      </c>
      <c r="C192" s="27">
        <f>INDEX(P_SCPoids,MATCH(L192,P_SCCle,0))</f>
        <v>0</v>
      </c>
      <c r="J192" s="31" t="s">
        <v>424</v>
      </c>
      <c r="K192" s="31">
        <f>K189</f>
        <v>0</v>
      </c>
      <c r="L192" s="31" t="s">
        <v>239</v>
      </c>
      <c r="P192" s="31">
        <f>IF(AND(K192=1,B192=""),ROW(),"")</f>
        <v>0</v>
      </c>
    </row>
    <row r="193" spans="1:16" ht="45" customHeight="1">
      <c r="A193" s="21" t="s">
        <v>450</v>
      </c>
      <c r="B193" s="17"/>
      <c r="C193" s="27">
        <f>IFERROR(INDEX(P_PoidsDom,8,MATCH($B$17,P_PoidsHdr,0)),"")</f>
        <v>0</v>
      </c>
      <c r="D193" s="14">
        <f>IF(N(C193)=0,"",SUMPRODUCT(B194:B196,C194:C196)+P_InfoInsuff*SUMPRODUCT((1-ISNUMBER(B194:B196))*C194:C196))</f>
        <v>0</v>
      </c>
      <c r="E193" s="44" t="s">
        <v>657</v>
      </c>
      <c r="F193" s="44"/>
      <c r="G193" s="44"/>
      <c r="H193" s="44"/>
      <c r="J193" s="31" t="s">
        <v>422</v>
      </c>
      <c r="K193" s="31">
        <f>IF(N(C193)&gt;0,1,0)</f>
        <v>0</v>
      </c>
      <c r="M193" s="31">
        <f>N(C193)*SUMPRODUCT(ISNUMBER(B194:B196)*C194:C196)</f>
        <v>0</v>
      </c>
    </row>
    <row r="194" spans="1:16">
      <c r="A194" s="17" t="s">
        <v>451</v>
      </c>
      <c r="B194" s="5">
        <v>100</v>
      </c>
      <c r="C194" s="27">
        <f>INDEX(P_SCPoids,MATCH(L194,P_SCCle,0))</f>
        <v>0</v>
      </c>
      <c r="J194" s="31" t="s">
        <v>424</v>
      </c>
      <c r="K194" s="31">
        <f>K193</f>
        <v>0</v>
      </c>
      <c r="L194" s="31" t="s">
        <v>241</v>
      </c>
      <c r="P194" s="31">
        <f>IF(AND(K194=1,B194=""),ROW(),"")</f>
        <v>0</v>
      </c>
    </row>
    <row r="195" spans="1:16">
      <c r="A195" s="17" t="s">
        <v>452</v>
      </c>
      <c r="B195" s="5">
        <v>100</v>
      </c>
      <c r="C195" s="27">
        <f>INDEX(P_SCPoids,MATCH(L195,P_SCCle,0))</f>
        <v>0</v>
      </c>
      <c r="J195" s="31" t="s">
        <v>424</v>
      </c>
      <c r="K195" s="31">
        <f>K193</f>
        <v>0</v>
      </c>
      <c r="L195" s="31" t="s">
        <v>243</v>
      </c>
      <c r="P195" s="31">
        <f>IF(AND(K195=1,B195=""),ROW(),"")</f>
        <v>0</v>
      </c>
    </row>
    <row r="196" spans="1:16">
      <c r="A196" s="17" t="s">
        <v>453</v>
      </c>
      <c r="B196" s="5">
        <v>100</v>
      </c>
      <c r="C196" s="27">
        <f>INDEX(P_SCPoids,MATCH(L196,P_SCCle,0))</f>
        <v>0</v>
      </c>
      <c r="J196" s="31" t="s">
        <v>424</v>
      </c>
      <c r="K196" s="31">
        <f>K193</f>
        <v>0</v>
      </c>
      <c r="L196" s="31" t="s">
        <v>245</v>
      </c>
      <c r="P196" s="31">
        <f>IF(AND(K196=1,B196=""),ROW(),"")</f>
        <v>0</v>
      </c>
    </row>
    <row r="197" spans="1:16" ht="45" customHeight="1">
      <c r="A197" s="21" t="s">
        <v>454</v>
      </c>
      <c r="B197" s="17"/>
      <c r="C197" s="27">
        <f>IFERROR(INDEX(P_PoidsDom,9,MATCH($B$17,P_PoidsHdr,0)),"")</f>
        <v>0</v>
      </c>
      <c r="D197" s="14">
        <f>IF(N(C197)=0,"",SUMPRODUCT(B198:B201,C198:C201)+P_InfoInsuff*SUMPRODUCT((1-ISNUMBER(B198:B201))*C198:C201))</f>
        <v>0</v>
      </c>
      <c r="E197" s="44" t="s">
        <v>658</v>
      </c>
      <c r="F197" s="44"/>
      <c r="G197" s="44"/>
      <c r="H197" s="44"/>
      <c r="J197" s="31" t="s">
        <v>422</v>
      </c>
      <c r="K197" s="31">
        <f>IF(N(C197)&gt;0,1,0)</f>
        <v>0</v>
      </c>
      <c r="M197" s="31">
        <f>N(C197)*SUMPRODUCT(ISNUMBER(B198:B201)*C198:C201)</f>
        <v>0</v>
      </c>
    </row>
    <row r="198" spans="1:16">
      <c r="A198" s="17" t="s">
        <v>455</v>
      </c>
      <c r="B198" s="5">
        <v>80</v>
      </c>
      <c r="C198" s="27">
        <f>INDEX(P_SCPoids,MATCH(L198,P_SCCle,0))</f>
        <v>0</v>
      </c>
      <c r="J198" s="31" t="s">
        <v>424</v>
      </c>
      <c r="K198" s="31">
        <f>K197</f>
        <v>0</v>
      </c>
      <c r="L198" s="31" t="s">
        <v>247</v>
      </c>
      <c r="P198" s="31">
        <f>IF(AND(K198=1,B198=""),ROW(),"")</f>
        <v>0</v>
      </c>
    </row>
    <row r="199" spans="1:16">
      <c r="A199" s="17" t="s">
        <v>456</v>
      </c>
      <c r="B199" s="5">
        <v>100</v>
      </c>
      <c r="C199" s="27">
        <f>INDEX(P_SCPoids,MATCH(L199,P_SCCle,0))</f>
        <v>0</v>
      </c>
      <c r="J199" s="31" t="s">
        <v>424</v>
      </c>
      <c r="K199" s="31">
        <f>K197</f>
        <v>0</v>
      </c>
      <c r="L199" s="31" t="s">
        <v>249</v>
      </c>
      <c r="P199" s="31">
        <f>IF(AND(K199=1,B199=""),ROW(),"")</f>
        <v>0</v>
      </c>
    </row>
    <row r="200" spans="1:16">
      <c r="A200" s="17" t="s">
        <v>457</v>
      </c>
      <c r="B200" s="5">
        <v>100</v>
      </c>
      <c r="C200" s="27">
        <f>INDEX(P_SCPoids,MATCH(L200,P_SCCle,0))</f>
        <v>0</v>
      </c>
      <c r="J200" s="31" t="s">
        <v>424</v>
      </c>
      <c r="K200" s="31">
        <f>K197</f>
        <v>0</v>
      </c>
      <c r="L200" s="31" t="s">
        <v>251</v>
      </c>
      <c r="P200" s="31">
        <f>IF(AND(K200=1,B200=""),ROW(),"")</f>
        <v>0</v>
      </c>
    </row>
    <row r="201" spans="1:16">
      <c r="A201" s="17" t="s">
        <v>458</v>
      </c>
      <c r="B201" s="5">
        <v>50</v>
      </c>
      <c r="C201" s="27">
        <f>INDEX(P_SCPoids,MATCH(L201,P_SCCle,0))</f>
        <v>0</v>
      </c>
      <c r="J201" s="31" t="s">
        <v>424</v>
      </c>
      <c r="K201" s="31">
        <f>K197</f>
        <v>0</v>
      </c>
      <c r="L201" s="31" t="s">
        <v>253</v>
      </c>
      <c r="P201" s="31">
        <f>IF(AND(K201=1,B201=""),ROW(),"")</f>
        <v>0</v>
      </c>
    </row>
    <row r="203" spans="1:16">
      <c r="A203" s="17" t="s">
        <v>459</v>
      </c>
      <c r="B203" s="27">
        <f>IF(SUMIF(J169:J201,"DOM",C169:C201)=0,"",SUM(M169:M201)/SUMIF(J169:J201,"DOM",C169:C201))</f>
        <v>0</v>
      </c>
    </row>
    <row r="204" spans="1:16">
      <c r="A204" s="17" t="s">
        <v>460</v>
      </c>
      <c r="B204" s="27">
        <f>IF(SUMIF(J169:J201,"SC",K169:K201)=0,"",(COUNT(B142:B147)+SUMPRODUCT((J169:J201="SC")*(K169:K201=1)*ISNUMBER(B169:B201)))/(6+SUMIF(J169:J201,"SC",K169:K201)))</f>
        <v>0</v>
      </c>
    </row>
    <row r="206" spans="1:16">
      <c r="A206" s="3" t="s">
        <v>461</v>
      </c>
      <c r="B206" s="3"/>
      <c r="C206" s="3"/>
      <c r="D206" s="3"/>
      <c r="E206" s="3"/>
      <c r="F206" s="3"/>
      <c r="G206" s="3"/>
      <c r="H206" s="3"/>
    </row>
    <row r="207" spans="1:16">
      <c r="A207" s="11" t="s">
        <v>55</v>
      </c>
      <c r="B207" s="11" t="s">
        <v>462</v>
      </c>
      <c r="C207" s="11" t="s">
        <v>463</v>
      </c>
      <c r="D207" s="11" t="s">
        <v>387</v>
      </c>
    </row>
    <row r="208" spans="1:16">
      <c r="A208" s="17" t="s">
        <v>420</v>
      </c>
      <c r="B208" s="20">
        <f>D169</f>
        <v>0</v>
      </c>
      <c r="C208" s="27">
        <f>IFERROR(INDEX(P_PoidsDom,1,MATCH($B$17,P_PoidsHdr,0)),"")</f>
        <v>0</v>
      </c>
      <c r="D208" s="20">
        <f>IF(ISNUMBER(B208),B208,0)*N(C208)</f>
        <v>0</v>
      </c>
    </row>
    <row r="209" spans="1:8">
      <c r="A209" s="17" t="s">
        <v>427</v>
      </c>
      <c r="B209" s="20">
        <f>D173</f>
        <v>0</v>
      </c>
      <c r="C209" s="27">
        <f>IFERROR(INDEX(P_PoidsDom,2,MATCH($B$17,P_PoidsHdr,0)),"")</f>
        <v>0</v>
      </c>
      <c r="D209" s="20">
        <f>IF(ISNUMBER(B209),B209,0)*N(C209)</f>
        <v>0</v>
      </c>
    </row>
    <row r="210" spans="1:8">
      <c r="A210" s="17" t="s">
        <v>431</v>
      </c>
      <c r="B210" s="20">
        <f>D177</f>
        <v>0</v>
      </c>
      <c r="C210" s="27">
        <f>IFERROR(INDEX(P_PoidsDom,3,MATCH($B$17,P_PoidsHdr,0)),"")</f>
        <v>0</v>
      </c>
      <c r="D210" s="20">
        <f>IF(ISNUMBER(B210),B210,0)*N(C210)</f>
        <v>0</v>
      </c>
    </row>
    <row r="211" spans="1:8">
      <c r="A211" s="17" t="s">
        <v>436</v>
      </c>
      <c r="B211" s="20">
        <f>D181</f>
        <v>0</v>
      </c>
      <c r="C211" s="27">
        <f>IFERROR(INDEX(P_PoidsDom,4,MATCH($B$17,P_PoidsHdr,0)),"")</f>
        <v>0</v>
      </c>
      <c r="D211" s="20">
        <f>IF(ISNUMBER(B211),B211,0)*N(C211)</f>
        <v>0</v>
      </c>
    </row>
    <row r="212" spans="1:8">
      <c r="A212" s="17" t="s">
        <v>441</v>
      </c>
      <c r="B212" s="20">
        <f>D185</f>
        <v>0</v>
      </c>
      <c r="C212" s="27">
        <f>IFERROR(INDEX(P_PoidsDom,5,MATCH($B$17,P_PoidsHdr,0)),"")</f>
        <v>0</v>
      </c>
      <c r="D212" s="20">
        <f>IF(ISNUMBER(B212),B212,0)*N(C212)</f>
        <v>0</v>
      </c>
    </row>
    <row r="213" spans="1:8">
      <c r="A213" s="17" t="s">
        <v>445</v>
      </c>
      <c r="B213" s="20">
        <f>D189</f>
        <v>0</v>
      </c>
      <c r="C213" s="27">
        <f>IFERROR(INDEX(P_PoidsDom,6,MATCH($B$17,P_PoidsHdr,0)),"")</f>
        <v>0</v>
      </c>
      <c r="D213" s="20">
        <f>IF(ISNUMBER(B213),B213,0)*N(C213)</f>
        <v>0</v>
      </c>
    </row>
    <row r="214" spans="1:8">
      <c r="A214" s="17" t="s">
        <v>464</v>
      </c>
      <c r="B214" s="20">
        <f>D148</f>
        <v>0</v>
      </c>
      <c r="C214" s="27">
        <f>IFERROR(INDEX(P_PoidsDom,7,MATCH($B$17,P_PoidsHdr,0)),"")</f>
        <v>0</v>
      </c>
      <c r="D214" s="20">
        <f>IF(ISNUMBER(B214),B214,0)*N(C214)</f>
        <v>0</v>
      </c>
    </row>
    <row r="215" spans="1:8">
      <c r="A215" s="17" t="s">
        <v>450</v>
      </c>
      <c r="B215" s="20">
        <f>D193</f>
        <v>0</v>
      </c>
      <c r="C215" s="27">
        <f>IFERROR(INDEX(P_PoidsDom,8,MATCH($B$17,P_PoidsHdr,0)),"")</f>
        <v>0</v>
      </c>
      <c r="D215" s="20">
        <f>IF(ISNUMBER(B215),B215,0)*N(C215)</f>
        <v>0</v>
      </c>
    </row>
    <row r="216" spans="1:8">
      <c r="A216" s="17" t="s">
        <v>454</v>
      </c>
      <c r="B216" s="20">
        <f>D197</f>
        <v>0</v>
      </c>
      <c r="C216" s="27">
        <f>IFERROR(INDEX(P_PoidsDom,9,MATCH($B$17,P_PoidsHdr,0)),"")</f>
        <v>0</v>
      </c>
      <c r="D216" s="20">
        <f>IF(ISNUMBER(B216),B216,0)*N(C216)</f>
        <v>0</v>
      </c>
    </row>
    <row r="217" spans="1:8">
      <c r="A217" s="21" t="s">
        <v>465</v>
      </c>
      <c r="B217" s="14">
        <f>IF(N(C208)+N(C216)=0,"",SUM(D208:D216))</f>
        <v>0</v>
      </c>
    </row>
    <row r="218" spans="1:8">
      <c r="A218" s="21" t="s">
        <v>466</v>
      </c>
      <c r="B218" s="14">
        <f>IF(B217="","",INDEX(P_ConvNote,MATCH(B217,P_ConvSeuil,1)))</f>
        <v>0</v>
      </c>
      <c r="C218" s="7">
        <f>IF(B217="","",INDEX(P_ConvLib,MATCH(B217,P_ConvSeuil,1)))</f>
        <v>0</v>
      </c>
    </row>
    <row r="220" spans="1:8">
      <c r="A220" s="3" t="s">
        <v>467</v>
      </c>
      <c r="B220" s="3"/>
      <c r="C220" s="3"/>
      <c r="D220" s="3"/>
      <c r="E220" s="3"/>
      <c r="F220" s="3"/>
      <c r="G220" s="3"/>
      <c r="H220" s="3"/>
    </row>
    <row r="221" spans="1:8">
      <c r="A221" s="11" t="s">
        <v>18</v>
      </c>
      <c r="B221" s="11" t="s">
        <v>130</v>
      </c>
      <c r="C221" s="11"/>
      <c r="D221" s="11"/>
      <c r="E221" s="11" t="s">
        <v>468</v>
      </c>
      <c r="F221" s="11" t="s">
        <v>469</v>
      </c>
      <c r="G221" s="11" t="s">
        <v>470</v>
      </c>
      <c r="H221" s="11" t="s">
        <v>471</v>
      </c>
    </row>
    <row r="222" spans="1:8">
      <c r="A222" s="21" t="s">
        <v>472</v>
      </c>
      <c r="B222" s="13" t="s">
        <v>473</v>
      </c>
      <c r="C222" s="13"/>
      <c r="D222" s="13"/>
      <c r="E222" s="5" t="s">
        <v>258</v>
      </c>
      <c r="F222" s="7">
        <f>IF(OR(E222="Oui",H222="Oui"),"Oui","Non")</f>
        <v>0</v>
      </c>
      <c r="G222" s="17" t="s">
        <v>474</v>
      </c>
      <c r="H222" s="7"/>
    </row>
    <row r="223" spans="1:8">
      <c r="A223" s="21" t="s">
        <v>475</v>
      </c>
      <c r="B223" s="13" t="s">
        <v>476</v>
      </c>
      <c r="C223" s="13"/>
      <c r="D223" s="13"/>
      <c r="E223" s="5" t="s">
        <v>258</v>
      </c>
      <c r="F223" s="7">
        <f>IF(OR(E223="Oui",H223="Oui"),"Oui","Non")</f>
        <v>0</v>
      </c>
      <c r="G223" s="17" t="s">
        <v>474</v>
      </c>
      <c r="H223" s="7"/>
    </row>
    <row r="224" spans="1:8">
      <c r="A224" s="21" t="s">
        <v>477</v>
      </c>
      <c r="B224" s="13" t="s">
        <v>478</v>
      </c>
      <c r="C224" s="13"/>
      <c r="D224" s="13"/>
      <c r="E224" s="5" t="s">
        <v>258</v>
      </c>
      <c r="F224" s="7">
        <f>IF(OR(E224="Oui",H224="Oui"),"Oui","Non")</f>
        <v>0</v>
      </c>
      <c r="G224" s="17" t="s">
        <v>474</v>
      </c>
      <c r="H224" s="7"/>
    </row>
    <row r="225" spans="1:8">
      <c r="A225" s="21" t="s">
        <v>479</v>
      </c>
      <c r="B225" s="13" t="s">
        <v>480</v>
      </c>
      <c r="C225" s="13"/>
      <c r="D225" s="13"/>
      <c r="E225" s="5" t="s">
        <v>258</v>
      </c>
      <c r="F225" s="7">
        <f>IF(OR(E225="Oui",H225="Oui"),"Oui","Non")</f>
        <v>0</v>
      </c>
      <c r="G225" s="17" t="s">
        <v>474</v>
      </c>
      <c r="H225" s="7"/>
    </row>
    <row r="226" spans="1:8">
      <c r="A226" s="21" t="s">
        <v>481</v>
      </c>
      <c r="B226" s="13" t="s">
        <v>482</v>
      </c>
      <c r="C226" s="13"/>
      <c r="D226" s="13"/>
      <c r="E226" s="5" t="s">
        <v>258</v>
      </c>
      <c r="F226" s="7">
        <f>IF(OR(E226="Oui",H226="Oui"),"Oui","Non")</f>
        <v>0</v>
      </c>
      <c r="G226" s="17" t="s">
        <v>483</v>
      </c>
      <c r="H226" s="7"/>
    </row>
    <row r="227" spans="1:8">
      <c r="A227" s="21" t="s">
        <v>484</v>
      </c>
      <c r="B227" s="13" t="s">
        <v>485</v>
      </c>
      <c r="C227" s="13"/>
      <c r="D227" s="13"/>
      <c r="E227" s="5" t="s">
        <v>258</v>
      </c>
      <c r="F227" s="7">
        <f>IF(OR(E227="Oui",H227="Oui"),"Oui","Non")</f>
        <v>0</v>
      </c>
      <c r="G227" s="17" t="s">
        <v>483</v>
      </c>
      <c r="H227" s="7"/>
    </row>
    <row r="228" spans="1:8">
      <c r="A228" s="21" t="s">
        <v>486</v>
      </c>
      <c r="B228" s="13" t="s">
        <v>487</v>
      </c>
      <c r="C228" s="13"/>
      <c r="D228" s="13"/>
      <c r="E228" s="5" t="s">
        <v>258</v>
      </c>
      <c r="F228" s="7">
        <f>IF(OR(E228="Oui",H228="Oui"),"Oui","Non")</f>
        <v>0</v>
      </c>
      <c r="G228" s="17" t="s">
        <v>488</v>
      </c>
      <c r="H228" s="7">
        <f>IF(AND($B$17="P1",ISNUMBER($B$48),$B$48&lt;P_N3_V),"Oui","")</f>
        <v>0</v>
      </c>
    </row>
    <row r="229" spans="1:8">
      <c r="A229" s="21" t="s">
        <v>489</v>
      </c>
      <c r="B229" s="13" t="s">
        <v>490</v>
      </c>
      <c r="C229" s="13"/>
      <c r="D229" s="13"/>
      <c r="E229" s="5" t="s">
        <v>258</v>
      </c>
      <c r="F229" s="7">
        <f>IF(OR(E229="Oui",H229="Oui"),"Oui","Non")</f>
        <v>0</v>
      </c>
      <c r="G229" s="17" t="s">
        <v>483</v>
      </c>
      <c r="H229" s="7"/>
    </row>
    <row r="230" spans="1:8">
      <c r="A230" s="21" t="s">
        <v>491</v>
      </c>
      <c r="B230" s="13" t="s">
        <v>492</v>
      </c>
      <c r="C230" s="13"/>
      <c r="D230" s="13"/>
      <c r="E230" s="5" t="s">
        <v>258</v>
      </c>
      <c r="F230" s="7">
        <f>IF(OR(E230="Oui",H230="Oui"),"Oui","Non")</f>
        <v>0</v>
      </c>
      <c r="G230" s="17" t="s">
        <v>488</v>
      </c>
      <c r="H230" s="7"/>
    </row>
    <row r="231" spans="1:8">
      <c r="A231" s="21" t="s">
        <v>493</v>
      </c>
      <c r="B231" s="13" t="s">
        <v>494</v>
      </c>
      <c r="C231" s="13"/>
      <c r="D231" s="13"/>
      <c r="E231" s="5" t="s">
        <v>257</v>
      </c>
      <c r="F231" s="7">
        <f>IF(H231="Oui","Oui","Non")</f>
        <v>0</v>
      </c>
      <c r="G231" s="17" t="s">
        <v>495</v>
      </c>
      <c r="H231" s="7">
        <f>IF(E231="Non","Oui","")</f>
        <v>0</v>
      </c>
    </row>
    <row r="232" spans="1:8">
      <c r="A232" s="21" t="s">
        <v>496</v>
      </c>
      <c r="B232" s="13" t="s">
        <v>497</v>
      </c>
      <c r="C232" s="13"/>
      <c r="D232" s="13"/>
      <c r="E232" s="5" t="s">
        <v>258</v>
      </c>
      <c r="F232" s="7">
        <f>IF(OR(E232="Oui",H232="Oui"),"Oui","Non")</f>
        <v>0</v>
      </c>
      <c r="G232" s="17" t="s">
        <v>495</v>
      </c>
      <c r="H232" s="7">
        <f>IF(AND(ISNUMBER($B$204),$B$204&lt;1),"Oui","")</f>
        <v>0</v>
      </c>
    </row>
    <row r="233" spans="1:8">
      <c r="A233" s="21" t="s">
        <v>498</v>
      </c>
      <c r="B233" s="13" t="s">
        <v>499</v>
      </c>
      <c r="C233" s="13"/>
      <c r="D233" s="13"/>
      <c r="E233" s="5" t="s">
        <v>258</v>
      </c>
      <c r="F233" s="7">
        <f>IF(OR(E233="Oui",H233="Oui"),"Oui","Non")</f>
        <v>0</v>
      </c>
      <c r="G233" s="17" t="s">
        <v>483</v>
      </c>
      <c r="H233" s="7"/>
    </row>
    <row r="235" spans="1:8">
      <c r="A235" s="3" t="s">
        <v>500</v>
      </c>
      <c r="B235" s="3"/>
      <c r="C235" s="3"/>
      <c r="D235" s="3"/>
      <c r="E235" s="3"/>
      <c r="F235" s="3"/>
      <c r="G235" s="3"/>
      <c r="H235" s="3"/>
    </row>
    <row r="236" spans="1:8">
      <c r="A236" s="11" t="s">
        <v>18</v>
      </c>
      <c r="B236" s="11" t="s">
        <v>130</v>
      </c>
      <c r="C236" s="11" t="s">
        <v>501</v>
      </c>
      <c r="D236" s="11" t="s">
        <v>502</v>
      </c>
      <c r="E236" s="11" t="s">
        <v>469</v>
      </c>
      <c r="F236" s="11" t="s">
        <v>131</v>
      </c>
      <c r="G236" s="11" t="s">
        <v>503</v>
      </c>
    </row>
    <row r="237" spans="1:8" ht="27" customHeight="1">
      <c r="A237" s="21" t="s">
        <v>132</v>
      </c>
      <c r="B237" s="13" t="s">
        <v>133</v>
      </c>
      <c r="C237" s="19">
        <f>$D$133</f>
        <v>0</v>
      </c>
      <c r="D237" s="19">
        <f>P_C1</f>
        <v>0</v>
      </c>
      <c r="E237" s="7">
        <f>IF($D$133="","n.r.",IF($D$133&lt;P_C1,"Oui","Non"))</f>
        <v>0</v>
      </c>
      <c r="F237" s="15">
        <f>INDEX(P_PlafNiv,1)</f>
        <v>0</v>
      </c>
      <c r="G237" s="15">
        <f>IF(E237="Oui",F237,10)</f>
        <v>0</v>
      </c>
    </row>
    <row r="238" spans="1:8" ht="27" customHeight="1">
      <c r="A238" s="21" t="s">
        <v>134</v>
      </c>
      <c r="B238" s="13" t="s">
        <v>135</v>
      </c>
      <c r="C238" s="19">
        <f>$D$133</f>
        <v>0</v>
      </c>
      <c r="D238" s="18">
        <f>$B$67</f>
        <v>0</v>
      </c>
      <c r="E238" s="7">
        <f>IF(OR($D$133="",$B$67=""),"n.r.",IF($D$133&lt;$B$67,"Oui","Non"))</f>
        <v>0</v>
      </c>
      <c r="F238" s="15">
        <f>INDEX(P_PlafNiv,2)</f>
        <v>0</v>
      </c>
      <c r="G238" s="15">
        <f>IF(E238="Oui",F238,10)</f>
        <v>0</v>
      </c>
    </row>
    <row r="239" spans="1:8" ht="27" customHeight="1">
      <c r="A239" s="21" t="s">
        <v>136</v>
      </c>
      <c r="B239" s="13" t="s">
        <v>137</v>
      </c>
      <c r="C239" s="19">
        <f>$D$134</f>
        <v>0</v>
      </c>
      <c r="D239" s="19">
        <f>P_C3</f>
        <v>0</v>
      </c>
      <c r="E239" s="7">
        <f>IF($D$134="","n.r.",IF($D$134&lt;P_C3,"Oui","Non"))</f>
        <v>0</v>
      </c>
      <c r="F239" s="15">
        <f>INDEX(P_PlafNiv,3)</f>
        <v>0</v>
      </c>
      <c r="G239" s="15">
        <f>IF(E239="Oui",F239,10)</f>
        <v>0</v>
      </c>
    </row>
    <row r="240" spans="1:8" ht="27" customHeight="1">
      <c r="A240" s="21" t="s">
        <v>138</v>
      </c>
      <c r="B240" s="13" t="s">
        <v>139</v>
      </c>
      <c r="C240" s="18">
        <f>$B$151</f>
        <v>0</v>
      </c>
      <c r="D240" s="18">
        <f>P_C4</f>
        <v>0</v>
      </c>
      <c r="E240" s="7">
        <f>IF($B$151="","n.r.",IF($B$151&lt;P_C4,"Oui","Non"))</f>
        <v>0</v>
      </c>
      <c r="F240" s="15">
        <f>INDEX(P_PlafNiv,4)</f>
        <v>0</v>
      </c>
      <c r="G240" s="15">
        <f>IF(E240="Oui",F240,10)</f>
        <v>0</v>
      </c>
    </row>
    <row r="241" spans="1:8" ht="27" customHeight="1">
      <c r="A241" s="21" t="s">
        <v>140</v>
      </c>
      <c r="B241" s="13" t="s">
        <v>141</v>
      </c>
      <c r="C241" s="13">
        <f>IF($B$158="","",$B$158&amp;" ans / dette "&amp;$B$159&amp;" ans")</f>
        <v>0</v>
      </c>
      <c r="D241" s="13">
        <f>"contrat &lt; dette"</f>
        <v>0</v>
      </c>
      <c r="E241" s="7">
        <f>IF($B$15="R4","n.a.",IF(OR($B$158="",$B$159=""),"n.r.",IF(AND($B$158&lt;$B$159,$B$160&lt;&gt;"Oui"),"Oui","Non")))</f>
        <v>0</v>
      </c>
      <c r="F241" s="15">
        <f>INDEX(P_PlafNiv,5)</f>
        <v>0</v>
      </c>
      <c r="G241" s="15">
        <f>IF(E241="Oui",F241,10)</f>
        <v>0</v>
      </c>
    </row>
    <row r="242" spans="1:8" ht="27" customHeight="1">
      <c r="A242" s="21" t="s">
        <v>142</v>
      </c>
      <c r="B242" s="13" t="s">
        <v>143</v>
      </c>
      <c r="C242" s="27">
        <f>$B$153</f>
        <v>0</v>
      </c>
      <c r="D242" s="27">
        <f>P_C6</f>
        <v>0</v>
      </c>
      <c r="E242" s="7">
        <f>IF($B$153="","n.r.",IF($B$153&gt;P_C6,"Oui","Non"))</f>
        <v>0</v>
      </c>
      <c r="F242" s="15">
        <f>INDEX(P_PlafNiv,6)</f>
        <v>0</v>
      </c>
      <c r="G242" s="15">
        <f>IF(E242="Oui",F242,10)</f>
        <v>0</v>
      </c>
    </row>
    <row r="243" spans="1:8" ht="27" customHeight="1">
      <c r="A243" s="21" t="s">
        <v>144</v>
      </c>
      <c r="B243" s="13" t="s">
        <v>145</v>
      </c>
      <c r="C243" s="20">
        <f>$B$152</f>
        <v>0</v>
      </c>
      <c r="D243" s="20">
        <f>P_C7</f>
        <v>0</v>
      </c>
      <c r="E243" s="7">
        <f>IF($B$152="","n.r.",IF($B$152&lt;P_C7,"Oui","Non"))</f>
        <v>0</v>
      </c>
      <c r="F243" s="15">
        <f>INDEX(P_PlafNiv,7)</f>
        <v>0</v>
      </c>
      <c r="G243" s="15">
        <f>IF(E243="Oui",F243,10)</f>
        <v>0</v>
      </c>
    </row>
    <row r="244" spans="1:8" ht="27" customHeight="1">
      <c r="A244" s="21" t="s">
        <v>146</v>
      </c>
      <c r="B244" s="13" t="s">
        <v>147</v>
      </c>
      <c r="C244" s="27">
        <f>$B$154</f>
        <v>0</v>
      </c>
      <c r="D244" s="27">
        <f>P_C8</f>
        <v>0</v>
      </c>
      <c r="E244" s="7">
        <f>IF($B$154="","n.r.",IF(AND($B$154&gt;P_C8,$B$155&lt;&gt;"Oui"),"Oui","Non"))</f>
        <v>0</v>
      </c>
      <c r="F244" s="15">
        <f>INDEX(P_PlafNiv,8)</f>
        <v>0</v>
      </c>
      <c r="G244" s="15">
        <f>IF(E244="Oui",F244,10)</f>
        <v>0</v>
      </c>
    </row>
    <row r="245" spans="1:8" ht="27" customHeight="1">
      <c r="A245" s="21" t="s">
        <v>148</v>
      </c>
      <c r="B245" s="13" t="s">
        <v>149</v>
      </c>
      <c r="C245" s="27">
        <f>$B$49</f>
        <v>0</v>
      </c>
      <c r="D245" s="27">
        <f>P_C9</f>
        <v>0</v>
      </c>
      <c r="E245" s="7">
        <f>IF($B$49="","n.r.",IF($B$49&gt;P_C9,"Oui","Non"))</f>
        <v>0</v>
      </c>
      <c r="F245" s="15">
        <f>INDEX(P_PlafNiv,9)</f>
        <v>0</v>
      </c>
      <c r="G245" s="15">
        <f>IF(E245="Oui",F245,10)</f>
        <v>0</v>
      </c>
    </row>
    <row r="246" spans="1:8" ht="27" customHeight="1">
      <c r="A246" s="21" t="s">
        <v>150</v>
      </c>
      <c r="B246" s="13" t="s">
        <v>151</v>
      </c>
      <c r="C246" s="13">
        <f>IF($B$156="","",FIXED($B$156*100,0)&amp;" % — "&amp;$B$157)</f>
        <v>0</v>
      </c>
      <c r="D246" s="13">
        <f>P_C10</f>
        <v>0</v>
      </c>
      <c r="E246" s="7">
        <f>IF(OR($B$156="",$B$157=""),"n.r.",IF(AND($B$156&gt;P_C10,$B$157&lt;&gt;INDEX(L_QualAch,1)),"Oui","Non"))</f>
        <v>0</v>
      </c>
      <c r="F246" s="15">
        <f>INDEX(P_PlafNiv,10)</f>
        <v>0</v>
      </c>
      <c r="G246" s="15">
        <f>IF(E246="Oui",F246,10)</f>
        <v>0</v>
      </c>
    </row>
    <row r="247" spans="1:8" ht="27" customHeight="1">
      <c r="A247" s="21" t="s">
        <v>152</v>
      </c>
      <c r="B247" s="13" t="s">
        <v>153</v>
      </c>
      <c r="C247" s="13">
        <f>$B$32</f>
        <v>0</v>
      </c>
      <c r="D247" s="13">
        <f>"élevé sans plan"</f>
        <v>0</v>
      </c>
      <c r="E247" s="7">
        <f>IF($B$32="","n.r.",IF(AND($B$32="Oui",$B$161&lt;&gt;"Oui"),"Oui","Non"))</f>
        <v>0</v>
      </c>
      <c r="F247" s="15">
        <f>INDEX(P_PlafNiv,11)</f>
        <v>0</v>
      </c>
      <c r="G247" s="15">
        <f>IF(E247="Oui",F247,10)</f>
        <v>0</v>
      </c>
    </row>
    <row r="248" spans="1:8" ht="27" customHeight="1">
      <c r="A248" s="21" t="s">
        <v>154</v>
      </c>
      <c r="B248" s="13" t="s">
        <v>155</v>
      </c>
      <c r="C248" s="13">
        <f>$B$162</f>
        <v>0</v>
      </c>
      <c r="D248" s="13">
        <f>"insuffisante"</f>
        <v>0</v>
      </c>
      <c r="E248" s="7">
        <f>IF($B$162="","n.r.",IF($B$162="Non","Oui","Non"))</f>
        <v>0</v>
      </c>
      <c r="F248" s="15">
        <f>INDEX(P_PlafNiv,12)</f>
        <v>0</v>
      </c>
      <c r="G248" s="15">
        <f>IF(E248="Oui",F248,10)</f>
        <v>0</v>
      </c>
    </row>
    <row r="249" spans="1:8" ht="27" customHeight="1">
      <c r="A249" s="21" t="s">
        <v>156</v>
      </c>
      <c r="B249" s="13" t="s">
        <v>157</v>
      </c>
      <c r="C249" s="13">
        <f>IF($B$163="","",$B$163&amp;IF($B$164="",""," — écart "&amp;$B$164&amp;" ans"))</f>
        <v>0</v>
      </c>
      <c r="D249" s="13">
        <f>P_C13</f>
        <v>0</v>
      </c>
      <c r="E249" s="7">
        <f>IF($B$163="","n.r.",IF(AND($B$163="Non",N($B$164)&gt;P_C13),"Oui","Non"))</f>
        <v>0</v>
      </c>
      <c r="F249" s="15">
        <f>INDEX(P_PlafNiv,13)</f>
        <v>0</v>
      </c>
      <c r="G249" s="15">
        <f>IF(E249="Oui",F249,10)</f>
        <v>0</v>
      </c>
    </row>
    <row r="250" spans="1:8" ht="27" customHeight="1">
      <c r="A250" s="21" t="s">
        <v>158</v>
      </c>
      <c r="B250" s="13" t="s">
        <v>159</v>
      </c>
      <c r="C250" s="13">
        <f>$B$165</f>
        <v>0</v>
      </c>
      <c r="D250" s="13">
        <f>"au-delà limite"</f>
        <v>0</v>
      </c>
      <c r="E250" s="7">
        <f>IF($B$165="","n.r.",IF($B$165="Oui","Oui","Non"))</f>
        <v>0</v>
      </c>
      <c r="F250" s="15">
        <f>INDEX(P_PlafNiv,14)</f>
        <v>0</v>
      </c>
      <c r="G250" s="15">
        <f>IF(E250="Oui",F250,10)</f>
        <v>0</v>
      </c>
    </row>
    <row r="251" spans="1:8" ht="27" customHeight="1">
      <c r="A251" s="21" t="s">
        <v>160</v>
      </c>
      <c r="B251" s="13" t="s">
        <v>161</v>
      </c>
      <c r="C251" s="27">
        <f>$B$203</f>
        <v>0</v>
      </c>
      <c r="D251" s="27">
        <f>P_COUV</f>
        <v>0</v>
      </c>
      <c r="E251" s="7">
        <f>IF(OR($B$203="",$B$204=""),"n.r.",IF(OR($B$203&lt;P_COUV,$B$204&lt;1),"Oui","Non"))</f>
        <v>0</v>
      </c>
      <c r="F251" s="15">
        <f>INDEX(P_PlafNiv,15)</f>
        <v>0</v>
      </c>
      <c r="G251" s="15">
        <f>IF(E251="Oui",F251,10)</f>
        <v>0</v>
      </c>
    </row>
    <row r="252" spans="1:8">
      <c r="A252" s="21" t="s">
        <v>504</v>
      </c>
      <c r="B252" s="14">
        <f>MIN(G237:G251)</f>
        <v>0</v>
      </c>
    </row>
    <row r="254" spans="1:8">
      <c r="A254" s="3" t="s">
        <v>505</v>
      </c>
      <c r="B254" s="3"/>
      <c r="C254" s="3"/>
      <c r="D254" s="3"/>
      <c r="E254" s="3"/>
      <c r="F254" s="3"/>
      <c r="G254" s="3"/>
      <c r="H254" s="3"/>
    </row>
    <row r="255" spans="1:8" ht="30" customHeight="1">
      <c r="A255" s="21" t="s">
        <v>506</v>
      </c>
      <c r="B255" s="25">
        <f>IF(COUNTIF(F222:F225,"Oui")&gt;0,"—",IF(B218="","",MIN(B218,B252)))</f>
        <v>0</v>
      </c>
    </row>
    <row r="256" spans="1:8">
      <c r="A256" s="21" t="s">
        <v>286</v>
      </c>
      <c r="B256" s="34">
        <f>IF(B218="","Dossier incomplet",IF(COUNTIF(F222:F225,"Oui")&gt;0,"Hors périmètre — aucune note produite",IF(COUNTIF(F226:F233,"Oui")&gt;0,"Note provisoire — stade bloqué : "&amp;TRIM(IF(F226="Oui","B1 (Octroi)  ","")&amp;IF(F227="Oui","B2 (Octroi)  ","")&amp;IF(F228="Oui","B3 (Décaissement)  ","")&amp;IF(F229="Oui","B4 (Octroi)  ","")&amp;IF(F230="Oui","B5 (Décaissement)  ","")&amp;IF(F231="Oui","B6 (Notation validée)  ","")&amp;IF(F232="Oui","B7 (Notation validée)  ","")&amp;IF(F233="Oui","B8 (Octroi)  ","")),IF(E251="Oui","Note provisoire — évaluation partielle (C15)","Note validable, à soumettre au comité"))))</f>
        <v>0</v>
      </c>
      <c r="C256" s="34"/>
      <c r="D256" s="34"/>
      <c r="E256" s="34"/>
      <c r="F256" s="34"/>
      <c r="G256" s="34"/>
      <c r="H256" s="34"/>
    </row>
    <row r="258" spans="1:8">
      <c r="A258" s="3" t="s">
        <v>507</v>
      </c>
      <c r="B258" s="3"/>
      <c r="C258" s="3"/>
      <c r="D258" s="3"/>
      <c r="E258" s="3"/>
      <c r="F258" s="3"/>
      <c r="G258" s="3"/>
      <c r="H258" s="3"/>
    </row>
    <row r="259" spans="1:8" ht="60" customHeight="1">
      <c r="A259" s="33" t="s">
        <v>659</v>
      </c>
      <c r="B259" s="33"/>
      <c r="C259" s="33"/>
      <c r="D259" s="33"/>
      <c r="E259" s="33"/>
      <c r="F259" s="33"/>
      <c r="G259" s="33"/>
      <c r="H259" s="33"/>
    </row>
  </sheetData>
  <sheetProtection sheet="1" objects="1" scenarios="1" formatColumns="0" formatRows="0"/>
  <mergeCells count="72">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A21:H21"/>
    <mergeCell ref="C22:H22"/>
    <mergeCell ref="C34:H34"/>
    <mergeCell ref="C35:H35"/>
    <mergeCell ref="A37:H37"/>
    <mergeCell ref="A52:H52"/>
    <mergeCell ref="B53:H53"/>
    <mergeCell ref="B54:H54"/>
    <mergeCell ref="B55:H55"/>
    <mergeCell ref="B56:H56"/>
    <mergeCell ref="B57:H57"/>
    <mergeCell ref="B58:H58"/>
    <mergeCell ref="B59:H59"/>
    <mergeCell ref="B60:H60"/>
    <mergeCell ref="A62:H62"/>
    <mergeCell ref="A69:H69"/>
    <mergeCell ref="C70:H70"/>
    <mergeCell ref="A140:H140"/>
    <mergeCell ref="E141:H141"/>
    <mergeCell ref="E142:H142"/>
    <mergeCell ref="E143:H143"/>
    <mergeCell ref="E144:H144"/>
    <mergeCell ref="E145:H145"/>
    <mergeCell ref="E146:H146"/>
    <mergeCell ref="E147:H147"/>
    <mergeCell ref="A149:H149"/>
    <mergeCell ref="A167:H167"/>
    <mergeCell ref="E168:H168"/>
    <mergeCell ref="E169:H169"/>
    <mergeCell ref="E173:H173"/>
    <mergeCell ref="E177:H177"/>
    <mergeCell ref="E181:H181"/>
    <mergeCell ref="E185:H185"/>
    <mergeCell ref="E189:H189"/>
    <mergeCell ref="E193:H193"/>
    <mergeCell ref="E197:H197"/>
    <mergeCell ref="A206:H206"/>
    <mergeCell ref="A220:H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A235:H235"/>
    <mergeCell ref="A254:H254"/>
    <mergeCell ref="B256:H256"/>
    <mergeCell ref="A258:H258"/>
    <mergeCell ref="A259:H259"/>
  </mergeCells>
  <conditionalFormatting sqref="A170:D170">
    <cfRule type="expression" dxfId="4" priority="20">
      <formula>$K$170=0</formula>
    </cfRule>
  </conditionalFormatting>
  <conditionalFormatting sqref="A171:D171">
    <cfRule type="expression" dxfId="4" priority="22">
      <formula>$K$171=0</formula>
    </cfRule>
  </conditionalFormatting>
  <conditionalFormatting sqref="A172:D172">
    <cfRule type="expression" dxfId="4" priority="24">
      <formula>$K$172=0</formula>
    </cfRule>
  </conditionalFormatting>
  <conditionalFormatting sqref="A174:D174">
    <cfRule type="expression" dxfId="4" priority="26">
      <formula>$K$174=0</formula>
    </cfRule>
  </conditionalFormatting>
  <conditionalFormatting sqref="A175:D175">
    <cfRule type="expression" dxfId="4" priority="28">
      <formula>$K$175=0</formula>
    </cfRule>
  </conditionalFormatting>
  <conditionalFormatting sqref="A176:D176">
    <cfRule type="expression" dxfId="4" priority="30">
      <formula>$K$176=0</formula>
    </cfRule>
  </conditionalFormatting>
  <conditionalFormatting sqref="A178:D178">
    <cfRule type="expression" dxfId="4" priority="32">
      <formula>$K$178=0</formula>
    </cfRule>
  </conditionalFormatting>
  <conditionalFormatting sqref="A179:D179">
    <cfRule type="expression" dxfId="4" priority="34">
      <formula>$K$179=0</formula>
    </cfRule>
  </conditionalFormatting>
  <conditionalFormatting sqref="A180:D180">
    <cfRule type="expression" dxfId="4" priority="36">
      <formula>$K$180=0</formula>
    </cfRule>
  </conditionalFormatting>
  <conditionalFormatting sqref="A182:D182">
    <cfRule type="expression" dxfId="4" priority="38">
      <formula>$K$182=0</formula>
    </cfRule>
  </conditionalFormatting>
  <conditionalFormatting sqref="A183:D183">
    <cfRule type="expression" dxfId="4" priority="40">
      <formula>$K$183=0</formula>
    </cfRule>
  </conditionalFormatting>
  <conditionalFormatting sqref="A184:D184">
    <cfRule type="expression" dxfId="4" priority="42">
      <formula>$K$184=0</formula>
    </cfRule>
  </conditionalFormatting>
  <conditionalFormatting sqref="A186:D186">
    <cfRule type="expression" dxfId="4" priority="44">
      <formula>$K$186=0</formula>
    </cfRule>
  </conditionalFormatting>
  <conditionalFormatting sqref="A187:D187">
    <cfRule type="expression" dxfId="4" priority="46">
      <formula>$K$187=0</formula>
    </cfRule>
  </conditionalFormatting>
  <conditionalFormatting sqref="A188:D188">
    <cfRule type="expression" dxfId="4" priority="48">
      <formula>$K$188=0</formula>
    </cfRule>
  </conditionalFormatting>
  <conditionalFormatting sqref="A190:D190">
    <cfRule type="expression" dxfId="4" priority="50">
      <formula>$K$190=0</formula>
    </cfRule>
  </conditionalFormatting>
  <conditionalFormatting sqref="A191:D191">
    <cfRule type="expression" dxfId="4" priority="52">
      <formula>$K$191=0</formula>
    </cfRule>
  </conditionalFormatting>
  <conditionalFormatting sqref="A192:D192">
    <cfRule type="expression" dxfId="4" priority="54">
      <formula>$K$192=0</formula>
    </cfRule>
  </conditionalFormatting>
  <conditionalFormatting sqref="A194:D194">
    <cfRule type="expression" dxfId="4" priority="56">
      <formula>$K$194=0</formula>
    </cfRule>
  </conditionalFormatting>
  <conditionalFormatting sqref="A195:D195">
    <cfRule type="expression" dxfId="4" priority="58">
      <formula>$K$195=0</formula>
    </cfRule>
  </conditionalFormatting>
  <conditionalFormatting sqref="A196:D196">
    <cfRule type="expression" dxfId="4" priority="60">
      <formula>$K$196=0</formula>
    </cfRule>
  </conditionalFormatting>
  <conditionalFormatting sqref="A198:D198">
    <cfRule type="expression" dxfId="4" priority="62">
      <formula>$K$198=0</formula>
    </cfRule>
  </conditionalFormatting>
  <conditionalFormatting sqref="A199:D199">
    <cfRule type="expression" dxfId="4" priority="64">
      <formula>$K$199=0</formula>
    </cfRule>
  </conditionalFormatting>
  <conditionalFormatting sqref="A200:D200">
    <cfRule type="expression" dxfId="4" priority="66">
      <formula>$K$200=0</formula>
    </cfRule>
  </conditionalFormatting>
  <conditionalFormatting sqref="A201:D201">
    <cfRule type="expression" dxfId="4" priority="68">
      <formula>$K$201=0</formula>
    </cfRule>
  </conditionalFormatting>
  <conditionalFormatting sqref="B145">
    <cfRule type="expression" dxfId="2" priority="143">
      <formula>NOT($B$145&lt;&gt;"")</formula>
    </cfRule>
  </conditionalFormatting>
  <conditionalFormatting sqref="B146">
    <cfRule type="expression" dxfId="2" priority="144">
      <formula>NOT($B$146&lt;&gt;"")</formula>
    </cfRule>
  </conditionalFormatting>
  <conditionalFormatting sqref="B147">
    <cfRule type="expression" dxfId="2" priority="145">
      <formula>NOT($B$147&lt;&gt;"")</formula>
    </cfRule>
  </conditionalFormatting>
  <conditionalFormatting sqref="B15">
    <cfRule type="expression" dxfId="2" priority="124">
      <formula>NOT($B$15&lt;&gt;"")</formula>
    </cfRule>
  </conditionalFormatting>
  <conditionalFormatting sqref="B150">
    <cfRule type="expression" dxfId="2" priority="146">
      <formula>NOT(OR($B$17="P1",$B$150&lt;&gt;""))</formula>
    </cfRule>
  </conditionalFormatting>
  <conditionalFormatting sqref="B151">
    <cfRule type="expression" dxfId="2" priority="147">
      <formula>NOT(ISNUMBER($B$151))</formula>
    </cfRule>
  </conditionalFormatting>
  <conditionalFormatting sqref="B152">
    <cfRule type="expression" dxfId="2" priority="148">
      <formula>NOT(ISNUMBER($B$152))</formula>
    </cfRule>
  </conditionalFormatting>
  <conditionalFormatting sqref="B153">
    <cfRule type="expression" dxfId="2" priority="149">
      <formula>NOT(ISNUMBER($B$153))</formula>
    </cfRule>
  </conditionalFormatting>
  <conditionalFormatting sqref="B154">
    <cfRule type="expression" dxfId="2" priority="150">
      <formula>NOT(ISNUMBER($B$154))</formula>
    </cfRule>
  </conditionalFormatting>
  <conditionalFormatting sqref="B155">
    <cfRule type="expression" dxfId="2" priority="151">
      <formula>NOT(OR(N($B$154)&lt;=P_C8,$B$155&lt;&gt;""))</formula>
    </cfRule>
  </conditionalFormatting>
  <conditionalFormatting sqref="B156">
    <cfRule type="expression" dxfId="2" priority="152">
      <formula>NOT(ISNUMBER($B$156))</formula>
    </cfRule>
  </conditionalFormatting>
  <conditionalFormatting sqref="B157">
    <cfRule type="expression" dxfId="2" priority="153">
      <formula>NOT($B$157&lt;&gt;"")</formula>
    </cfRule>
  </conditionalFormatting>
  <conditionalFormatting sqref="B158">
    <cfRule type="expression" dxfId="2" priority="154">
      <formula>NOT(OR($B$15="R4",ISNUMBER($B$158)))</formula>
    </cfRule>
  </conditionalFormatting>
  <conditionalFormatting sqref="B159">
    <cfRule type="expression" dxfId="2" priority="155">
      <formula>NOT(ISNUMBER($B$159))</formula>
    </cfRule>
  </conditionalFormatting>
  <conditionalFormatting sqref="B16">
    <cfRule type="expression" dxfId="2" priority="125">
      <formula>NOT($B$16&lt;&gt;"")</formula>
    </cfRule>
  </conditionalFormatting>
  <conditionalFormatting sqref="B160">
    <cfRule type="expression" dxfId="2" priority="156">
      <formula>NOT(OR(NOT(AND(ISNUMBER($B$158),ISNUMBER($B$159))),N($B$158)&gt;=N($B$159),$B$160&lt;&gt;""))</formula>
    </cfRule>
  </conditionalFormatting>
  <conditionalFormatting sqref="B161">
    <cfRule type="expression" dxfId="2" priority="157">
      <formula>NOT(OR($B$32&lt;&gt;"Oui",$B$161&lt;&gt;""))</formula>
    </cfRule>
  </conditionalFormatting>
  <conditionalFormatting sqref="B162">
    <cfRule type="expression" dxfId="2" priority="158">
      <formula>NOT($B$162&lt;&gt;"")</formula>
    </cfRule>
  </conditionalFormatting>
  <conditionalFormatting sqref="B163">
    <cfRule type="expression" dxfId="2" priority="159">
      <formula>NOT($B$163&lt;&gt;"")</formula>
    </cfRule>
  </conditionalFormatting>
  <conditionalFormatting sqref="B164">
    <cfRule type="expression" dxfId="2" priority="160">
      <formula>NOT(OR($B$163&lt;&gt;"Non",ISNUMBER($B$164)))</formula>
    </cfRule>
  </conditionalFormatting>
  <conditionalFormatting sqref="B165">
    <cfRule type="expression" dxfId="2" priority="161">
      <formula>NOT($B$165&lt;&gt;"")</formula>
    </cfRule>
  </conditionalFormatting>
  <conditionalFormatting sqref="B17">
    <cfRule type="expression" dxfId="2" priority="126">
      <formula>NOT($B$17&lt;&gt;"")</formula>
    </cfRule>
  </conditionalFormatting>
  <conditionalFormatting sqref="B170">
    <cfRule type="expression" dxfId="2" priority="21">
      <formula>AND($K$170=1,$B$170="")</formula>
    </cfRule>
  </conditionalFormatting>
  <conditionalFormatting sqref="B171">
    <cfRule type="expression" dxfId="2" priority="23">
      <formula>AND($K$171=1,$B$171="")</formula>
    </cfRule>
  </conditionalFormatting>
  <conditionalFormatting sqref="B172">
    <cfRule type="expression" dxfId="2" priority="25">
      <formula>AND($K$172=1,$B$172="")</formula>
    </cfRule>
  </conditionalFormatting>
  <conditionalFormatting sqref="B174">
    <cfRule type="expression" dxfId="2" priority="27">
      <formula>AND($K$174=1,$B$174="")</formula>
    </cfRule>
  </conditionalFormatting>
  <conditionalFormatting sqref="B175">
    <cfRule type="expression" dxfId="2" priority="29">
      <formula>AND($K$175=1,$B$175="")</formula>
    </cfRule>
  </conditionalFormatting>
  <conditionalFormatting sqref="B176">
    <cfRule type="expression" dxfId="2" priority="31">
      <formula>AND($K$176=1,$B$176="")</formula>
    </cfRule>
  </conditionalFormatting>
  <conditionalFormatting sqref="B178">
    <cfRule type="expression" dxfId="2" priority="33">
      <formula>AND($K$178=1,$B$178="")</formula>
    </cfRule>
  </conditionalFormatting>
  <conditionalFormatting sqref="B179">
    <cfRule type="expression" dxfId="2" priority="35">
      <formula>AND($K$179=1,$B$179="")</formula>
    </cfRule>
  </conditionalFormatting>
  <conditionalFormatting sqref="B18">
    <cfRule type="expression" dxfId="2" priority="127">
      <formula>NOT($B$18&lt;&gt;"")</formula>
    </cfRule>
  </conditionalFormatting>
  <conditionalFormatting sqref="B180">
    <cfRule type="expression" dxfId="2" priority="37">
      <formula>AND($K$180=1,$B$180="")</formula>
    </cfRule>
  </conditionalFormatting>
  <conditionalFormatting sqref="B182">
    <cfRule type="expression" dxfId="2" priority="39">
      <formula>AND($K$182=1,$B$182="")</formula>
    </cfRule>
  </conditionalFormatting>
  <conditionalFormatting sqref="B183">
    <cfRule type="expression" dxfId="2" priority="41">
      <formula>AND($K$183=1,$B$183="")</formula>
    </cfRule>
  </conditionalFormatting>
  <conditionalFormatting sqref="B184">
    <cfRule type="expression" dxfId="2" priority="43">
      <formula>AND($K$184=1,$B$184="")</formula>
    </cfRule>
  </conditionalFormatting>
  <conditionalFormatting sqref="B186">
    <cfRule type="expression" dxfId="2" priority="45">
      <formula>AND($K$186=1,$B$186="")</formula>
    </cfRule>
  </conditionalFormatting>
  <conditionalFormatting sqref="B187">
    <cfRule type="expression" dxfId="2" priority="47">
      <formula>AND($K$187=1,$B$187="")</formula>
    </cfRule>
  </conditionalFormatting>
  <conditionalFormatting sqref="B188">
    <cfRule type="expression" dxfId="2" priority="49">
      <formula>AND($K$188=1,$B$188="")</formula>
    </cfRule>
  </conditionalFormatting>
  <conditionalFormatting sqref="B190">
    <cfRule type="expression" dxfId="2" priority="51">
      <formula>AND($K$190=1,$B$190="")</formula>
    </cfRule>
  </conditionalFormatting>
  <conditionalFormatting sqref="B191">
    <cfRule type="expression" dxfId="2" priority="53">
      <formula>AND($K$191=1,$B$191="")</formula>
    </cfRule>
  </conditionalFormatting>
  <conditionalFormatting sqref="B192">
    <cfRule type="expression" dxfId="2" priority="55">
      <formula>AND($K$192=1,$B$192="")</formula>
    </cfRule>
  </conditionalFormatting>
  <conditionalFormatting sqref="B194">
    <cfRule type="expression" dxfId="2" priority="57">
      <formula>AND($K$194=1,$B$194="")</formula>
    </cfRule>
  </conditionalFormatting>
  <conditionalFormatting sqref="B195">
    <cfRule type="expression" dxfId="2" priority="59">
      <formula>AND($K$195=1,$B$195="")</formula>
    </cfRule>
  </conditionalFormatting>
  <conditionalFormatting sqref="B196">
    <cfRule type="expression" dxfId="2" priority="61">
      <formula>AND($K$196=1,$B$196="")</formula>
    </cfRule>
  </conditionalFormatting>
  <conditionalFormatting sqref="B198">
    <cfRule type="expression" dxfId="2" priority="63">
      <formula>AND($K$198=1,$B$198="")</formula>
    </cfRule>
  </conditionalFormatting>
  <conditionalFormatting sqref="B199">
    <cfRule type="expression" dxfId="2" priority="65">
      <formula>AND($K$199=1,$B$199="")</formula>
    </cfRule>
  </conditionalFormatting>
  <conditionalFormatting sqref="B200">
    <cfRule type="expression" dxfId="2" priority="67">
      <formula>AND($K$200=1,$B$200="")</formula>
    </cfRule>
  </conditionalFormatting>
  <conditionalFormatting sqref="B201">
    <cfRule type="expression" dxfId="2" priority="69">
      <formula>AND($K$201=1,$B$201="")</formula>
    </cfRule>
  </conditionalFormatting>
  <conditionalFormatting sqref="B23">
    <cfRule type="expression" dxfId="2" priority="128">
      <formula>NOT(ISNUMBER($B$23))</formula>
    </cfRule>
  </conditionalFormatting>
  <conditionalFormatting sqref="B24">
    <cfRule type="expression" dxfId="2" priority="129">
      <formula>NOT($B$24&lt;&gt;"")</formula>
    </cfRule>
  </conditionalFormatting>
  <conditionalFormatting sqref="B25">
    <cfRule type="expression" dxfId="2" priority="130">
      <formula>NOT(ISNUMBER($B$25))</formula>
    </cfRule>
  </conditionalFormatting>
  <conditionalFormatting sqref="B26">
    <cfRule type="expression" dxfId="2" priority="131">
      <formula>NOT($B$26&lt;&gt;"")</formula>
    </cfRule>
  </conditionalFormatting>
  <conditionalFormatting sqref="B27">
    <cfRule type="expression" dxfId="2" priority="132">
      <formula>NOT(OR(NOT($B$17="P1"),$B$27&lt;&gt;""))</formula>
    </cfRule>
  </conditionalFormatting>
  <conditionalFormatting sqref="B28">
    <cfRule type="expression" dxfId="2" priority="133">
      <formula>NOT($B$28&lt;&gt;"")</formula>
    </cfRule>
  </conditionalFormatting>
  <conditionalFormatting sqref="B29">
    <cfRule type="expression" dxfId="2" priority="134">
      <formula>NOT($B$29&lt;&gt;"")</formula>
    </cfRule>
  </conditionalFormatting>
  <conditionalFormatting sqref="B30">
    <cfRule type="expression" dxfId="2" priority="135">
      <formula>NOT($B$30&lt;&gt;"")</formula>
    </cfRule>
  </conditionalFormatting>
  <conditionalFormatting sqref="B31">
    <cfRule type="expression" dxfId="2" priority="136">
      <formula>NOT($B$31&lt;&gt;"")</formula>
    </cfRule>
  </conditionalFormatting>
  <conditionalFormatting sqref="B32">
    <cfRule type="expression" dxfId="2" priority="137">
      <formula>NOT($B$32&lt;&gt;"")</formula>
    </cfRule>
  </conditionalFormatting>
  <conditionalFormatting sqref="B33">
    <cfRule type="expression" dxfId="2" priority="138">
      <formula>NOT(ISNUMBER($B$33))</formula>
    </cfRule>
  </conditionalFormatting>
  <conditionalFormatting sqref="B39">
    <cfRule type="expression" dxfId="2" priority="139">
      <formula>NOT(N($B$47)&gt;0)</formula>
    </cfRule>
  </conditionalFormatting>
  <conditionalFormatting sqref="B4">
    <cfRule type="expression" dxfId="1" priority="1">
      <formula>AND(ISNUMBER($B$4),$B$4=0)</formula>
    </cfRule>
    <cfRule type="expression" dxfId="2" priority="2">
      <formula>AND(ISNUMBER($B$4),$B$4&gt;0)</formula>
    </cfRule>
  </conditionalFormatting>
  <conditionalFormatting sqref="B50">
    <cfRule type="expression" dxfId="2" priority="141">
      <formula>NOT(OR(NOT(AND($B$17="P1",ISNUMBER($B$48),N($B$48)&gt;=P_N3_V,N($B$48)&lt;P_N3_F)),$B$50&lt;&gt;""))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70">
    <cfRule type="expression" dxfId="2" priority="142">
      <formula>NOT(ISNUMBER($B$70))</formula>
    </cfRule>
  </conditionalFormatting>
  <conditionalFormatting sqref="B72:C73">
    <cfRule type="expression" dxfId="2" priority="12">
      <formula>AND(COUNT($B$72:$B$131)&lt;2,B72="")</formula>
    </cfRule>
  </conditionalFormatting>
  <conditionalFormatting sqref="C72:C131">
    <cfRule type="expression" dxfId="2" priority="11">
      <formula>AND(ISNUMBER($B72),NOT(ISNUMBER($C72)))</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33">
    <cfRule type="cellIs" dxfId="0" priority="16" operator="equal">
      <formula>"Critique"</formula>
    </cfRule>
    <cfRule type="cellIs" dxfId="3" priority="17" operator="equal">
      <formula>"Vigilance"</formula>
    </cfRule>
  </conditionalFormatting>
  <conditionalFormatting sqref="E134">
    <cfRule type="cellIs" dxfId="0" priority="18" operator="equal">
      <formula>"Critique"</formula>
    </cfRule>
    <cfRule type="cellIs" dxfId="3" priority="19" operator="equal">
      <formula>"Vigilance"</formula>
    </cfRule>
  </conditionalFormatting>
  <conditionalFormatting sqref="E222">
    <cfRule type="expression" dxfId="2" priority="70">
      <formula>$E$222=""</formula>
    </cfRule>
  </conditionalFormatting>
  <conditionalFormatting sqref="E223">
    <cfRule type="expression" dxfId="2" priority="72">
      <formula>$E$223=""</formula>
    </cfRule>
  </conditionalFormatting>
  <conditionalFormatting sqref="E224">
    <cfRule type="expression" dxfId="2" priority="74">
      <formula>$E$224=""</formula>
    </cfRule>
  </conditionalFormatting>
  <conditionalFormatting sqref="E225">
    <cfRule type="expression" dxfId="2" priority="76">
      <formula>$E$225=""</formula>
    </cfRule>
  </conditionalFormatting>
  <conditionalFormatting sqref="E226">
    <cfRule type="expression" dxfId="2" priority="78">
      <formula>$E$226=""</formula>
    </cfRule>
  </conditionalFormatting>
  <conditionalFormatting sqref="E227">
    <cfRule type="expression" dxfId="2" priority="80">
      <formula>$E$227=""</formula>
    </cfRule>
  </conditionalFormatting>
  <conditionalFormatting sqref="E228">
    <cfRule type="expression" dxfId="2" priority="82">
      <formula>$E$228=""</formula>
    </cfRule>
  </conditionalFormatting>
  <conditionalFormatting sqref="E229">
    <cfRule type="expression" dxfId="2" priority="84">
      <formula>$E$229=""</formula>
    </cfRule>
  </conditionalFormatting>
  <conditionalFormatting sqref="E230">
    <cfRule type="expression" dxfId="2" priority="86">
      <formula>$E$230=""</formula>
    </cfRule>
  </conditionalFormatting>
  <conditionalFormatting sqref="E231">
    <cfRule type="expression" dxfId="2" priority="88">
      <formula>$E$231=""</formula>
    </cfRule>
  </conditionalFormatting>
  <conditionalFormatting sqref="E232">
    <cfRule type="expression" dxfId="2" priority="90">
      <formula>$E$232=""</formula>
    </cfRule>
  </conditionalFormatting>
  <conditionalFormatting sqref="E233">
    <cfRule type="expression" dxfId="2" priority="92">
      <formula>$E$233=""</formula>
    </cfRule>
  </conditionalFormatting>
  <conditionalFormatting sqref="E237">
    <cfRule type="cellIs" dxfId="0" priority="94" operator="equal">
      <formula>"Oui"</formula>
    </cfRule>
    <cfRule type="cellIs" dxfId="3" priority="95" operator="equal">
      <formula>"n.r."</formula>
    </cfRule>
  </conditionalFormatting>
  <conditionalFormatting sqref="E238">
    <cfRule type="cellIs" dxfId="0" priority="96" operator="equal">
      <formula>"Oui"</formula>
    </cfRule>
    <cfRule type="cellIs" dxfId="3" priority="97" operator="equal">
      <formula>"n.r."</formula>
    </cfRule>
  </conditionalFormatting>
  <conditionalFormatting sqref="E239">
    <cfRule type="cellIs" dxfId="0" priority="98" operator="equal">
      <formula>"Oui"</formula>
    </cfRule>
    <cfRule type="cellIs" dxfId="3" priority="99" operator="equal">
      <formula>"n.r."</formula>
    </cfRule>
  </conditionalFormatting>
  <conditionalFormatting sqref="E240">
    <cfRule type="cellIs" dxfId="0" priority="100" operator="equal">
      <formula>"Oui"</formula>
    </cfRule>
    <cfRule type="cellIs" dxfId="3" priority="101" operator="equal">
      <formula>"n.r."</formula>
    </cfRule>
  </conditionalFormatting>
  <conditionalFormatting sqref="E241">
    <cfRule type="cellIs" dxfId="0" priority="102" operator="equal">
      <formula>"Oui"</formula>
    </cfRule>
    <cfRule type="cellIs" dxfId="3" priority="103" operator="equal">
      <formula>"n.r."</formula>
    </cfRule>
  </conditionalFormatting>
  <conditionalFormatting sqref="E242">
    <cfRule type="cellIs" dxfId="0" priority="104" operator="equal">
      <formula>"Oui"</formula>
    </cfRule>
    <cfRule type="cellIs" dxfId="3" priority="105" operator="equal">
      <formula>"n.r."</formula>
    </cfRule>
  </conditionalFormatting>
  <conditionalFormatting sqref="E243">
    <cfRule type="cellIs" dxfId="0" priority="106" operator="equal">
      <formula>"Oui"</formula>
    </cfRule>
    <cfRule type="cellIs" dxfId="3" priority="107" operator="equal">
      <formula>"n.r."</formula>
    </cfRule>
  </conditionalFormatting>
  <conditionalFormatting sqref="E244">
    <cfRule type="cellIs" dxfId="0" priority="108" operator="equal">
      <formula>"Oui"</formula>
    </cfRule>
    <cfRule type="cellIs" dxfId="3" priority="109" operator="equal">
      <formula>"n.r."</formula>
    </cfRule>
  </conditionalFormatting>
  <conditionalFormatting sqref="E245">
    <cfRule type="cellIs" dxfId="0" priority="110" operator="equal">
      <formula>"Oui"</formula>
    </cfRule>
    <cfRule type="cellIs" dxfId="3" priority="111" operator="equal">
      <formula>"n.r."</formula>
    </cfRule>
  </conditionalFormatting>
  <conditionalFormatting sqref="E246">
    <cfRule type="cellIs" dxfId="0" priority="112" operator="equal">
      <formula>"Oui"</formula>
    </cfRule>
    <cfRule type="cellIs" dxfId="3" priority="113" operator="equal">
      <formula>"n.r."</formula>
    </cfRule>
  </conditionalFormatting>
  <conditionalFormatting sqref="E247">
    <cfRule type="cellIs" dxfId="0" priority="114" operator="equal">
      <formula>"Oui"</formula>
    </cfRule>
    <cfRule type="cellIs" dxfId="3" priority="115" operator="equal">
      <formula>"n.r."</formula>
    </cfRule>
  </conditionalFormatting>
  <conditionalFormatting sqref="E248">
    <cfRule type="cellIs" dxfId="0" priority="116" operator="equal">
      <formula>"Oui"</formula>
    </cfRule>
    <cfRule type="cellIs" dxfId="3" priority="117" operator="equal">
      <formula>"n.r."</formula>
    </cfRule>
  </conditionalFormatting>
  <conditionalFormatting sqref="E249">
    <cfRule type="cellIs" dxfId="0" priority="118" operator="equal">
      <formula>"Oui"</formula>
    </cfRule>
    <cfRule type="cellIs" dxfId="3" priority="119" operator="equal">
      <formula>"n.r."</formula>
    </cfRule>
  </conditionalFormatting>
  <conditionalFormatting sqref="E250">
    <cfRule type="cellIs" dxfId="0" priority="120" operator="equal">
      <formula>"Oui"</formula>
    </cfRule>
    <cfRule type="cellIs" dxfId="3" priority="121" operator="equal">
      <formula>"n.r."</formula>
    </cfRule>
  </conditionalFormatting>
  <conditionalFormatting sqref="E251">
    <cfRule type="cellIs" dxfId="0" priority="122" operator="equal">
      <formula>"Oui"</formula>
    </cfRule>
    <cfRule type="cellIs" dxfId="3" priority="123" operator="equal">
      <formula>"n.r."</formula>
    </cfRule>
  </conditionalFormatting>
  <conditionalFormatting sqref="E39">
    <cfRule type="expression" dxfId="2" priority="140">
      <formula>NOT(N($E$47)&gt;0)</formula>
    </cfRule>
  </conditionalFormatting>
  <conditionalFormatting sqref="E72:E131">
    <cfRule type="cellIs" dxfId="0" priority="13" operator="equal">
      <formula>"Critique"</formula>
    </cfRule>
    <cfRule type="cellIs" dxfId="3" priority="14" operator="equal">
      <formula>"Vigilance"</formula>
    </cfRule>
    <cfRule type="cellIs" dxfId="1" priority="15" operator="equal">
      <formula>"Très favorable"</formula>
    </cfRule>
  </conditionalFormatting>
  <conditionalFormatting sqref="F222">
    <cfRule type="cellIs" dxfId="0" priority="71" operator="equal">
      <formula>"Oui"</formula>
    </cfRule>
  </conditionalFormatting>
  <conditionalFormatting sqref="F223">
    <cfRule type="cellIs" dxfId="0" priority="73" operator="equal">
      <formula>"Oui"</formula>
    </cfRule>
  </conditionalFormatting>
  <conditionalFormatting sqref="F224">
    <cfRule type="cellIs" dxfId="0" priority="75" operator="equal">
      <formula>"Oui"</formula>
    </cfRule>
  </conditionalFormatting>
  <conditionalFormatting sqref="F225">
    <cfRule type="cellIs" dxfId="0" priority="77" operator="equal">
      <formula>"Oui"</formula>
    </cfRule>
  </conditionalFormatting>
  <conditionalFormatting sqref="F226">
    <cfRule type="cellIs" dxfId="0" priority="79" operator="equal">
      <formula>"Oui"</formula>
    </cfRule>
  </conditionalFormatting>
  <conditionalFormatting sqref="F227">
    <cfRule type="cellIs" dxfId="0" priority="81" operator="equal">
      <formula>"Oui"</formula>
    </cfRule>
  </conditionalFormatting>
  <conditionalFormatting sqref="F228">
    <cfRule type="cellIs" dxfId="0" priority="83" operator="equal">
      <formula>"Oui"</formula>
    </cfRule>
  </conditionalFormatting>
  <conditionalFormatting sqref="F229">
    <cfRule type="cellIs" dxfId="0" priority="85" operator="equal">
      <formula>"Oui"</formula>
    </cfRule>
  </conditionalFormatting>
  <conditionalFormatting sqref="F230">
    <cfRule type="cellIs" dxfId="0" priority="87" operator="equal">
      <formula>"Oui"</formula>
    </cfRule>
  </conditionalFormatting>
  <conditionalFormatting sqref="F231">
    <cfRule type="cellIs" dxfId="0" priority="89" operator="equal">
      <formula>"Oui"</formula>
    </cfRule>
  </conditionalFormatting>
  <conditionalFormatting sqref="F232">
    <cfRule type="cellIs" dxfId="0" priority="91" operator="equal">
      <formula>"Oui"</formula>
    </cfRule>
  </conditionalFormatting>
  <conditionalFormatting sqref="F233">
    <cfRule type="cellIs" dxfId="0" priority="93" operator="equal">
      <formula>"Oui"</formula>
    </cfRule>
  </conditionalFormatting>
  <conditionalFormatting sqref="F39:F46">
    <cfRule type="expression" dxfId="2" priority="10">
      <formula>AND(ISNUMBER($E39),$F39="")</formula>
    </cfRule>
  </conditionalFormatting>
  <dataValidations count="100">
    <dataValidation allowBlank="1" showInputMessage="1" showErrorMessage="1" promptTitle="Intitulé du dossier" prompt="Référence et nom du projet, ex. « PF-2026-014 · Centrale solaire de Ouarzazate »."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5">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sectoriel Δ au seuil DSCR du régime (onglet Paramètres)." sqref="B16">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17">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18">
      <formula1>L_Periodicite</formula1>
    </dataValidation>
    <dataValidation allowBlank="1" showInputMessage="1" showErrorMessage="1" promptTitle="Famille de financement" prompt="PF-FLUX : société de projet remboursée par les flux du projet. La vente d'actifs (R5) est hors outil." sqref="B19"/>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3">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4">
      <formula1>L_OuiNon</formula1>
    </dataValidation>
    <dataValidation type="decimal" allowBlank="1" showInputMessage="1" showErrorMessage="1" errorTitle="Valeur non admise" error="Saisissez une durée en années (0 à 99)." promptTitle="Durée du financement" prompt="Durée totale de la dette, en années. Ex. : 15." sqref="B25">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6">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27">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28">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29">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0">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1">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2">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3">
      <formula1>0</formula1>
      <formula2>99</formula2>
    </dataValidation>
    <dataValidation allowBlank="1" showInputMessage="1" showErrorMessage="1" promptTitle="Emploi" prompt="Poste du besoin à terminaison : CAPEX, intérêts intercalaires, DSRA initiale, aléas…" sqref="A39:A46"/>
    <dataValidation type="decimal" operator="greaterThanOrEqual" allowBlank="1" showInputMessage="1" showErrorMessage="1" errorTitle="Valeur non admise" error="Saisissez un nombre positif ou nul." promptTitle="Montant de l'emploi" prompt="Montant en millions de dirhams (MMAD)." sqref="B39:B46">
      <formula1>0</formula1>
    </dataValidation>
    <dataValidation allowBlank="1" showInputMessage="1" showErrorMessage="1" promptTitle="Ressource" prompt="Ressource engagée : dette senior, capital, quasi-fonds propres, subvention…" sqref="D39:D46"/>
    <dataValidation type="decimal" operator="greaterThanOrEqual" allowBlank="1" showInputMessage="1" showErrorMessage="1" errorTitle="Valeur non admise" error="Saisissez un nombre positif ou nul." promptTitle="Montant de la ressource" prompt="Montant engagé, en millions de dirhams (MMAD)." sqref="E39:E46">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39:F46">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0">
      <formula1>L_OuiNon</formula1>
    </dataValidation>
    <dataValidation allowBlank="1" showInputMessage="1" showErrorMessage="1" promptTitle="Hypothèse d'exploitation" prompt="Information libre, non utilisée par le calcul." sqref="A53:B60"/>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70">
      <formula1>0</formula1>
      <formula2>0.95</formula2>
    </dataValidation>
    <dataValidation allowBlank="1" showInputMessage="1" showErrorMessage="1" promptTitle="Description du stress" prompt="Décrivez le scénario défavorable, ex. « production P90 et tarif −10 % »." sqref="C70"/>
    <dataValidation allowBlank="1" showInputMessage="1" showErrorMessage="1" promptTitle="Période" prompt="Libellé de l'échéance, ex. « An 1 · S1 ». Le bouton « Préparer l'échéancier » les génère." sqref="A72:A131"/>
    <dataValidation type="decimal" allowBlank="1" showInputMessage="1" showErrorMessage="1" errorTitle="Valeur non admise" error="Saisissez un nombre." promptTitle="CFADS central" prompt="Flux disponible pour le service de la dette sur la période, en MMAD. Un CFADS négatif est noté Critique d'office." sqref="B72:B131">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72:C131">
      <formula1>0</formula1>
    </dataValidation>
    <dataValidation type="decimal" allowBlank="1" showInputMessage="1" showErrorMessage="1" errorTitle="Valeur non admise" error="Saisissez un nombre." promptTitle="CFADS stressé (facultatif)" prompt="Laisser vide pour appliquer le choc de la ligne 70. Sinon, CFADS du scénario défavorable issu du modèle de flux." sqref="F72:F131">
      <formula1>-1000000000.0</formula1>
      <formula2>1000000000.0</formula2>
    </dataValidation>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5">
      <formula1>L_Notes</formula1>
    </dataValidation>
    <dataValidation allowBlank="1" showInputMessage="1" showErrorMessage="1" promptTitle="Justification" prompt="Mesure et pièce justificative, ex. « DSRA 6 mois, cascade de paiement signée »." sqref="E145"/>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6">
      <formula1>L_Notes</formula1>
    </dataValidation>
    <dataValidation allowBlank="1" showInputMessage="1" showErrorMessage="1" promptTitle="Justification" prompt="Mesure et pièce justificative, ex. « DSRA 6 mois, cascade de paiement signée »." sqref="E146"/>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7">
      <formula1>L_Notes</formula1>
    </dataValidation>
    <dataValidation allowBlank="1" showInputMessage="1" showErrorMessage="1" promptTitle="Justification" prompt="Mesure et pièce justificative, ex. « DSRA 6 mois, cascade de paiement signée »." sqref="E147"/>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50">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51">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52">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53">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54">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55">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56">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57">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58">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59">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60">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61">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62">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63">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64">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65">
      <formula1>L_OuiNon</formula1>
    </dataValidation>
    <dataValidation allowBlank="1" showInputMessage="1" showErrorMessage="1" promptTitle="Commentaire du domaine" prompt="Constats et pièces qui justifient les notes du domaine." sqref="E16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2">
      <formula1>L_Notes</formula1>
    </dataValidation>
    <dataValidation allowBlank="1" showInputMessage="1" showErrorMessage="1" promptTitle="Commentaire du domaine" prompt="Constats et pièces qui justifient les notes du domaine." sqref="E17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6">
      <formula1>L_Notes</formula1>
    </dataValidation>
    <dataValidation allowBlank="1" showInputMessage="1" showErrorMessage="1" promptTitle="Commentaire du domaine" prompt="Constats et pièces qui justifient les notes du domaine." sqref="E17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0">
      <formula1>L_Notes</formula1>
    </dataValidation>
    <dataValidation allowBlank="1" showInputMessage="1" showErrorMessage="1" promptTitle="Commentaire du domaine" prompt="Constats et pièces qui justifient les notes du domaine." sqref="E181"/>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2">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3">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4">
      <formula1>L_Notes</formula1>
    </dataValidation>
    <dataValidation allowBlank="1" showInputMessage="1" showErrorMessage="1" promptTitle="Commentaire du domaine" prompt="Constats et pièces qui justifient les notes du domaine." sqref="E185"/>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6">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7">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8">
      <formula1>L_Notes</formula1>
    </dataValidation>
    <dataValidation allowBlank="1" showInputMessage="1" showErrorMessage="1" promptTitle="Commentaire du domaine" prompt="Constats et pièces qui justifient les notes du domaine." sqref="E18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2">
      <formula1>L_Notes</formula1>
    </dataValidation>
    <dataValidation allowBlank="1" showInputMessage="1" showErrorMessage="1" promptTitle="Commentaire du domaine" prompt="Constats et pièces qui justifient les notes du domaine." sqref="E19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6">
      <formula1>L_Notes</formula1>
    </dataValidation>
    <dataValidation allowBlank="1" showInputMessage="1" showErrorMessage="1" promptTitle="Commentaire du domaine" prompt="Constats et pièces qui justifient les notes du domaine." sqref="E19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1">
      <formula1>L_Notes</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0">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31">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3">
      <formula1>L_OuiNon</formula1>
    </dataValidation>
    <dataValidation allowBlank="1" showInputMessage="1" showErrorMessage="1" promptTitle="Conclusion" prompt="Ce que le dossier enseigne, ou la recommandation de l'analyste au comité." sqref="A259"/>
  </dataValidations>
  <pageMargins left="0.7" right="0.7" top="0.75" bottom="0.75" header="0.3" footer="0.3"/>
  <pageSetup paperSize="9" fitToHeight="0" orientation="landscape"/>
  <legacyDrawing r:id="rId1"/>
</worksheet>
</file>

<file path=xl/worksheets/sheet7.xml><?xml version="1.0" encoding="utf-8"?>
<worksheet xmlns="http://schemas.openxmlformats.org/spreadsheetml/2006/main" xmlns:r="http://schemas.openxmlformats.org/officeDocument/2006/relationships">
  <sheetPr>
    <pageSetUpPr fitToPage="1"/>
  </sheetPr>
  <dimension ref="A1:R259"/>
  <sheetViews>
    <sheetView showGridLines="0" workbookViewId="0">
      <pane ySplit="12" topLeftCell="A13" activePane="bottomLeft" state="frozen"/>
      <selection pane="bottomLeft"/>
    </sheetView>
  </sheetViews>
  <sheetFormatPr defaultRowHeight="15"/>
  <cols>
    <col min="1" max="1" width="46.7109375" customWidth="1"/>
    <col min="2" max="7" width="14.7109375" customWidth="1"/>
    <col min="8" max="8" width="18.7109375" customWidth="1"/>
    <col min="9" max="9" width="3.7109375" customWidth="1"/>
    <col min="10" max="13" width="10.7109375" hidden="1" customWidth="1"/>
    <col min="14" max="14" width="24.7109375" customWidth="1"/>
    <col min="15" max="15" width="3.7109375" customWidth="1"/>
    <col min="16" max="18" width="10.7109375" hidden="1" customWidth="1"/>
  </cols>
  <sheetData>
    <row r="1" spans="1:18">
      <c r="A1" s="30" t="s">
        <v>660</v>
      </c>
      <c r="J1" s="31" t="s">
        <v>278</v>
      </c>
    </row>
    <row r="2" spans="1:18">
      <c r="A2" s="32" t="s">
        <v>661</v>
      </c>
    </row>
    <row r="3" spans="1:18" ht="42" customHeight="1">
      <c r="A3" s="33" t="s">
        <v>662</v>
      </c>
      <c r="B3" s="33"/>
      <c r="C3" s="33"/>
      <c r="D3" s="33"/>
      <c r="E3" s="33"/>
      <c r="F3" s="33"/>
      <c r="G3" s="33"/>
      <c r="H3" s="33"/>
    </row>
    <row r="4" spans="1:18" ht="22" customHeight="1">
      <c r="A4" s="22" t="s">
        <v>282</v>
      </c>
      <c r="B4" s="14">
        <f>COUNTIF($R$14:$R$56,0)</f>
        <v>0</v>
      </c>
      <c r="C4" s="34">
        <f>IF(B4=0,"Saisie complète : lisez la note ci-dessous, puis « Fiche comité ».","Prochaine saisie : "&amp;INDEX($P$14:$P$56,MATCH(0,$R$14:$R$56,0)))</f>
        <v>0</v>
      </c>
      <c r="D4" s="34"/>
      <c r="E4" s="34"/>
      <c r="F4" s="34"/>
      <c r="G4" s="12">
        <f>IF(B4=0,"",HYPERLINK("#"&amp;INDEX($Q$14:$Q$56,MATCH(0,$R$14:$R$56,0)),"→ Aller à la cellule "&amp;INDEX($Q$14:$Q$56,MATCH(0,$R$14:$R$56,0))))</f>
        <v>0</v>
      </c>
      <c r="H4" s="12"/>
    </row>
    <row r="5" spans="1:18">
      <c r="A5" s="3" t="s">
        <v>284</v>
      </c>
      <c r="B5" s="3"/>
      <c r="C5" s="3"/>
      <c r="D5" s="3"/>
      <c r="E5" s="3"/>
      <c r="F5" s="3"/>
      <c r="G5" s="3"/>
      <c r="H5" s="3"/>
    </row>
    <row r="6" spans="1:18" ht="34" customHeight="1">
      <c r="A6" s="22" t="s">
        <v>285</v>
      </c>
      <c r="B6" s="25">
        <f>B255</f>
        <v>0</v>
      </c>
      <c r="C6" s="22" t="s">
        <v>4</v>
      </c>
      <c r="D6" s="34">
        <f>IFERROR(INDEX(P_ConvLib,MATCH(B255,P_ConvNote,0)),"")</f>
        <v>0</v>
      </c>
      <c r="E6" s="22" t="s">
        <v>286</v>
      </c>
      <c r="F6" s="34">
        <f>B256</f>
        <v>0</v>
      </c>
      <c r="G6" s="34"/>
      <c r="H6" s="34"/>
    </row>
    <row r="7" spans="1:18">
      <c r="A7" s="22" t="s">
        <v>287</v>
      </c>
      <c r="B7" s="14">
        <f>B217</f>
        <v>0</v>
      </c>
      <c r="C7" s="22" t="s">
        <v>288</v>
      </c>
      <c r="D7" s="14">
        <f>B218</f>
        <v>0</v>
      </c>
      <c r="E7" s="22" t="s">
        <v>289</v>
      </c>
      <c r="F7" s="34">
        <f>IF(B252&gt;=10,"Aucun (10)",B252)</f>
        <v>0</v>
      </c>
      <c r="G7" s="34"/>
      <c r="H7" s="34"/>
    </row>
    <row r="8" spans="1:18">
      <c r="A8" s="22" t="s">
        <v>290</v>
      </c>
      <c r="B8" s="34">
        <f>IF(TRIM(IF(E237="Oui","C1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",""))="","Aucun",TRIM(IF(E237="Oui","C1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","")))&amp;IF(COUNTIF(E237:E251,"n.r.")&gt;0,"   —   "&amp;COUNTIF(E237:E251,"n.r.")&amp;" plafond(s) non évalué(s) faute de donnée","")</f>
        <v>0</v>
      </c>
      <c r="C8" s="34"/>
      <c r="D8" s="34"/>
      <c r="E8" s="34"/>
      <c r="F8" s="34"/>
      <c r="G8" s="34"/>
      <c r="H8" s="34"/>
    </row>
    <row r="9" spans="1:18">
      <c r="A9" s="22" t="s">
        <v>291</v>
      </c>
      <c r="B9" s="34">
        <f>IF(TRIM(IF(F222="Oui","X1  ","")&amp;IF(F223="Oui","X2  ","")&amp;IF(F224="Oui","X3  ","")&amp;IF(F225="Oui","X4  ","")&amp;IF(F226="Oui","B1  ","")&amp;IF(F227="Oui","B2  ","")&amp;IF(F228="Oui","B3  ","")&amp;IF(F229="Oui","B4  ","")&amp;IF(F230="Oui","B5  ","")&amp;IF(F231="Oui","B6  ","")&amp;IF(F232="Oui","B7  ","")&amp;IF(F233="Oui","B8  ",""))="","Aucun",TRIM(IF(F222="Oui","X1  ","")&amp;IF(F223="Oui","X2  ","")&amp;IF(F224="Oui","X3  ","")&amp;IF(F225="Oui","X4  ","")&amp;IF(F226="Oui","B1  ","")&amp;IF(F227="Oui","B2  ","")&amp;IF(F228="Oui","B3  ","")&amp;IF(F229="Oui","B4  ","")&amp;IF(F230="Oui","B5  ","")&amp;IF(F231="Oui","B6  ","")&amp;IF(F232="Oui","B7  ","")&amp;IF(F233="Oui","B8  ","")))</f>
        <v>0</v>
      </c>
      <c r="C9" s="34"/>
      <c r="D9" s="34"/>
      <c r="E9" s="34"/>
      <c r="F9" s="34"/>
      <c r="G9" s="34"/>
      <c r="H9" s="34"/>
    </row>
    <row r="10" spans="1:18">
      <c r="A10" s="22" t="s">
        <v>292</v>
      </c>
      <c r="B10" s="14">
        <f>B35</f>
        <v>0</v>
      </c>
      <c r="C10" s="22" t="s">
        <v>293</v>
      </c>
      <c r="D10" s="35">
        <f>D133</f>
        <v>0</v>
      </c>
      <c r="E10" s="22" t="s">
        <v>294</v>
      </c>
      <c r="F10" s="35">
        <f>D134</f>
        <v>0</v>
      </c>
    </row>
    <row r="11" spans="1:18">
      <c r="A11" s="22" t="s">
        <v>295</v>
      </c>
      <c r="B11" s="36">
        <f>B204</f>
        <v>0</v>
      </c>
      <c r="C11" s="22" t="s">
        <v>296</v>
      </c>
      <c r="D11" s="14">
        <f>D148</f>
        <v>0</v>
      </c>
      <c r="E11" s="22" t="s">
        <v>109</v>
      </c>
      <c r="F11" s="34">
        <f>IFERROR(INDEX(P_ConvOrient,MATCH(B255,P_ConvNote,0)),"")</f>
        <v>0</v>
      </c>
      <c r="G11" s="34"/>
      <c r="H11" s="34"/>
    </row>
    <row r="12" spans="1:18">
      <c r="A12" s="37" t="s">
        <v>283</v>
      </c>
      <c r="B12" s="38">
        <f>HYPERLINK("#A13","1 · Routage")</f>
        <v>0</v>
      </c>
      <c r="C12" s="38">
        <f>HYPERLINK("#A37","3 · Sources")</f>
        <v>0</v>
      </c>
      <c r="D12" s="38">
        <f>HYPERLINK("#A69","6 · Échéancier")</f>
        <v>0</v>
      </c>
      <c r="E12" s="38">
        <f>HYPERLINK("#A140","7 · Noyau")</f>
        <v>0</v>
      </c>
      <c r="F12" s="38">
        <f>HYPERLINK("#A167","8 · Grille")</f>
        <v>0</v>
      </c>
      <c r="G12" s="38">
        <f>HYPERLINK("#A220","10 · Verrous")</f>
        <v>0</v>
      </c>
      <c r="H12" s="38">
        <f>HYPERLINK("#A235","11 · Plafonds")</f>
        <v>0</v>
      </c>
    </row>
    <row r="13" spans="1:18">
      <c r="A13" s="3" t="s">
        <v>297</v>
      </c>
      <c r="B13" s="3"/>
      <c r="C13" s="3"/>
      <c r="D13" s="3"/>
      <c r="E13" s="3"/>
      <c r="F13" s="3"/>
      <c r="G13" s="3"/>
      <c r="H13" s="3"/>
    </row>
    <row r="14" spans="1:18">
      <c r="A14" s="11" t="s">
        <v>298</v>
      </c>
      <c r="B14" s="11" t="s">
        <v>94</v>
      </c>
      <c r="C14" s="11" t="s">
        <v>4</v>
      </c>
      <c r="D14" s="11"/>
      <c r="E14" s="11"/>
      <c r="F14" s="11"/>
      <c r="G14" s="11"/>
      <c r="H14" s="11"/>
      <c r="P14" s="31" t="s">
        <v>509</v>
      </c>
      <c r="Q14" s="31" t="s">
        <v>510</v>
      </c>
      <c r="R14" s="31">
        <f>IF($B$15&lt;&gt;"",1,0)</f>
        <v>0</v>
      </c>
    </row>
    <row r="15" spans="1:18">
      <c r="A15" s="17" t="s">
        <v>299</v>
      </c>
      <c r="B15" s="5" t="s">
        <v>12</v>
      </c>
      <c r="C15" s="13">
        <f>IFERROR(INDEX(P_RegLib,MATCH(B15,P_Regimes,0)),"")</f>
        <v>0</v>
      </c>
      <c r="D15" s="13"/>
      <c r="E15" s="13"/>
      <c r="F15" s="13"/>
      <c r="G15" s="13"/>
      <c r="H15" s="13"/>
      <c r="P15" s="31" t="s">
        <v>511</v>
      </c>
      <c r="Q15" s="31" t="s">
        <v>512</v>
      </c>
      <c r="R15" s="31">
        <f>IF($B$16&lt;&gt;"",1,0)</f>
        <v>0</v>
      </c>
    </row>
    <row r="16" spans="1:18">
      <c r="A16" s="17" t="s">
        <v>300</v>
      </c>
      <c r="B16" s="5" t="s">
        <v>39</v>
      </c>
      <c r="C16" s="13">
        <f>IFERROR(INDEX(P_SecLib,MATCH(B16,P_SecCodes,0)),"")</f>
        <v>0</v>
      </c>
      <c r="D16" s="13"/>
      <c r="E16" s="13"/>
      <c r="F16" s="13"/>
      <c r="G16" s="13"/>
      <c r="H16" s="13"/>
      <c r="P16" s="31" t="s">
        <v>513</v>
      </c>
      <c r="Q16" s="31" t="s">
        <v>514</v>
      </c>
      <c r="R16" s="31">
        <f>IF($B$17&lt;&gt;"",1,0)</f>
        <v>0</v>
      </c>
    </row>
    <row r="17" spans="1:18">
      <c r="A17" s="17" t="s">
        <v>301</v>
      </c>
      <c r="B17" s="5" t="s">
        <v>52</v>
      </c>
      <c r="C17" s="13">
        <f>IFERROR(INDEX(P_PhaseLib,MATCH(B17,P_PhaseCodes,0)),"")</f>
        <v>0</v>
      </c>
      <c r="D17" s="13"/>
      <c r="E17" s="13"/>
      <c r="F17" s="13"/>
      <c r="G17" s="13"/>
      <c r="H17" s="13"/>
      <c r="P17" s="31" t="s">
        <v>515</v>
      </c>
      <c r="Q17" s="31" t="s">
        <v>516</v>
      </c>
      <c r="R17" s="31">
        <f>IF($B$18&lt;&gt;"",1,0)</f>
        <v>0</v>
      </c>
    </row>
    <row r="18" spans="1:18">
      <c r="A18" s="17" t="s">
        <v>302</v>
      </c>
      <c r="B18" s="5" t="s">
        <v>262</v>
      </c>
      <c r="C18" s="13" t="s">
        <v>303</v>
      </c>
      <c r="D18" s="13"/>
      <c r="E18" s="13"/>
      <c r="F18" s="13"/>
      <c r="G18" s="13"/>
      <c r="H18" s="13"/>
      <c r="P18" s="31" t="s">
        <v>517</v>
      </c>
      <c r="Q18" s="31" t="s">
        <v>518</v>
      </c>
      <c r="R18" s="31">
        <f>IF(ISNUMBER($B$23),1,0)</f>
        <v>0</v>
      </c>
    </row>
    <row r="19" spans="1:18">
      <c r="A19" s="17" t="s">
        <v>304</v>
      </c>
      <c r="B19" s="5" t="s">
        <v>305</v>
      </c>
      <c r="C19" s="13" t="s">
        <v>306</v>
      </c>
      <c r="D19" s="13"/>
      <c r="E19" s="13"/>
      <c r="F19" s="13"/>
      <c r="G19" s="13"/>
      <c r="H19" s="13"/>
      <c r="P19" s="31" t="s">
        <v>519</v>
      </c>
      <c r="Q19" s="31" t="s">
        <v>520</v>
      </c>
      <c r="R19" s="31">
        <f>IF($B$24&lt;&gt;"",1,0)</f>
        <v>0</v>
      </c>
    </row>
    <row r="20" spans="1:18">
      <c r="P20" s="31" t="s">
        <v>521</v>
      </c>
      <c r="Q20" s="31" t="s">
        <v>522</v>
      </c>
      <c r="R20" s="31">
        <f>IF(ISNUMBER($B$25),1,0)</f>
        <v>0</v>
      </c>
    </row>
    <row r="21" spans="1:18">
      <c r="A21" s="3" t="s">
        <v>307</v>
      </c>
      <c r="B21" s="3"/>
      <c r="C21" s="3"/>
      <c r="D21" s="3"/>
      <c r="E21" s="3"/>
      <c r="F21" s="3"/>
      <c r="G21" s="3"/>
      <c r="H21" s="3"/>
      <c r="P21" s="31" t="s">
        <v>523</v>
      </c>
      <c r="Q21" s="31" t="s">
        <v>524</v>
      </c>
      <c r="R21" s="31">
        <f>IF($B$26&lt;&gt;"",1,0)</f>
        <v>0</v>
      </c>
    </row>
    <row r="22" spans="1:18">
      <c r="A22" s="17" t="s">
        <v>308</v>
      </c>
      <c r="B22" s="28">
        <f>B47</f>
        <v>0</v>
      </c>
      <c r="C22" s="13" t="s">
        <v>309</v>
      </c>
      <c r="D22" s="13"/>
      <c r="E22" s="13"/>
      <c r="F22" s="13"/>
      <c r="G22" s="13"/>
      <c r="H22" s="13"/>
      <c r="P22" s="31" t="s">
        <v>525</v>
      </c>
      <c r="Q22" s="31" t="s">
        <v>526</v>
      </c>
      <c r="R22" s="31">
        <f>IF(OR(NOT($B$17="P1"),$B$27&lt;&gt;""),1,0)</f>
        <v>0</v>
      </c>
    </row>
    <row r="23" spans="1:18">
      <c r="A23" s="17" t="s">
        <v>310</v>
      </c>
      <c r="B23" s="39">
        <v>250</v>
      </c>
      <c r="P23" s="31" t="s">
        <v>527</v>
      </c>
      <c r="Q23" s="31" t="s">
        <v>528</v>
      </c>
      <c r="R23" s="31">
        <f>IF($B$28&lt;&gt;"",1,0)</f>
        <v>0</v>
      </c>
    </row>
    <row r="24" spans="1:18">
      <c r="A24" s="17" t="s">
        <v>311</v>
      </c>
      <c r="B24" s="5" t="s">
        <v>258</v>
      </c>
      <c r="P24" s="31" t="s">
        <v>529</v>
      </c>
      <c r="Q24" s="31" t="s">
        <v>530</v>
      </c>
      <c r="R24" s="31">
        <f>IF($B$29&lt;&gt;"",1,0)</f>
        <v>0</v>
      </c>
    </row>
    <row r="25" spans="1:18">
      <c r="A25" s="17" t="s">
        <v>312</v>
      </c>
      <c r="B25" s="40">
        <v>10</v>
      </c>
      <c r="P25" s="31" t="s">
        <v>531</v>
      </c>
      <c r="Q25" s="31" t="s">
        <v>532</v>
      </c>
      <c r="R25" s="31">
        <f>IF($B$30&lt;&gt;"",1,0)</f>
        <v>0</v>
      </c>
    </row>
    <row r="26" spans="1:18">
      <c r="A26" s="17" t="s">
        <v>313</v>
      </c>
      <c r="B26" s="5" t="s">
        <v>257</v>
      </c>
      <c r="P26" s="31" t="s">
        <v>533</v>
      </c>
      <c r="Q26" s="31" t="s">
        <v>534</v>
      </c>
      <c r="R26" s="31">
        <f>IF($B$31&lt;&gt;"",1,0)</f>
        <v>0</v>
      </c>
    </row>
    <row r="27" spans="1:18">
      <c r="A27" s="17" t="s">
        <v>314</v>
      </c>
      <c r="B27" s="5" t="s">
        <v>258</v>
      </c>
      <c r="P27" s="31" t="s">
        <v>535</v>
      </c>
      <c r="Q27" s="31" t="s">
        <v>536</v>
      </c>
      <c r="R27" s="31">
        <f>IF($B$32&lt;&gt;"",1,0)</f>
        <v>0</v>
      </c>
    </row>
    <row r="28" spans="1:18">
      <c r="A28" s="17" t="s">
        <v>315</v>
      </c>
      <c r="B28" s="5" t="s">
        <v>258</v>
      </c>
      <c r="P28" s="31" t="s">
        <v>537</v>
      </c>
      <c r="Q28" s="31" t="s">
        <v>538</v>
      </c>
      <c r="R28" s="31">
        <f>IF(ISNUMBER($B$33),1,0)</f>
        <v>0</v>
      </c>
    </row>
    <row r="29" spans="1:18">
      <c r="A29" s="17" t="s">
        <v>316</v>
      </c>
      <c r="B29" s="5" t="s">
        <v>258</v>
      </c>
      <c r="P29" s="31" t="s">
        <v>539</v>
      </c>
      <c r="Q29" s="31" t="s">
        <v>540</v>
      </c>
      <c r="R29" s="31">
        <f>IF(N($B$47)&gt;0,1,0)</f>
        <v>0</v>
      </c>
    </row>
    <row r="30" spans="1:18">
      <c r="A30" s="17" t="s">
        <v>317</v>
      </c>
      <c r="B30" s="5" t="s">
        <v>258</v>
      </c>
      <c r="P30" s="31" t="s">
        <v>541</v>
      </c>
      <c r="Q30" s="31" t="s">
        <v>542</v>
      </c>
      <c r="R30" s="31">
        <f>IF(N($E$47)&gt;0,1,0)</f>
        <v>0</v>
      </c>
    </row>
    <row r="31" spans="1:18">
      <c r="A31" s="17" t="s">
        <v>318</v>
      </c>
      <c r="B31" s="5" t="s">
        <v>258</v>
      </c>
      <c r="P31" s="31" t="s">
        <v>543</v>
      </c>
      <c r="Q31" s="31" t="s">
        <v>544</v>
      </c>
      <c r="R31" s="31">
        <f>IF(SUMPRODUCT(ISNUMBER($E$39:$E$46)*($F$39:$F$46=""))=0,1,0)</f>
        <v>0</v>
      </c>
    </row>
    <row r="32" spans="1:18">
      <c r="A32" s="17" t="s">
        <v>319</v>
      </c>
      <c r="B32" s="5" t="s">
        <v>258</v>
      </c>
      <c r="P32" s="31" t="s">
        <v>545</v>
      </c>
      <c r="Q32" s="31" t="s">
        <v>546</v>
      </c>
      <c r="R32" s="31">
        <f>IF(OR(NOT(AND($B$17="P1",ISNUMBER($B$48),N($B$48)&gt;=P_N3_V,N($B$48)&lt;P_N3_F)),$B$50&lt;&gt;""),1,0)</f>
        <v>0</v>
      </c>
    </row>
    <row r="33" spans="1:18">
      <c r="A33" s="17" t="s">
        <v>320</v>
      </c>
      <c r="B33" s="40"/>
      <c r="P33" s="31" t="s">
        <v>547</v>
      </c>
      <c r="Q33" s="31" t="s">
        <v>548</v>
      </c>
      <c r="R33" s="31">
        <f>IF(ISNUMBER($B$70),1,0)</f>
        <v>0</v>
      </c>
    </row>
    <row r="34" spans="1:18" ht="30" customHeight="1">
      <c r="A34" s="21" t="s">
        <v>321</v>
      </c>
      <c r="B34" s="14">
        <f>IF(OR(B22="",B22=0,B15=""),"",IF(OR(B22&gt;P_L_CAPEX,N(B23)&gt;P_L_EXPO,B15="R4",B29="Oui",N(B153)&gt;0,B30="Oui",B31="Oui",B32="Oui",N(B33)&gt;P_L_NBCP),"L",IF(AND(B22&lt;=P_S_CAPEX,B23&lt;&gt;"",N(B23)&lt;=P_S_EXPO,OR(B15="R1",B15="R2"),B26="Oui",B24="Oui",B25&lt;&gt;"",N(B25)&lt;=P_S_DUREE,OR(B17&lt;&gt;"P1",B27="Oui"),B28="Oui",COUNTIF($F$222:$F$233,"Oui")=0),"S","M")))</f>
        <v>0</v>
      </c>
      <c r="C34" s="13">
        <f>IF(B34="","",IF(B34="L","Escalade : "&amp;IF(B22&gt;P_L_CAPEX,"CAPEX &gt; "&amp;P_L_CAPEX&amp;" MMAD ; ","")&amp;IF(N(B23)&gt;P_L_EXPO,"exposition &gt; "&amp;P_L_EXPO&amp;" MMAD ; ","")&amp;IF(B15="R4","régime de revenus R4 ; ","")&amp;IF(B29="Oui","première référence technologique ; ","")&amp;IF(N(B153)&gt;0,"devises non intégralement couvertes ; ","")&amp;IF(B30="Oui","opération consortiale ; ","")&amp;IF(B31="Oui","contrat de revenus &gt; 20 ans ; ","")&amp;IF(B32="Oui","risque climatique élevé ; ","")&amp;IF(N(B33)&gt;P_L_NBCP,"plus de "&amp;P_L_NBCP&amp;" contreparties clés ; ",""),IF(B34="S","Toutes les conditions du régime simplifié sont réunies.","Régime standard par défaut : une condition du régime S manque, aucune condition d'escalade.")))</f>
        <v>0</v>
      </c>
      <c r="D34" s="13"/>
      <c r="E34" s="13"/>
      <c r="F34" s="13"/>
      <c r="G34" s="13"/>
      <c r="H34" s="13"/>
      <c r="P34" s="31" t="s">
        <v>549</v>
      </c>
      <c r="Q34" s="31" t="s">
        <v>550</v>
      </c>
      <c r="R34" s="31">
        <f>IF(COUNT($B$72:$B$131)&gt;=2,1,0)</f>
        <v>0</v>
      </c>
    </row>
    <row r="35" spans="1:18">
      <c r="A35" s="21" t="s">
        <v>322</v>
      </c>
      <c r="B35" s="14">
        <f>IF(B34="","",IF(AND(IF(AND(B34="S",COUNTIF($F$222:$F$233,"Oui")&gt;0),"M",B34)="M",COUNTIF($E$237:$E$251,"Oui")&gt;0),"L",IF(AND(B34="S",COUNTIF($F$222:$F$233,"Oui")&gt;0),"M",B34)))</f>
        <v>0</v>
      </c>
      <c r="C35" s="13">
        <f>IF(B35=B34,"Aucune escalade.",IF(B35="L","Escalade : un plafond de note est actif (M passe en L).","Escalade : un verrou est actif (S passe en M)."))</f>
        <v>0</v>
      </c>
      <c r="D35" s="13"/>
      <c r="E35" s="13"/>
      <c r="F35" s="13"/>
      <c r="G35" s="13"/>
      <c r="H35" s="13"/>
      <c r="P35" s="31" t="s">
        <v>551</v>
      </c>
      <c r="Q35" s="31" t="s">
        <v>552</v>
      </c>
      <c r="R35" s="31">
        <f>IF(SUMPRODUCT(ISNUMBER($B$72:$B$131)*(1-ISNUMBER($C$72:$C$131)))=0,1,0)</f>
        <v>0</v>
      </c>
    </row>
    <row r="36" spans="1:18">
      <c r="P36" s="31" t="s">
        <v>553</v>
      </c>
      <c r="Q36" s="31" t="s">
        <v>554</v>
      </c>
      <c r="R36" s="31">
        <f>IF($B$145&lt;&gt;"",1,0)</f>
        <v>0</v>
      </c>
    </row>
    <row r="37" spans="1:18">
      <c r="A37" s="3" t="s">
        <v>323</v>
      </c>
      <c r="B37" s="3"/>
      <c r="C37" s="3"/>
      <c r="D37" s="3"/>
      <c r="E37" s="3"/>
      <c r="F37" s="3"/>
      <c r="G37" s="3"/>
      <c r="H37" s="3"/>
      <c r="P37" s="31" t="s">
        <v>555</v>
      </c>
      <c r="Q37" s="31" t="s">
        <v>556</v>
      </c>
      <c r="R37" s="31">
        <f>IF($B$146&lt;&gt;"",1,0)</f>
        <v>0</v>
      </c>
    </row>
    <row r="38" spans="1:18">
      <c r="A38" s="11" t="s">
        <v>324</v>
      </c>
      <c r="B38" s="11" t="s">
        <v>325</v>
      </c>
      <c r="C38" s="11"/>
      <c r="D38" s="11" t="s">
        <v>326</v>
      </c>
      <c r="E38" s="11" t="s">
        <v>325</v>
      </c>
      <c r="F38" s="11" t="s">
        <v>327</v>
      </c>
      <c r="P38" s="31" t="s">
        <v>557</v>
      </c>
      <c r="Q38" s="31" t="s">
        <v>558</v>
      </c>
      <c r="R38" s="31">
        <f>IF($B$147&lt;&gt;"",1,0)</f>
        <v>0</v>
      </c>
    </row>
    <row r="39" spans="1:18">
      <c r="A39" s="41" t="s">
        <v>663</v>
      </c>
      <c r="B39" s="39">
        <v>300</v>
      </c>
      <c r="D39" s="41" t="s">
        <v>664</v>
      </c>
      <c r="E39" s="39">
        <v>250</v>
      </c>
      <c r="F39" s="41" t="s">
        <v>266</v>
      </c>
      <c r="P39" s="31" t="s">
        <v>559</v>
      </c>
      <c r="Q39" s="31" t="s">
        <v>560</v>
      </c>
      <c r="R39" s="31">
        <f>IF(OR($B$17="P1",$B$150&lt;&gt;""),1,0)</f>
        <v>0</v>
      </c>
    </row>
    <row r="40" spans="1:18">
      <c r="A40" s="41" t="s">
        <v>665</v>
      </c>
      <c r="B40" s="39">
        <v>70</v>
      </c>
      <c r="D40" s="41" t="s">
        <v>268</v>
      </c>
      <c r="E40" s="39">
        <v>170</v>
      </c>
      <c r="F40" s="41" t="s">
        <v>268</v>
      </c>
      <c r="P40" s="31" t="s">
        <v>561</v>
      </c>
      <c r="Q40" s="31" t="s">
        <v>562</v>
      </c>
      <c r="R40" s="31">
        <f>IF(ISNUMBER($B$151),1,0)</f>
        <v>0</v>
      </c>
    </row>
    <row r="41" spans="1:18">
      <c r="A41" s="41" t="s">
        <v>666</v>
      </c>
      <c r="B41" s="39">
        <v>25</v>
      </c>
      <c r="D41" s="41"/>
      <c r="E41" s="39"/>
      <c r="F41" s="41"/>
      <c r="P41" s="31" t="s">
        <v>563</v>
      </c>
      <c r="Q41" s="31" t="s">
        <v>564</v>
      </c>
      <c r="R41" s="31">
        <f>IF(ISNUMBER($B$152),1,0)</f>
        <v>0</v>
      </c>
    </row>
    <row r="42" spans="1:18">
      <c r="A42" s="41" t="s">
        <v>667</v>
      </c>
      <c r="B42" s="39">
        <v>17</v>
      </c>
      <c r="D42" s="41"/>
      <c r="E42" s="39"/>
      <c r="F42" s="41"/>
      <c r="P42" s="31" t="s">
        <v>565</v>
      </c>
      <c r="Q42" s="31" t="s">
        <v>566</v>
      </c>
      <c r="R42" s="31">
        <f>IF(ISNUMBER($B$153),1,0)</f>
        <v>0</v>
      </c>
    </row>
    <row r="43" spans="1:18">
      <c r="A43" s="41" t="s">
        <v>668</v>
      </c>
      <c r="B43" s="39">
        <v>8</v>
      </c>
      <c r="D43" s="41"/>
      <c r="E43" s="39"/>
      <c r="F43" s="41"/>
      <c r="P43" s="31" t="s">
        <v>567</v>
      </c>
      <c r="Q43" s="31" t="s">
        <v>568</v>
      </c>
      <c r="R43" s="31">
        <f>IF(ISNUMBER($B$154),1,0)</f>
        <v>0</v>
      </c>
    </row>
    <row r="44" spans="1:18">
      <c r="A44" s="41"/>
      <c r="B44" s="39"/>
      <c r="D44" s="41"/>
      <c r="E44" s="39"/>
      <c r="F44" s="41"/>
      <c r="P44" s="31" t="s">
        <v>569</v>
      </c>
      <c r="Q44" s="31" t="s">
        <v>570</v>
      </c>
      <c r="R44" s="31">
        <f>IF(OR(N($B$154)&lt;=P_C8,$B$155&lt;&gt;""),1,0)</f>
        <v>0</v>
      </c>
    </row>
    <row r="45" spans="1:18">
      <c r="A45" s="41"/>
      <c r="B45" s="39"/>
      <c r="D45" s="41"/>
      <c r="E45" s="39"/>
      <c r="F45" s="41"/>
      <c r="P45" s="31" t="s">
        <v>571</v>
      </c>
      <c r="Q45" s="31" t="s">
        <v>572</v>
      </c>
      <c r="R45" s="31">
        <f>IF(ISNUMBER($B$156),1,0)</f>
        <v>0</v>
      </c>
    </row>
    <row r="46" spans="1:18">
      <c r="A46" s="41"/>
      <c r="B46" s="39"/>
      <c r="D46" s="41"/>
      <c r="E46" s="39"/>
      <c r="F46" s="41"/>
      <c r="P46" s="31" t="s">
        <v>573</v>
      </c>
      <c r="Q46" s="31" t="s">
        <v>574</v>
      </c>
      <c r="R46" s="31">
        <f>IF($B$157&lt;&gt;"",1,0)</f>
        <v>0</v>
      </c>
    </row>
    <row r="47" spans="1:18">
      <c r="A47" s="21" t="s">
        <v>338</v>
      </c>
      <c r="B47" s="42">
        <f>SUM(B39:B46)</f>
        <v>0</v>
      </c>
      <c r="D47" s="21" t="s">
        <v>339</v>
      </c>
      <c r="E47" s="42">
        <f>SUM(E39:E46)</f>
        <v>0</v>
      </c>
      <c r="P47" s="31" t="s">
        <v>575</v>
      </c>
      <c r="Q47" s="31" t="s">
        <v>576</v>
      </c>
      <c r="R47" s="31">
        <f>IF(OR($B$15="R4",ISNUMBER($B$158)),1,0)</f>
        <v>0</v>
      </c>
    </row>
    <row r="48" spans="1:18">
      <c r="A48" s="17" t="s">
        <v>340</v>
      </c>
      <c r="B48" s="27">
        <f>IF(N(B47)=0,"",E47/B47)</f>
        <v>0</v>
      </c>
      <c r="P48" s="31" t="s">
        <v>577</v>
      </c>
      <c r="Q48" s="31" t="s">
        <v>578</v>
      </c>
      <c r="R48" s="31">
        <f>IF(ISNUMBER($B$159),1,0)</f>
        <v>0</v>
      </c>
    </row>
    <row r="49" spans="1:18">
      <c r="A49" s="17" t="s">
        <v>341</v>
      </c>
      <c r="B49" s="27">
        <f>IF(N(B47)=0,"",(SUMIF(F39:F46,"Dette senior",E39:E46)+SUMIF(F39:F46,"Dette subordonnée",E39:E46))/B47)</f>
        <v>0</v>
      </c>
      <c r="P49" s="31" t="s">
        <v>579</v>
      </c>
      <c r="Q49" s="31" t="s">
        <v>580</v>
      </c>
      <c r="R49" s="31">
        <f>IF(OR(NOT(AND(ISNUMBER($B$158),ISNUMBER($B$159))),N($B$158)&gt;=N($B$159),$B$160&lt;&gt;""),1,0)</f>
        <v>0</v>
      </c>
    </row>
    <row r="50" spans="1:18">
      <c r="A50" s="17" t="s">
        <v>342</v>
      </c>
      <c r="B50" s="5" t="s">
        <v>258</v>
      </c>
      <c r="P50" s="31" t="s">
        <v>581</v>
      </c>
      <c r="Q50" s="31" t="s">
        <v>582</v>
      </c>
      <c r="R50" s="31">
        <f>IF(OR($B$32&lt;&gt;"Oui",$B$161&lt;&gt;""),1,0)</f>
        <v>0</v>
      </c>
    </row>
    <row r="51" spans="1:18">
      <c r="P51" s="31" t="s">
        <v>583</v>
      </c>
      <c r="Q51" s="31" t="s">
        <v>584</v>
      </c>
      <c r="R51" s="31">
        <f>IF($B$162&lt;&gt;"",1,0)</f>
        <v>0</v>
      </c>
    </row>
    <row r="52" spans="1:18">
      <c r="A52" s="3" t="s">
        <v>343</v>
      </c>
      <c r="B52" s="3"/>
      <c r="C52" s="3"/>
      <c r="D52" s="3"/>
      <c r="E52" s="3"/>
      <c r="F52" s="3"/>
      <c r="G52" s="3"/>
      <c r="H52" s="3"/>
      <c r="P52" s="31" t="s">
        <v>585</v>
      </c>
      <c r="Q52" s="31" t="s">
        <v>586</v>
      </c>
      <c r="R52" s="31">
        <f>IF($B$163&lt;&gt;"",1,0)</f>
        <v>0</v>
      </c>
    </row>
    <row r="53" spans="1:18">
      <c r="A53" s="41" t="s">
        <v>637</v>
      </c>
      <c r="B53" s="41" t="s">
        <v>669</v>
      </c>
      <c r="C53" s="41"/>
      <c r="D53" s="41"/>
      <c r="E53" s="41"/>
      <c r="F53" s="41"/>
      <c r="G53" s="41"/>
      <c r="H53" s="41"/>
      <c r="P53" s="31" t="s">
        <v>587</v>
      </c>
      <c r="Q53" s="31" t="s">
        <v>588</v>
      </c>
      <c r="R53" s="31">
        <f>IF(OR($B$163&lt;&gt;"Non",ISNUMBER($B$164)),1,0)</f>
        <v>0</v>
      </c>
    </row>
    <row r="54" spans="1:18">
      <c r="A54" s="41" t="s">
        <v>639</v>
      </c>
      <c r="B54" s="41" t="s">
        <v>670</v>
      </c>
      <c r="C54" s="41"/>
      <c r="D54" s="41"/>
      <c r="E54" s="41"/>
      <c r="F54" s="41"/>
      <c r="G54" s="41"/>
      <c r="H54" s="41"/>
      <c r="P54" s="31" t="s">
        <v>589</v>
      </c>
      <c r="Q54" s="31" t="s">
        <v>590</v>
      </c>
      <c r="R54" s="31">
        <f>IF($B$165&lt;&gt;"",1,0)</f>
        <v>0</v>
      </c>
    </row>
    <row r="55" spans="1:18">
      <c r="A55" s="41" t="s">
        <v>352</v>
      </c>
      <c r="B55" s="41" t="s">
        <v>607</v>
      </c>
      <c r="C55" s="41"/>
      <c r="D55" s="41"/>
      <c r="E55" s="41"/>
      <c r="F55" s="41"/>
      <c r="G55" s="41"/>
      <c r="H55" s="41"/>
      <c r="P55" s="31" t="s">
        <v>591</v>
      </c>
      <c r="Q55" s="31">
        <f>"B"&amp;IF(COUNT($P$169:$P$201)=0,169,MIN($P$169:$P$201))</f>
        <v>0</v>
      </c>
      <c r="R55" s="31">
        <f>IF(COUNT($P$169:$P$201)=0,1,0)</f>
        <v>0</v>
      </c>
    </row>
    <row r="56" spans="1:18">
      <c r="A56" s="41" t="s">
        <v>642</v>
      </c>
      <c r="B56" s="41" t="s">
        <v>671</v>
      </c>
      <c r="C56" s="41"/>
      <c r="D56" s="41"/>
      <c r="E56" s="41"/>
      <c r="F56" s="41"/>
      <c r="G56" s="41"/>
      <c r="H56" s="41"/>
      <c r="P56" s="31" t="s">
        <v>592</v>
      </c>
      <c r="Q56" s="31" t="s">
        <v>593</v>
      </c>
      <c r="R56" s="31">
        <f>IF(COUNTBLANK($E$222:$E$233)=0,1,0)</f>
        <v>0</v>
      </c>
    </row>
    <row r="57" spans="1:18">
      <c r="A57" s="41" t="s">
        <v>645</v>
      </c>
      <c r="B57" s="41" t="s">
        <v>672</v>
      </c>
      <c r="C57" s="41"/>
      <c r="D57" s="41"/>
      <c r="E57" s="41"/>
      <c r="F57" s="41"/>
      <c r="G57" s="41"/>
      <c r="H57" s="41"/>
    </row>
    <row r="58" spans="1:18">
      <c r="A58" s="41" t="s">
        <v>356</v>
      </c>
      <c r="B58" s="41" t="s">
        <v>673</v>
      </c>
      <c r="C58" s="41"/>
      <c r="D58" s="41"/>
      <c r="E58" s="41"/>
      <c r="F58" s="41"/>
      <c r="G58" s="41"/>
      <c r="H58" s="41"/>
    </row>
    <row r="59" spans="1:18">
      <c r="A59" s="41" t="s">
        <v>674</v>
      </c>
      <c r="B59" s="41" t="s">
        <v>675</v>
      </c>
      <c r="C59" s="41"/>
      <c r="D59" s="41"/>
      <c r="E59" s="41"/>
      <c r="F59" s="41"/>
      <c r="G59" s="41"/>
      <c r="H59" s="41"/>
    </row>
    <row r="60" spans="1:18">
      <c r="A60" s="41"/>
      <c r="B60" s="41"/>
      <c r="C60" s="41"/>
      <c r="D60" s="41"/>
      <c r="E60" s="41"/>
      <c r="F60" s="41"/>
      <c r="G60" s="41"/>
      <c r="H60" s="41"/>
    </row>
    <row r="62" spans="1:18">
      <c r="A62" s="3" t="s">
        <v>358</v>
      </c>
      <c r="B62" s="3"/>
      <c r="C62" s="3"/>
      <c r="D62" s="3"/>
      <c r="E62" s="3"/>
      <c r="F62" s="3"/>
      <c r="G62" s="3"/>
      <c r="H62" s="3"/>
    </row>
    <row r="63" spans="1:18">
      <c r="A63" s="17" t="s">
        <v>359</v>
      </c>
      <c r="B63" s="18">
        <f>IFERROR(INDEX(P_Crit,MATCH($B$15,P_Regimes,0)),"")</f>
        <v>0</v>
      </c>
    </row>
    <row r="64" spans="1:18">
      <c r="A64" s="17" t="s">
        <v>360</v>
      </c>
      <c r="B64" s="18">
        <f>IFERROR(INDEX(P_SecDelta,MATCH($B$16,P_SecCodes,0)),"")</f>
        <v>0</v>
      </c>
    </row>
    <row r="65" spans="1:8">
      <c r="A65" s="17" t="s">
        <v>361</v>
      </c>
      <c r="B65" s="18">
        <f>IFERROR(INDEX(P_PhaseMaj,MATCH($B$17,P_PhaseCodes,0)),"")</f>
        <v>0</v>
      </c>
    </row>
    <row r="66" spans="1:8">
      <c r="A66" s="11" t="s">
        <v>362</v>
      </c>
      <c r="B66" s="11" t="s">
        <v>5</v>
      </c>
      <c r="C66" s="11" t="s">
        <v>6</v>
      </c>
      <c r="D66" s="11" t="s">
        <v>7</v>
      </c>
      <c r="E66" s="11" t="s">
        <v>363</v>
      </c>
    </row>
    <row r="67" spans="1:8">
      <c r="A67" s="21" t="s">
        <v>364</v>
      </c>
      <c r="B67" s="18">
        <f>IFERROR(INDEX(P_Crit,MATCH($B$15,P_Regimes,0))+$B$64+$B$65,"")</f>
        <v>0</v>
      </c>
      <c r="C67" s="18">
        <f>IFERROR(INDEX(P_Vig,MATCH($B$15,P_Regimes,0))+$B$64+$B$65,"")</f>
        <v>0</v>
      </c>
      <c r="D67" s="18">
        <f>IFERROR(INDEX(P_Fav,MATCH($B$15,P_Regimes,0))+$B$64+$B$65,"")</f>
        <v>0</v>
      </c>
      <c r="E67" s="18">
        <f>D67</f>
        <v>0</v>
      </c>
    </row>
    <row r="69" spans="1:8">
      <c r="A69" s="3" t="s">
        <v>365</v>
      </c>
      <c r="B69" s="3"/>
      <c r="C69" s="3"/>
      <c r="D69" s="3"/>
      <c r="E69" s="3"/>
      <c r="F69" s="3"/>
      <c r="G69" s="3"/>
      <c r="H69" s="3"/>
    </row>
    <row r="70" spans="1:8">
      <c r="A70" s="17" t="s">
        <v>366</v>
      </c>
      <c r="B70" s="43">
        <v>0.3285</v>
      </c>
      <c r="C70" s="44" t="s">
        <v>676</v>
      </c>
      <c r="D70" s="44"/>
      <c r="E70" s="44"/>
      <c r="F70" s="44"/>
      <c r="G70" s="44"/>
      <c r="H70" s="44"/>
    </row>
    <row r="71" spans="1:8" ht="30" customHeight="1">
      <c r="A71" s="11" t="s">
        <v>368</v>
      </c>
      <c r="B71" s="11" t="s">
        <v>369</v>
      </c>
      <c r="C71" s="11" t="s">
        <v>356</v>
      </c>
      <c r="D71" s="11" t="s">
        <v>370</v>
      </c>
      <c r="E71" s="11" t="s">
        <v>371</v>
      </c>
      <c r="F71" s="11" t="s">
        <v>372</v>
      </c>
      <c r="G71" s="11" t="s">
        <v>373</v>
      </c>
      <c r="H71" s="11" t="s">
        <v>374</v>
      </c>
    </row>
    <row r="72" spans="1:8">
      <c r="A72" s="41" t="s">
        <v>677</v>
      </c>
      <c r="B72" s="39">
        <v>42</v>
      </c>
      <c r="C72" s="45">
        <v>17</v>
      </c>
      <c r="D72" s="19">
        <f>IF(OR(B72="",C72=""),"",IF(C72=0,"",B72/C72))</f>
        <v>0</v>
      </c>
      <c r="E72" s="7">
        <f>IF(B72="","",IF(C72=0,"Différé",IF(B72&lt;0,"Critique",IF(D72&lt;$B$67,"Critique",IF(D72&lt;$C$67,"Vigilance",IF(D72&lt;$D$67,"Favorable","Très favorable"))))))</f>
        <v>0</v>
      </c>
      <c r="F72" s="39"/>
      <c r="G72" s="19">
        <f>IF(OR(B72="",C72="",C72=0),"",IF(F72&lt;&gt;"",F72,B72*(1-$B$70))/C72)</f>
        <v>0</v>
      </c>
      <c r="H72" s="19"/>
    </row>
    <row r="73" spans="1:8">
      <c r="A73" s="41" t="s">
        <v>678</v>
      </c>
      <c r="B73" s="39">
        <v>10</v>
      </c>
      <c r="C73" s="45">
        <v>17</v>
      </c>
      <c r="D73" s="19">
        <f>IF(OR(B73="",C73=""),"",IF(C73=0,"",B73/C73))</f>
        <v>0</v>
      </c>
      <c r="E73" s="7">
        <f>IF(B73="","",IF(C73=0,"Différé",IF(B73&lt;0,"Critique",IF(D73&lt;$B$67,"Critique",IF(D73&lt;$C$67,"Vigilance",IF(D73&lt;$D$67,"Favorable","Très favorable"))))))</f>
        <v>0</v>
      </c>
      <c r="F73" s="39"/>
      <c r="G73" s="19">
        <f>IF(OR(B73="",C73="",C73=0),"",IF(F73&lt;&gt;"",F73,B73*(1-$B$70))/C73)</f>
        <v>0</v>
      </c>
      <c r="H73" s="19">
        <f>IF(AND($B$18="Semestrielle",B73&lt;&gt;"",B72&lt;&gt;"",N(C73)+N(C72)&gt;0),(B73+B72)/(C73+C72),"")</f>
        <v>0</v>
      </c>
    </row>
    <row r="74" spans="1:8">
      <c r="A74" s="41" t="s">
        <v>679</v>
      </c>
      <c r="B74" s="39">
        <v>43</v>
      </c>
      <c r="C74" s="45">
        <v>17</v>
      </c>
      <c r="D74" s="19">
        <f>IF(OR(B74="",C74=""),"",IF(C74=0,"",B74/C74))</f>
        <v>0</v>
      </c>
      <c r="E74" s="7">
        <f>IF(B74="","",IF(C74=0,"Différé",IF(B74&lt;0,"Critique",IF(D74&lt;$B$67,"Critique",IF(D74&lt;$C$67,"Vigilance",IF(D74&lt;$D$67,"Favorable","Très favorable"))))))</f>
        <v>0</v>
      </c>
      <c r="F74" s="39"/>
      <c r="G74" s="19">
        <f>IF(OR(B74="",C74="",C74=0),"",IF(F74&lt;&gt;"",F74,B74*(1-$B$70))/C74)</f>
        <v>0</v>
      </c>
      <c r="H74" s="19"/>
    </row>
    <row r="75" spans="1:8">
      <c r="A75" s="41" t="s">
        <v>680</v>
      </c>
      <c r="B75" s="39">
        <v>10.5</v>
      </c>
      <c r="C75" s="45">
        <v>17</v>
      </c>
      <c r="D75" s="19">
        <f>IF(OR(B75="",C75=""),"",IF(C75=0,"",B75/C75))</f>
        <v>0</v>
      </c>
      <c r="E75" s="7">
        <f>IF(B75="","",IF(C75=0,"Différé",IF(B75&lt;0,"Critique",IF(D75&lt;$B$67,"Critique",IF(D75&lt;$C$67,"Vigilance",IF(D75&lt;$D$67,"Favorable","Très favorable"))))))</f>
        <v>0</v>
      </c>
      <c r="F75" s="39"/>
      <c r="G75" s="19">
        <f>IF(OR(B75="",C75="",C75=0),"",IF(F75&lt;&gt;"",F75,B75*(1-$B$70))/C75)</f>
        <v>0</v>
      </c>
      <c r="H75" s="19">
        <f>IF(AND($B$18="Semestrielle",B75&lt;&gt;"",B74&lt;&gt;"",N(C75)+N(C74)&gt;0),(B75+B74)/(C75+C74),"")</f>
        <v>0</v>
      </c>
    </row>
    <row r="76" spans="1:8">
      <c r="A76" s="41"/>
      <c r="B76" s="39"/>
      <c r="C76" s="45"/>
      <c r="D76" s="19">
        <f>IF(OR(B76="",C76=""),"",IF(C76=0,"",B76/C76))</f>
        <v>0</v>
      </c>
      <c r="E76" s="7">
        <f>IF(B76="","",IF(C76=0,"Différé",IF(B76&lt;0,"Critique",IF(D76&lt;$B$67,"Critique",IF(D76&lt;$C$67,"Vigilance",IF(D76&lt;$D$67,"Favorable","Très favorable"))))))</f>
        <v>0</v>
      </c>
      <c r="F76" s="39"/>
      <c r="G76" s="19">
        <f>IF(OR(B76="",C76="",C76=0),"",IF(F76&lt;&gt;"",F76,B76*(1-$B$70))/C76)</f>
        <v>0</v>
      </c>
      <c r="H76" s="19"/>
    </row>
    <row r="77" spans="1:8">
      <c r="A77" s="41"/>
      <c r="B77" s="39"/>
      <c r="C77" s="45"/>
      <c r="D77" s="19">
        <f>IF(OR(B77="",C77=""),"",IF(C77=0,"",B77/C77))</f>
        <v>0</v>
      </c>
      <c r="E77" s="7">
        <f>IF(B77="","",IF(C77=0,"Différé",IF(B77&lt;0,"Critique",IF(D77&lt;$B$67,"Critique",IF(D77&lt;$C$67,"Vigilance",IF(D77&lt;$D$67,"Favorable","Très favorable"))))))</f>
        <v>0</v>
      </c>
      <c r="F77" s="39"/>
      <c r="G77" s="19">
        <f>IF(OR(B77="",C77="",C77=0),"",IF(F77&lt;&gt;"",F77,B77*(1-$B$70))/C77)</f>
        <v>0</v>
      </c>
      <c r="H77" s="19">
        <f>IF(AND($B$18="Semestrielle",B77&lt;&gt;"",B76&lt;&gt;"",N(C77)+N(C76)&gt;0),(B77+B76)/(C77+C76),"")</f>
        <v>0</v>
      </c>
    </row>
    <row r="78" spans="1:8">
      <c r="A78" s="41"/>
      <c r="B78" s="39"/>
      <c r="C78" s="45"/>
      <c r="D78" s="19">
        <f>IF(OR(B78="",C78=""),"",IF(C78=0,"",B78/C78))</f>
        <v>0</v>
      </c>
      <c r="E78" s="7">
        <f>IF(B78="","",IF(C78=0,"Différé",IF(B78&lt;0,"Critique",IF(D78&lt;$B$67,"Critique",IF(D78&lt;$C$67,"Vigilance",IF(D78&lt;$D$67,"Favorable","Très favorable"))))))</f>
        <v>0</v>
      </c>
      <c r="F78" s="39"/>
      <c r="G78" s="19">
        <f>IF(OR(B78="",C78="",C78=0),"",IF(F78&lt;&gt;"",F78,B78*(1-$B$70))/C78)</f>
        <v>0</v>
      </c>
      <c r="H78" s="19"/>
    </row>
    <row r="79" spans="1:8">
      <c r="A79" s="41"/>
      <c r="B79" s="39"/>
      <c r="C79" s="45"/>
      <c r="D79" s="19">
        <f>IF(OR(B79="",C79=""),"",IF(C79=0,"",B79/C79))</f>
        <v>0</v>
      </c>
      <c r="E79" s="7">
        <f>IF(B79="","",IF(C79=0,"Différé",IF(B79&lt;0,"Critique",IF(D79&lt;$B$67,"Critique",IF(D79&lt;$C$67,"Vigilance",IF(D79&lt;$D$67,"Favorable","Très favorable"))))))</f>
        <v>0</v>
      </c>
      <c r="F79" s="39"/>
      <c r="G79" s="19">
        <f>IF(OR(B79="",C79="",C79=0),"",IF(F79&lt;&gt;"",F79,B79*(1-$B$70))/C79)</f>
        <v>0</v>
      </c>
      <c r="H79" s="19">
        <f>IF(AND($B$18="Semestrielle",B79&lt;&gt;"",B78&lt;&gt;"",N(C79)+N(C78)&gt;0),(B79+B78)/(C79+C78),"")</f>
        <v>0</v>
      </c>
    </row>
    <row r="80" spans="1:8">
      <c r="A80" s="41"/>
      <c r="B80" s="39"/>
      <c r="C80" s="45"/>
      <c r="D80" s="19">
        <f>IF(OR(B80="",C80=""),"",IF(C80=0,"",B80/C80))</f>
        <v>0</v>
      </c>
      <c r="E80" s="7">
        <f>IF(B80="","",IF(C80=0,"Différé",IF(B80&lt;0,"Critique",IF(D80&lt;$B$67,"Critique",IF(D80&lt;$C$67,"Vigilance",IF(D80&lt;$D$67,"Favorable","Très favorable"))))))</f>
        <v>0</v>
      </c>
      <c r="F80" s="39"/>
      <c r="G80" s="19">
        <f>IF(OR(B80="",C80="",C80=0),"",IF(F80&lt;&gt;"",F80,B80*(1-$B$70))/C80)</f>
        <v>0</v>
      </c>
      <c r="H80" s="19"/>
    </row>
    <row r="81" spans="1:8">
      <c r="A81" s="41"/>
      <c r="B81" s="39"/>
      <c r="C81" s="45"/>
      <c r="D81" s="19">
        <f>IF(OR(B81="",C81=""),"",IF(C81=0,"",B81/C81))</f>
        <v>0</v>
      </c>
      <c r="E81" s="7">
        <f>IF(B81="","",IF(C81=0,"Différé",IF(B81&lt;0,"Critique",IF(D81&lt;$B$67,"Critique",IF(D81&lt;$C$67,"Vigilance",IF(D81&lt;$D$67,"Favorable","Très favorable"))))))</f>
        <v>0</v>
      </c>
      <c r="F81" s="39"/>
      <c r="G81" s="19">
        <f>IF(OR(B81="",C81="",C81=0),"",IF(F81&lt;&gt;"",F81,B81*(1-$B$70))/C81)</f>
        <v>0</v>
      </c>
      <c r="H81" s="19">
        <f>IF(AND($B$18="Semestrielle",B81&lt;&gt;"",B80&lt;&gt;"",N(C81)+N(C80)&gt;0),(B81+B80)/(C81+C80),"")</f>
        <v>0</v>
      </c>
    </row>
    <row r="82" spans="1:8">
      <c r="A82" s="41"/>
      <c r="B82" s="39"/>
      <c r="C82" s="45"/>
      <c r="D82" s="19">
        <f>IF(OR(B82="",C82=""),"",IF(C82=0,"",B82/C82))</f>
        <v>0</v>
      </c>
      <c r="E82" s="7">
        <f>IF(B82="","",IF(C82=0,"Différé",IF(B82&lt;0,"Critique",IF(D82&lt;$B$67,"Critique",IF(D82&lt;$C$67,"Vigilance",IF(D82&lt;$D$67,"Favorable","Très favorable"))))))</f>
        <v>0</v>
      </c>
      <c r="F82" s="39"/>
      <c r="G82" s="19">
        <f>IF(OR(B82="",C82="",C82=0),"",IF(F82&lt;&gt;"",F82,B82*(1-$B$70))/C82)</f>
        <v>0</v>
      </c>
      <c r="H82" s="19"/>
    </row>
    <row r="83" spans="1:8">
      <c r="A83" s="41"/>
      <c r="B83" s="39"/>
      <c r="C83" s="45"/>
      <c r="D83" s="19">
        <f>IF(OR(B83="",C83=""),"",IF(C83=0,"",B83/C83))</f>
        <v>0</v>
      </c>
      <c r="E83" s="7">
        <f>IF(B83="","",IF(C83=0,"Différé",IF(B83&lt;0,"Critique",IF(D83&lt;$B$67,"Critique",IF(D83&lt;$C$67,"Vigilance",IF(D83&lt;$D$67,"Favorable","Très favorable"))))))</f>
        <v>0</v>
      </c>
      <c r="F83" s="39"/>
      <c r="G83" s="19">
        <f>IF(OR(B83="",C83="",C83=0),"",IF(F83&lt;&gt;"",F83,B83*(1-$B$70))/C83)</f>
        <v>0</v>
      </c>
      <c r="H83" s="19">
        <f>IF(AND($B$18="Semestrielle",B83&lt;&gt;"",B82&lt;&gt;"",N(C83)+N(C82)&gt;0),(B83+B82)/(C83+C82),"")</f>
        <v>0</v>
      </c>
    </row>
    <row r="84" spans="1:8">
      <c r="A84" s="41"/>
      <c r="B84" s="39"/>
      <c r="C84" s="45"/>
      <c r="D84" s="19">
        <f>IF(OR(B84="",C84=""),"",IF(C84=0,"",B84/C84))</f>
        <v>0</v>
      </c>
      <c r="E84" s="7">
        <f>IF(B84="","",IF(C84=0,"Différé",IF(B84&lt;0,"Critique",IF(D84&lt;$B$67,"Critique",IF(D84&lt;$C$67,"Vigilance",IF(D84&lt;$D$67,"Favorable","Très favorable"))))))</f>
        <v>0</v>
      </c>
      <c r="F84" s="39"/>
      <c r="G84" s="19">
        <f>IF(OR(B84="",C84="",C84=0),"",IF(F84&lt;&gt;"",F84,B84*(1-$B$70))/C84)</f>
        <v>0</v>
      </c>
      <c r="H84" s="19"/>
    </row>
    <row r="85" spans="1:8">
      <c r="A85" s="41"/>
      <c r="B85" s="39"/>
      <c r="C85" s="45"/>
      <c r="D85" s="19">
        <f>IF(OR(B85="",C85=""),"",IF(C85=0,"",B85/C85))</f>
        <v>0</v>
      </c>
      <c r="E85" s="7">
        <f>IF(B85="","",IF(C85=0,"Différé",IF(B85&lt;0,"Critique",IF(D85&lt;$B$67,"Critique",IF(D85&lt;$C$67,"Vigilance",IF(D85&lt;$D$67,"Favorable","Très favorable"))))))</f>
        <v>0</v>
      </c>
      <c r="F85" s="39"/>
      <c r="G85" s="19">
        <f>IF(OR(B85="",C85="",C85=0),"",IF(F85&lt;&gt;"",F85,B85*(1-$B$70))/C85)</f>
        <v>0</v>
      </c>
      <c r="H85" s="19">
        <f>IF(AND($B$18="Semestrielle",B85&lt;&gt;"",B84&lt;&gt;"",N(C85)+N(C84)&gt;0),(B85+B84)/(C85+C84),"")</f>
        <v>0</v>
      </c>
    </row>
    <row r="86" spans="1:8">
      <c r="A86" s="41"/>
      <c r="B86" s="39"/>
      <c r="C86" s="45"/>
      <c r="D86" s="19">
        <f>IF(OR(B86="",C86=""),"",IF(C86=0,"",B86/C86))</f>
        <v>0</v>
      </c>
      <c r="E86" s="7">
        <f>IF(B86="","",IF(C86=0,"Différé",IF(B86&lt;0,"Critique",IF(D86&lt;$B$67,"Critique",IF(D86&lt;$C$67,"Vigilance",IF(D86&lt;$D$67,"Favorable","Très favorable"))))))</f>
        <v>0</v>
      </c>
      <c r="F86" s="39"/>
      <c r="G86" s="19">
        <f>IF(OR(B86="",C86="",C86=0),"",IF(F86&lt;&gt;"",F86,B86*(1-$B$70))/C86)</f>
        <v>0</v>
      </c>
      <c r="H86" s="19"/>
    </row>
    <row r="87" spans="1:8">
      <c r="A87" s="41"/>
      <c r="B87" s="39"/>
      <c r="C87" s="45"/>
      <c r="D87" s="19">
        <f>IF(OR(B87="",C87=""),"",IF(C87=0,"",B87/C87))</f>
        <v>0</v>
      </c>
      <c r="E87" s="7">
        <f>IF(B87="","",IF(C87=0,"Différé",IF(B87&lt;0,"Critique",IF(D87&lt;$B$67,"Critique",IF(D87&lt;$C$67,"Vigilance",IF(D87&lt;$D$67,"Favorable","Très favorable"))))))</f>
        <v>0</v>
      </c>
      <c r="F87" s="39"/>
      <c r="G87" s="19">
        <f>IF(OR(B87="",C87="",C87=0),"",IF(F87&lt;&gt;"",F87,B87*(1-$B$70))/C87)</f>
        <v>0</v>
      </c>
      <c r="H87" s="19">
        <f>IF(AND($B$18="Semestrielle",B87&lt;&gt;"",B86&lt;&gt;"",N(C87)+N(C86)&gt;0),(B87+B86)/(C87+C86),"")</f>
        <v>0</v>
      </c>
    </row>
    <row r="88" spans="1:8">
      <c r="A88" s="41"/>
      <c r="B88" s="39"/>
      <c r="C88" s="45"/>
      <c r="D88" s="19">
        <f>IF(OR(B88="",C88=""),"",IF(C88=0,"",B88/C88))</f>
        <v>0</v>
      </c>
      <c r="E88" s="7">
        <f>IF(B88="","",IF(C88=0,"Différé",IF(B88&lt;0,"Critique",IF(D88&lt;$B$67,"Critique",IF(D88&lt;$C$67,"Vigilance",IF(D88&lt;$D$67,"Favorable","Très favorable"))))))</f>
        <v>0</v>
      </c>
      <c r="F88" s="39"/>
      <c r="G88" s="19">
        <f>IF(OR(B88="",C88="",C88=0),"",IF(F88&lt;&gt;"",F88,B88*(1-$B$70))/C88)</f>
        <v>0</v>
      </c>
      <c r="H88" s="19"/>
    </row>
    <row r="89" spans="1:8">
      <c r="A89" s="41"/>
      <c r="B89" s="39"/>
      <c r="C89" s="45"/>
      <c r="D89" s="19">
        <f>IF(OR(B89="",C89=""),"",IF(C89=0,"",B89/C89))</f>
        <v>0</v>
      </c>
      <c r="E89" s="7">
        <f>IF(B89="","",IF(C89=0,"Différé",IF(B89&lt;0,"Critique",IF(D89&lt;$B$67,"Critique",IF(D89&lt;$C$67,"Vigilance",IF(D89&lt;$D$67,"Favorable","Très favorable"))))))</f>
        <v>0</v>
      </c>
      <c r="F89" s="39"/>
      <c r="G89" s="19">
        <f>IF(OR(B89="",C89="",C89=0),"",IF(F89&lt;&gt;"",F89,B89*(1-$B$70))/C89)</f>
        <v>0</v>
      </c>
      <c r="H89" s="19">
        <f>IF(AND($B$18="Semestrielle",B89&lt;&gt;"",B88&lt;&gt;"",N(C89)+N(C88)&gt;0),(B89+B88)/(C89+C88),"")</f>
        <v>0</v>
      </c>
    </row>
    <row r="90" spans="1:8">
      <c r="A90" s="41"/>
      <c r="B90" s="39"/>
      <c r="C90" s="45"/>
      <c r="D90" s="19">
        <f>IF(OR(B90="",C90=""),"",IF(C90=0,"",B90/C90))</f>
        <v>0</v>
      </c>
      <c r="E90" s="7">
        <f>IF(B90="","",IF(C90=0,"Différé",IF(B90&lt;0,"Critique",IF(D90&lt;$B$67,"Critique",IF(D90&lt;$C$67,"Vigilance",IF(D90&lt;$D$67,"Favorable","Très favorable"))))))</f>
        <v>0</v>
      </c>
      <c r="F90" s="39"/>
      <c r="G90" s="19">
        <f>IF(OR(B90="",C90="",C90=0),"",IF(F90&lt;&gt;"",F90,B90*(1-$B$70))/C90)</f>
        <v>0</v>
      </c>
      <c r="H90" s="19"/>
    </row>
    <row r="91" spans="1:8">
      <c r="A91" s="41"/>
      <c r="B91" s="39"/>
      <c r="C91" s="45"/>
      <c r="D91" s="19">
        <f>IF(OR(B91="",C91=""),"",IF(C91=0,"",B91/C91))</f>
        <v>0</v>
      </c>
      <c r="E91" s="7">
        <f>IF(B91="","",IF(C91=0,"Différé",IF(B91&lt;0,"Critique",IF(D91&lt;$B$67,"Critique",IF(D91&lt;$C$67,"Vigilance",IF(D91&lt;$D$67,"Favorable","Très favorable"))))))</f>
        <v>0</v>
      </c>
      <c r="F91" s="39"/>
      <c r="G91" s="19">
        <f>IF(OR(B91="",C91="",C91=0),"",IF(F91&lt;&gt;"",F91,B91*(1-$B$70))/C91)</f>
        <v>0</v>
      </c>
      <c r="H91" s="19">
        <f>IF(AND($B$18="Semestrielle",B91&lt;&gt;"",B90&lt;&gt;"",N(C91)+N(C90)&gt;0),(B91+B90)/(C91+C90),"")</f>
        <v>0</v>
      </c>
    </row>
    <row r="92" spans="1:8">
      <c r="A92" s="41"/>
      <c r="B92" s="39"/>
      <c r="C92" s="45"/>
      <c r="D92" s="19">
        <f>IF(OR(B92="",C92=""),"",IF(C92=0,"",B92/C92))</f>
        <v>0</v>
      </c>
      <c r="E92" s="7">
        <f>IF(B92="","",IF(C92=0,"Différé",IF(B92&lt;0,"Critique",IF(D92&lt;$B$67,"Critique",IF(D92&lt;$C$67,"Vigilance",IF(D92&lt;$D$67,"Favorable","Très favorable"))))))</f>
        <v>0</v>
      </c>
      <c r="F92" s="39"/>
      <c r="G92" s="19">
        <f>IF(OR(B92="",C92="",C92=0),"",IF(F92&lt;&gt;"",F92,B92*(1-$B$70))/C92)</f>
        <v>0</v>
      </c>
      <c r="H92" s="19"/>
    </row>
    <row r="93" spans="1:8">
      <c r="A93" s="41"/>
      <c r="B93" s="39"/>
      <c r="C93" s="45"/>
      <c r="D93" s="19">
        <f>IF(OR(B93="",C93=""),"",IF(C93=0,"",B93/C93))</f>
        <v>0</v>
      </c>
      <c r="E93" s="7">
        <f>IF(B93="","",IF(C93=0,"Différé",IF(B93&lt;0,"Critique",IF(D93&lt;$B$67,"Critique",IF(D93&lt;$C$67,"Vigilance",IF(D93&lt;$D$67,"Favorable","Très favorable"))))))</f>
        <v>0</v>
      </c>
      <c r="F93" s="39"/>
      <c r="G93" s="19">
        <f>IF(OR(B93="",C93="",C93=0),"",IF(F93&lt;&gt;"",F93,B93*(1-$B$70))/C93)</f>
        <v>0</v>
      </c>
      <c r="H93" s="19">
        <f>IF(AND($B$18="Semestrielle",B93&lt;&gt;"",B92&lt;&gt;"",N(C93)+N(C92)&gt;0),(B93+B92)/(C93+C92),"")</f>
        <v>0</v>
      </c>
    </row>
    <row r="94" spans="1:8">
      <c r="A94" s="41"/>
      <c r="B94" s="39"/>
      <c r="C94" s="45"/>
      <c r="D94" s="19">
        <f>IF(OR(B94="",C94=""),"",IF(C94=0,"",B94/C94))</f>
        <v>0</v>
      </c>
      <c r="E94" s="7">
        <f>IF(B94="","",IF(C94=0,"Différé",IF(B94&lt;0,"Critique",IF(D94&lt;$B$67,"Critique",IF(D94&lt;$C$67,"Vigilance",IF(D94&lt;$D$67,"Favorable","Très favorable"))))))</f>
        <v>0</v>
      </c>
      <c r="F94" s="39"/>
      <c r="G94" s="19">
        <f>IF(OR(B94="",C94="",C94=0),"",IF(F94&lt;&gt;"",F94,B94*(1-$B$70))/C94)</f>
        <v>0</v>
      </c>
      <c r="H94" s="19"/>
    </row>
    <row r="95" spans="1:8">
      <c r="A95" s="41"/>
      <c r="B95" s="39"/>
      <c r="C95" s="45"/>
      <c r="D95" s="19">
        <f>IF(OR(B95="",C95=""),"",IF(C95=0,"",B95/C95))</f>
        <v>0</v>
      </c>
      <c r="E95" s="7">
        <f>IF(B95="","",IF(C95=0,"Différé",IF(B95&lt;0,"Critique",IF(D95&lt;$B$67,"Critique",IF(D95&lt;$C$67,"Vigilance",IF(D95&lt;$D$67,"Favorable","Très favorable"))))))</f>
        <v>0</v>
      </c>
      <c r="F95" s="39"/>
      <c r="G95" s="19">
        <f>IF(OR(B95="",C95="",C95=0),"",IF(F95&lt;&gt;"",F95,B95*(1-$B$70))/C95)</f>
        <v>0</v>
      </c>
      <c r="H95" s="19">
        <f>IF(AND($B$18="Semestrielle",B95&lt;&gt;"",B94&lt;&gt;"",N(C95)+N(C94)&gt;0),(B95+B94)/(C95+C94),"")</f>
        <v>0</v>
      </c>
    </row>
    <row r="96" spans="1:8">
      <c r="A96" s="41"/>
      <c r="B96" s="39"/>
      <c r="C96" s="45"/>
      <c r="D96" s="19">
        <f>IF(OR(B96="",C96=""),"",IF(C96=0,"",B96/C96))</f>
        <v>0</v>
      </c>
      <c r="E96" s="7">
        <f>IF(B96="","",IF(C96=0,"Différé",IF(B96&lt;0,"Critique",IF(D96&lt;$B$67,"Critique",IF(D96&lt;$C$67,"Vigilance",IF(D96&lt;$D$67,"Favorable","Très favorable"))))))</f>
        <v>0</v>
      </c>
      <c r="F96" s="39"/>
      <c r="G96" s="19">
        <f>IF(OR(B96="",C96="",C96=0),"",IF(F96&lt;&gt;"",F96,B96*(1-$B$70))/C96)</f>
        <v>0</v>
      </c>
      <c r="H96" s="19"/>
    </row>
    <row r="97" spans="1:8">
      <c r="A97" s="41"/>
      <c r="B97" s="39"/>
      <c r="C97" s="45"/>
      <c r="D97" s="19">
        <f>IF(OR(B97="",C97=""),"",IF(C97=0,"",B97/C97))</f>
        <v>0</v>
      </c>
      <c r="E97" s="7">
        <f>IF(B97="","",IF(C97=0,"Différé",IF(B97&lt;0,"Critique",IF(D97&lt;$B$67,"Critique",IF(D97&lt;$C$67,"Vigilance",IF(D97&lt;$D$67,"Favorable","Très favorable"))))))</f>
        <v>0</v>
      </c>
      <c r="F97" s="39"/>
      <c r="G97" s="19">
        <f>IF(OR(B97="",C97="",C97=0),"",IF(F97&lt;&gt;"",F97,B97*(1-$B$70))/C97)</f>
        <v>0</v>
      </c>
      <c r="H97" s="19">
        <f>IF(AND($B$18="Semestrielle",B97&lt;&gt;"",B96&lt;&gt;"",N(C97)+N(C96)&gt;0),(B97+B96)/(C97+C96),"")</f>
        <v>0</v>
      </c>
    </row>
    <row r="98" spans="1:8">
      <c r="A98" s="41"/>
      <c r="B98" s="39"/>
      <c r="C98" s="45"/>
      <c r="D98" s="19">
        <f>IF(OR(B98="",C98=""),"",IF(C98=0,"",B98/C98))</f>
        <v>0</v>
      </c>
      <c r="E98" s="7">
        <f>IF(B98="","",IF(C98=0,"Différé",IF(B98&lt;0,"Critique",IF(D98&lt;$B$67,"Critique",IF(D98&lt;$C$67,"Vigilance",IF(D98&lt;$D$67,"Favorable","Très favorable"))))))</f>
        <v>0</v>
      </c>
      <c r="F98" s="39"/>
      <c r="G98" s="19">
        <f>IF(OR(B98="",C98="",C98=0),"",IF(F98&lt;&gt;"",F98,B98*(1-$B$70))/C98)</f>
        <v>0</v>
      </c>
      <c r="H98" s="19"/>
    </row>
    <row r="99" spans="1:8">
      <c r="A99" s="41"/>
      <c r="B99" s="39"/>
      <c r="C99" s="45"/>
      <c r="D99" s="19">
        <f>IF(OR(B99="",C99=""),"",IF(C99=0,"",B99/C99))</f>
        <v>0</v>
      </c>
      <c r="E99" s="7">
        <f>IF(B99="","",IF(C99=0,"Différé",IF(B99&lt;0,"Critique",IF(D99&lt;$B$67,"Critique",IF(D99&lt;$C$67,"Vigilance",IF(D99&lt;$D$67,"Favorable","Très favorable"))))))</f>
        <v>0</v>
      </c>
      <c r="F99" s="39"/>
      <c r="G99" s="19">
        <f>IF(OR(B99="",C99="",C99=0),"",IF(F99&lt;&gt;"",F99,B99*(1-$B$70))/C99)</f>
        <v>0</v>
      </c>
      <c r="H99" s="19">
        <f>IF(AND($B$18="Semestrielle",B99&lt;&gt;"",B98&lt;&gt;"",N(C99)+N(C98)&gt;0),(B99+B98)/(C99+C98),"")</f>
        <v>0</v>
      </c>
    </row>
    <row r="100" spans="1:8">
      <c r="A100" s="41"/>
      <c r="B100" s="39"/>
      <c r="C100" s="45"/>
      <c r="D100" s="19">
        <f>IF(OR(B100="",C100=""),"",IF(C100=0,"",B100/C100))</f>
        <v>0</v>
      </c>
      <c r="E100" s="7">
        <f>IF(B100="","",IF(C100=0,"Différé",IF(B100&lt;0,"Critique",IF(D100&lt;$B$67,"Critique",IF(D100&lt;$C$67,"Vigilance",IF(D100&lt;$D$67,"Favorable","Très favorable"))))))</f>
        <v>0</v>
      </c>
      <c r="F100" s="39"/>
      <c r="G100" s="19">
        <f>IF(OR(B100="",C100="",C100=0),"",IF(F100&lt;&gt;"",F100,B100*(1-$B$70))/C100)</f>
        <v>0</v>
      </c>
      <c r="H100" s="19"/>
    </row>
    <row r="101" spans="1:8">
      <c r="A101" s="41"/>
      <c r="B101" s="39"/>
      <c r="C101" s="45"/>
      <c r="D101" s="19">
        <f>IF(OR(B101="",C101=""),"",IF(C101=0,"",B101/C101))</f>
        <v>0</v>
      </c>
      <c r="E101" s="7">
        <f>IF(B101="","",IF(C101=0,"Différé",IF(B101&lt;0,"Critique",IF(D101&lt;$B$67,"Critique",IF(D101&lt;$C$67,"Vigilance",IF(D101&lt;$D$67,"Favorable","Très favorable"))))))</f>
        <v>0</v>
      </c>
      <c r="F101" s="39"/>
      <c r="G101" s="19">
        <f>IF(OR(B101="",C101="",C101=0),"",IF(F101&lt;&gt;"",F101,B101*(1-$B$70))/C101)</f>
        <v>0</v>
      </c>
      <c r="H101" s="19">
        <f>IF(AND($B$18="Semestrielle",B101&lt;&gt;"",B100&lt;&gt;"",N(C101)+N(C100)&gt;0),(B101+B100)/(C101+C100),"")</f>
        <v>0</v>
      </c>
    </row>
    <row r="102" spans="1:8">
      <c r="A102" s="41"/>
      <c r="B102" s="39"/>
      <c r="C102" s="45"/>
      <c r="D102" s="19">
        <f>IF(OR(B102="",C102=""),"",IF(C102=0,"",B102/C102))</f>
        <v>0</v>
      </c>
      <c r="E102" s="7">
        <f>IF(B102="","",IF(C102=0,"Différé",IF(B102&lt;0,"Critique",IF(D102&lt;$B$67,"Critique",IF(D102&lt;$C$67,"Vigilance",IF(D102&lt;$D$67,"Favorable","Très favorable"))))))</f>
        <v>0</v>
      </c>
      <c r="F102" s="39"/>
      <c r="G102" s="19">
        <f>IF(OR(B102="",C102="",C102=0),"",IF(F102&lt;&gt;"",F102,B102*(1-$B$70))/C102)</f>
        <v>0</v>
      </c>
      <c r="H102" s="19"/>
    </row>
    <row r="103" spans="1:8">
      <c r="A103" s="41"/>
      <c r="B103" s="39"/>
      <c r="C103" s="45"/>
      <c r="D103" s="19">
        <f>IF(OR(B103="",C103=""),"",IF(C103=0,"",B103/C103))</f>
        <v>0</v>
      </c>
      <c r="E103" s="7">
        <f>IF(B103="","",IF(C103=0,"Différé",IF(B103&lt;0,"Critique",IF(D103&lt;$B$67,"Critique",IF(D103&lt;$C$67,"Vigilance",IF(D103&lt;$D$67,"Favorable","Très favorable"))))))</f>
        <v>0</v>
      </c>
      <c r="F103" s="39"/>
      <c r="G103" s="19">
        <f>IF(OR(B103="",C103="",C103=0),"",IF(F103&lt;&gt;"",F103,B103*(1-$B$70))/C103)</f>
        <v>0</v>
      </c>
      <c r="H103" s="19">
        <f>IF(AND($B$18="Semestrielle",B103&lt;&gt;"",B102&lt;&gt;"",N(C103)+N(C102)&gt;0),(B103+B102)/(C103+C102),"")</f>
        <v>0</v>
      </c>
    </row>
    <row r="104" spans="1:8">
      <c r="A104" s="41"/>
      <c r="B104" s="39"/>
      <c r="C104" s="45"/>
      <c r="D104" s="19">
        <f>IF(OR(B104="",C104=""),"",IF(C104=0,"",B104/C104))</f>
        <v>0</v>
      </c>
      <c r="E104" s="7">
        <f>IF(B104="","",IF(C104=0,"Différé",IF(B104&lt;0,"Critique",IF(D104&lt;$B$67,"Critique",IF(D104&lt;$C$67,"Vigilance",IF(D104&lt;$D$67,"Favorable","Très favorable"))))))</f>
        <v>0</v>
      </c>
      <c r="F104" s="39"/>
      <c r="G104" s="19">
        <f>IF(OR(B104="",C104="",C104=0),"",IF(F104&lt;&gt;"",F104,B104*(1-$B$70))/C104)</f>
        <v>0</v>
      </c>
      <c r="H104" s="19"/>
    </row>
    <row r="105" spans="1:8">
      <c r="A105" s="41"/>
      <c r="B105" s="39"/>
      <c r="C105" s="45"/>
      <c r="D105" s="19">
        <f>IF(OR(B105="",C105=""),"",IF(C105=0,"",B105/C105))</f>
        <v>0</v>
      </c>
      <c r="E105" s="7">
        <f>IF(B105="","",IF(C105=0,"Différé",IF(B105&lt;0,"Critique",IF(D105&lt;$B$67,"Critique",IF(D105&lt;$C$67,"Vigilance",IF(D105&lt;$D$67,"Favorable","Très favorable"))))))</f>
        <v>0</v>
      </c>
      <c r="F105" s="39"/>
      <c r="G105" s="19">
        <f>IF(OR(B105="",C105="",C105=0),"",IF(F105&lt;&gt;"",F105,B105*(1-$B$70))/C105)</f>
        <v>0</v>
      </c>
      <c r="H105" s="19">
        <f>IF(AND($B$18="Semestrielle",B105&lt;&gt;"",B104&lt;&gt;"",N(C105)+N(C104)&gt;0),(B105+B104)/(C105+C104),"")</f>
        <v>0</v>
      </c>
    </row>
    <row r="106" spans="1:8">
      <c r="A106" s="41"/>
      <c r="B106" s="39"/>
      <c r="C106" s="45"/>
      <c r="D106" s="19">
        <f>IF(OR(B106="",C106=""),"",IF(C106=0,"",B106/C106))</f>
        <v>0</v>
      </c>
      <c r="E106" s="7">
        <f>IF(B106="","",IF(C106=0,"Différé",IF(B106&lt;0,"Critique",IF(D106&lt;$B$67,"Critique",IF(D106&lt;$C$67,"Vigilance",IF(D106&lt;$D$67,"Favorable","Très favorable"))))))</f>
        <v>0</v>
      </c>
      <c r="F106" s="39"/>
      <c r="G106" s="19">
        <f>IF(OR(B106="",C106="",C106=0),"",IF(F106&lt;&gt;"",F106,B106*(1-$B$70))/C106)</f>
        <v>0</v>
      </c>
      <c r="H106" s="19"/>
    </row>
    <row r="107" spans="1:8">
      <c r="A107" s="41"/>
      <c r="B107" s="39"/>
      <c r="C107" s="45"/>
      <c r="D107" s="19">
        <f>IF(OR(B107="",C107=""),"",IF(C107=0,"",B107/C107))</f>
        <v>0</v>
      </c>
      <c r="E107" s="7">
        <f>IF(B107="","",IF(C107=0,"Différé",IF(B107&lt;0,"Critique",IF(D107&lt;$B$67,"Critique",IF(D107&lt;$C$67,"Vigilance",IF(D107&lt;$D$67,"Favorable","Très favorable"))))))</f>
        <v>0</v>
      </c>
      <c r="F107" s="39"/>
      <c r="G107" s="19">
        <f>IF(OR(B107="",C107="",C107=0),"",IF(F107&lt;&gt;"",F107,B107*(1-$B$70))/C107)</f>
        <v>0</v>
      </c>
      <c r="H107" s="19">
        <f>IF(AND($B$18="Semestrielle",B107&lt;&gt;"",B106&lt;&gt;"",N(C107)+N(C106)&gt;0),(B107+B106)/(C107+C106),"")</f>
        <v>0</v>
      </c>
    </row>
    <row r="108" spans="1:8">
      <c r="A108" s="41"/>
      <c r="B108" s="39"/>
      <c r="C108" s="45"/>
      <c r="D108" s="19">
        <f>IF(OR(B108="",C108=""),"",IF(C108=0,"",B108/C108))</f>
        <v>0</v>
      </c>
      <c r="E108" s="7">
        <f>IF(B108="","",IF(C108=0,"Différé",IF(B108&lt;0,"Critique",IF(D108&lt;$B$67,"Critique",IF(D108&lt;$C$67,"Vigilance",IF(D108&lt;$D$67,"Favorable","Très favorable"))))))</f>
        <v>0</v>
      </c>
      <c r="F108" s="39"/>
      <c r="G108" s="19">
        <f>IF(OR(B108="",C108="",C108=0),"",IF(F108&lt;&gt;"",F108,B108*(1-$B$70))/C108)</f>
        <v>0</v>
      </c>
      <c r="H108" s="19"/>
    </row>
    <row r="109" spans="1:8">
      <c r="A109" s="41"/>
      <c r="B109" s="39"/>
      <c r="C109" s="45"/>
      <c r="D109" s="19">
        <f>IF(OR(B109="",C109=""),"",IF(C109=0,"",B109/C109))</f>
        <v>0</v>
      </c>
      <c r="E109" s="7">
        <f>IF(B109="","",IF(C109=0,"Différé",IF(B109&lt;0,"Critique",IF(D109&lt;$B$67,"Critique",IF(D109&lt;$C$67,"Vigilance",IF(D109&lt;$D$67,"Favorable","Très favorable"))))))</f>
        <v>0</v>
      </c>
      <c r="F109" s="39"/>
      <c r="G109" s="19">
        <f>IF(OR(B109="",C109="",C109=0),"",IF(F109&lt;&gt;"",F109,B109*(1-$B$70))/C109)</f>
        <v>0</v>
      </c>
      <c r="H109" s="19">
        <f>IF(AND($B$18="Semestrielle",B109&lt;&gt;"",B108&lt;&gt;"",N(C109)+N(C108)&gt;0),(B109+B108)/(C109+C108),"")</f>
        <v>0</v>
      </c>
    </row>
    <row r="110" spans="1:8">
      <c r="A110" s="41"/>
      <c r="B110" s="39"/>
      <c r="C110" s="45"/>
      <c r="D110" s="19">
        <f>IF(OR(B110="",C110=""),"",IF(C110=0,"",B110/C110))</f>
        <v>0</v>
      </c>
      <c r="E110" s="7">
        <f>IF(B110="","",IF(C110=0,"Différé",IF(B110&lt;0,"Critique",IF(D110&lt;$B$67,"Critique",IF(D110&lt;$C$67,"Vigilance",IF(D110&lt;$D$67,"Favorable","Très favorable"))))))</f>
        <v>0</v>
      </c>
      <c r="F110" s="39"/>
      <c r="G110" s="19">
        <f>IF(OR(B110="",C110="",C110=0),"",IF(F110&lt;&gt;"",F110,B110*(1-$B$70))/C110)</f>
        <v>0</v>
      </c>
      <c r="H110" s="19"/>
    </row>
    <row r="111" spans="1:8">
      <c r="A111" s="41"/>
      <c r="B111" s="39"/>
      <c r="C111" s="45"/>
      <c r="D111" s="19">
        <f>IF(OR(B111="",C111=""),"",IF(C111=0,"",B111/C111))</f>
        <v>0</v>
      </c>
      <c r="E111" s="7">
        <f>IF(B111="","",IF(C111=0,"Différé",IF(B111&lt;0,"Critique",IF(D111&lt;$B$67,"Critique",IF(D111&lt;$C$67,"Vigilance",IF(D111&lt;$D$67,"Favorable","Très favorable"))))))</f>
        <v>0</v>
      </c>
      <c r="F111" s="39"/>
      <c r="G111" s="19">
        <f>IF(OR(B111="",C111="",C111=0),"",IF(F111&lt;&gt;"",F111,B111*(1-$B$70))/C111)</f>
        <v>0</v>
      </c>
      <c r="H111" s="19">
        <f>IF(AND($B$18="Semestrielle",B111&lt;&gt;"",B110&lt;&gt;"",N(C111)+N(C110)&gt;0),(B111+B110)/(C111+C110),"")</f>
        <v>0</v>
      </c>
    </row>
    <row r="112" spans="1:8">
      <c r="A112" s="41"/>
      <c r="B112" s="39"/>
      <c r="C112" s="45"/>
      <c r="D112" s="19">
        <f>IF(OR(B112="",C112=""),"",IF(C112=0,"",B112/C112))</f>
        <v>0</v>
      </c>
      <c r="E112" s="7">
        <f>IF(B112="","",IF(C112=0,"Différé",IF(B112&lt;0,"Critique",IF(D112&lt;$B$67,"Critique",IF(D112&lt;$C$67,"Vigilance",IF(D112&lt;$D$67,"Favorable","Très favorable"))))))</f>
        <v>0</v>
      </c>
      <c r="F112" s="39"/>
      <c r="G112" s="19">
        <f>IF(OR(B112="",C112="",C112=0),"",IF(F112&lt;&gt;"",F112,B112*(1-$B$70))/C112)</f>
        <v>0</v>
      </c>
      <c r="H112" s="19"/>
    </row>
    <row r="113" spans="1:8">
      <c r="A113" s="41"/>
      <c r="B113" s="39"/>
      <c r="C113" s="45"/>
      <c r="D113" s="19">
        <f>IF(OR(B113="",C113=""),"",IF(C113=0,"",B113/C113))</f>
        <v>0</v>
      </c>
      <c r="E113" s="7">
        <f>IF(B113="","",IF(C113=0,"Différé",IF(B113&lt;0,"Critique",IF(D113&lt;$B$67,"Critique",IF(D113&lt;$C$67,"Vigilance",IF(D113&lt;$D$67,"Favorable","Très favorable"))))))</f>
        <v>0</v>
      </c>
      <c r="F113" s="39"/>
      <c r="G113" s="19">
        <f>IF(OR(B113="",C113="",C113=0),"",IF(F113&lt;&gt;"",F113,B113*(1-$B$70))/C113)</f>
        <v>0</v>
      </c>
      <c r="H113" s="19">
        <f>IF(AND($B$18="Semestrielle",B113&lt;&gt;"",B112&lt;&gt;"",N(C113)+N(C112)&gt;0),(B113+B112)/(C113+C112),"")</f>
        <v>0</v>
      </c>
    </row>
    <row r="114" spans="1:8">
      <c r="A114" s="41"/>
      <c r="B114" s="39"/>
      <c r="C114" s="45"/>
      <c r="D114" s="19">
        <f>IF(OR(B114="",C114=""),"",IF(C114=0,"",B114/C114))</f>
        <v>0</v>
      </c>
      <c r="E114" s="7">
        <f>IF(B114="","",IF(C114=0,"Différé",IF(B114&lt;0,"Critique",IF(D114&lt;$B$67,"Critique",IF(D114&lt;$C$67,"Vigilance",IF(D114&lt;$D$67,"Favorable","Très favorable"))))))</f>
        <v>0</v>
      </c>
      <c r="F114" s="39"/>
      <c r="G114" s="19">
        <f>IF(OR(B114="",C114="",C114=0),"",IF(F114&lt;&gt;"",F114,B114*(1-$B$70))/C114)</f>
        <v>0</v>
      </c>
      <c r="H114" s="19"/>
    </row>
    <row r="115" spans="1:8">
      <c r="A115" s="41"/>
      <c r="B115" s="39"/>
      <c r="C115" s="45"/>
      <c r="D115" s="19">
        <f>IF(OR(B115="",C115=""),"",IF(C115=0,"",B115/C115))</f>
        <v>0</v>
      </c>
      <c r="E115" s="7">
        <f>IF(B115="","",IF(C115=0,"Différé",IF(B115&lt;0,"Critique",IF(D115&lt;$B$67,"Critique",IF(D115&lt;$C$67,"Vigilance",IF(D115&lt;$D$67,"Favorable","Très favorable"))))))</f>
        <v>0</v>
      </c>
      <c r="F115" s="39"/>
      <c r="G115" s="19">
        <f>IF(OR(B115="",C115="",C115=0),"",IF(F115&lt;&gt;"",F115,B115*(1-$B$70))/C115)</f>
        <v>0</v>
      </c>
      <c r="H115" s="19">
        <f>IF(AND($B$18="Semestrielle",B115&lt;&gt;"",B114&lt;&gt;"",N(C115)+N(C114)&gt;0),(B115+B114)/(C115+C114),"")</f>
        <v>0</v>
      </c>
    </row>
    <row r="116" spans="1:8">
      <c r="A116" s="41"/>
      <c r="B116" s="39"/>
      <c r="C116" s="45"/>
      <c r="D116" s="19">
        <f>IF(OR(B116="",C116=""),"",IF(C116=0,"",B116/C116))</f>
        <v>0</v>
      </c>
      <c r="E116" s="7">
        <f>IF(B116="","",IF(C116=0,"Différé",IF(B116&lt;0,"Critique",IF(D116&lt;$B$67,"Critique",IF(D116&lt;$C$67,"Vigilance",IF(D116&lt;$D$67,"Favorable","Très favorable"))))))</f>
        <v>0</v>
      </c>
      <c r="F116" s="39"/>
      <c r="G116" s="19">
        <f>IF(OR(B116="",C116="",C116=0),"",IF(F116&lt;&gt;"",F116,B116*(1-$B$70))/C116)</f>
        <v>0</v>
      </c>
      <c r="H116" s="19"/>
    </row>
    <row r="117" spans="1:8">
      <c r="A117" s="41"/>
      <c r="B117" s="39"/>
      <c r="C117" s="45"/>
      <c r="D117" s="19">
        <f>IF(OR(B117="",C117=""),"",IF(C117=0,"",B117/C117))</f>
        <v>0</v>
      </c>
      <c r="E117" s="7">
        <f>IF(B117="","",IF(C117=0,"Différé",IF(B117&lt;0,"Critique",IF(D117&lt;$B$67,"Critique",IF(D117&lt;$C$67,"Vigilance",IF(D117&lt;$D$67,"Favorable","Très favorable"))))))</f>
        <v>0</v>
      </c>
      <c r="F117" s="39"/>
      <c r="G117" s="19">
        <f>IF(OR(B117="",C117="",C117=0),"",IF(F117&lt;&gt;"",F117,B117*(1-$B$70))/C117)</f>
        <v>0</v>
      </c>
      <c r="H117" s="19">
        <f>IF(AND($B$18="Semestrielle",B117&lt;&gt;"",B116&lt;&gt;"",N(C117)+N(C116)&gt;0),(B117+B116)/(C117+C116),"")</f>
        <v>0</v>
      </c>
    </row>
    <row r="118" spans="1:8">
      <c r="A118" s="41"/>
      <c r="B118" s="39"/>
      <c r="C118" s="45"/>
      <c r="D118" s="19">
        <f>IF(OR(B118="",C118=""),"",IF(C118=0,"",B118/C118))</f>
        <v>0</v>
      </c>
      <c r="E118" s="7">
        <f>IF(B118="","",IF(C118=0,"Différé",IF(B118&lt;0,"Critique",IF(D118&lt;$B$67,"Critique",IF(D118&lt;$C$67,"Vigilance",IF(D118&lt;$D$67,"Favorable","Très favorable"))))))</f>
        <v>0</v>
      </c>
      <c r="F118" s="39"/>
      <c r="G118" s="19">
        <f>IF(OR(B118="",C118="",C118=0),"",IF(F118&lt;&gt;"",F118,B118*(1-$B$70))/C118)</f>
        <v>0</v>
      </c>
      <c r="H118" s="19"/>
    </row>
    <row r="119" spans="1:8">
      <c r="A119" s="41"/>
      <c r="B119" s="39"/>
      <c r="C119" s="45"/>
      <c r="D119" s="19">
        <f>IF(OR(B119="",C119=""),"",IF(C119=0,"",B119/C119))</f>
        <v>0</v>
      </c>
      <c r="E119" s="7">
        <f>IF(B119="","",IF(C119=0,"Différé",IF(B119&lt;0,"Critique",IF(D119&lt;$B$67,"Critique",IF(D119&lt;$C$67,"Vigilance",IF(D119&lt;$D$67,"Favorable","Très favorable"))))))</f>
        <v>0</v>
      </c>
      <c r="F119" s="39"/>
      <c r="G119" s="19">
        <f>IF(OR(B119="",C119="",C119=0),"",IF(F119&lt;&gt;"",F119,B119*(1-$B$70))/C119)</f>
        <v>0</v>
      </c>
      <c r="H119" s="19">
        <f>IF(AND($B$18="Semestrielle",B119&lt;&gt;"",B118&lt;&gt;"",N(C119)+N(C118)&gt;0),(B119+B118)/(C119+C118),"")</f>
        <v>0</v>
      </c>
    </row>
    <row r="120" spans="1:8">
      <c r="A120" s="41"/>
      <c r="B120" s="39"/>
      <c r="C120" s="45"/>
      <c r="D120" s="19">
        <f>IF(OR(B120="",C120=""),"",IF(C120=0,"",B120/C120))</f>
        <v>0</v>
      </c>
      <c r="E120" s="7">
        <f>IF(B120="","",IF(C120=0,"Différé",IF(B120&lt;0,"Critique",IF(D120&lt;$B$67,"Critique",IF(D120&lt;$C$67,"Vigilance",IF(D120&lt;$D$67,"Favorable","Très favorable"))))))</f>
        <v>0</v>
      </c>
      <c r="F120" s="39"/>
      <c r="G120" s="19">
        <f>IF(OR(B120="",C120="",C120=0),"",IF(F120&lt;&gt;"",F120,B120*(1-$B$70))/C120)</f>
        <v>0</v>
      </c>
      <c r="H120" s="19"/>
    </row>
    <row r="121" spans="1:8">
      <c r="A121" s="41"/>
      <c r="B121" s="39"/>
      <c r="C121" s="45"/>
      <c r="D121" s="19">
        <f>IF(OR(B121="",C121=""),"",IF(C121=0,"",B121/C121))</f>
        <v>0</v>
      </c>
      <c r="E121" s="7">
        <f>IF(B121="","",IF(C121=0,"Différé",IF(B121&lt;0,"Critique",IF(D121&lt;$B$67,"Critique",IF(D121&lt;$C$67,"Vigilance",IF(D121&lt;$D$67,"Favorable","Très favorable"))))))</f>
        <v>0</v>
      </c>
      <c r="F121" s="39"/>
      <c r="G121" s="19">
        <f>IF(OR(B121="",C121="",C121=0),"",IF(F121&lt;&gt;"",F121,B121*(1-$B$70))/C121)</f>
        <v>0</v>
      </c>
      <c r="H121" s="19">
        <f>IF(AND($B$18="Semestrielle",B121&lt;&gt;"",B120&lt;&gt;"",N(C121)+N(C120)&gt;0),(B121+B120)/(C121+C120),"")</f>
        <v>0</v>
      </c>
    </row>
    <row r="122" spans="1:8">
      <c r="A122" s="41"/>
      <c r="B122" s="39"/>
      <c r="C122" s="45"/>
      <c r="D122" s="19">
        <f>IF(OR(B122="",C122=""),"",IF(C122=0,"",B122/C122))</f>
        <v>0</v>
      </c>
      <c r="E122" s="7">
        <f>IF(B122="","",IF(C122=0,"Différé",IF(B122&lt;0,"Critique",IF(D122&lt;$B$67,"Critique",IF(D122&lt;$C$67,"Vigilance",IF(D122&lt;$D$67,"Favorable","Très favorable"))))))</f>
        <v>0</v>
      </c>
      <c r="F122" s="39"/>
      <c r="G122" s="19">
        <f>IF(OR(B122="",C122="",C122=0),"",IF(F122&lt;&gt;"",F122,B122*(1-$B$70))/C122)</f>
        <v>0</v>
      </c>
      <c r="H122" s="19"/>
    </row>
    <row r="123" spans="1:8">
      <c r="A123" s="41"/>
      <c r="B123" s="39"/>
      <c r="C123" s="45"/>
      <c r="D123" s="19">
        <f>IF(OR(B123="",C123=""),"",IF(C123=0,"",B123/C123))</f>
        <v>0</v>
      </c>
      <c r="E123" s="7">
        <f>IF(B123="","",IF(C123=0,"Différé",IF(B123&lt;0,"Critique",IF(D123&lt;$B$67,"Critique",IF(D123&lt;$C$67,"Vigilance",IF(D123&lt;$D$67,"Favorable","Très favorable"))))))</f>
        <v>0</v>
      </c>
      <c r="F123" s="39"/>
      <c r="G123" s="19">
        <f>IF(OR(B123="",C123="",C123=0),"",IF(F123&lt;&gt;"",F123,B123*(1-$B$70))/C123)</f>
        <v>0</v>
      </c>
      <c r="H123" s="19">
        <f>IF(AND($B$18="Semestrielle",B123&lt;&gt;"",B122&lt;&gt;"",N(C123)+N(C122)&gt;0),(B123+B122)/(C123+C122),"")</f>
        <v>0</v>
      </c>
    </row>
    <row r="124" spans="1:8">
      <c r="A124" s="41"/>
      <c r="B124" s="39"/>
      <c r="C124" s="45"/>
      <c r="D124" s="19">
        <f>IF(OR(B124="",C124=""),"",IF(C124=0,"",B124/C124))</f>
        <v>0</v>
      </c>
      <c r="E124" s="7">
        <f>IF(B124="","",IF(C124=0,"Différé",IF(B124&lt;0,"Critique",IF(D124&lt;$B$67,"Critique",IF(D124&lt;$C$67,"Vigilance",IF(D124&lt;$D$67,"Favorable","Très favorable"))))))</f>
        <v>0</v>
      </c>
      <c r="F124" s="39"/>
      <c r="G124" s="19">
        <f>IF(OR(B124="",C124="",C124=0),"",IF(F124&lt;&gt;"",F124,B124*(1-$B$70))/C124)</f>
        <v>0</v>
      </c>
      <c r="H124" s="19"/>
    </row>
    <row r="125" spans="1:8">
      <c r="A125" s="41"/>
      <c r="B125" s="39"/>
      <c r="C125" s="45"/>
      <c r="D125" s="19">
        <f>IF(OR(B125="",C125=""),"",IF(C125=0,"",B125/C125))</f>
        <v>0</v>
      </c>
      <c r="E125" s="7">
        <f>IF(B125="","",IF(C125=0,"Différé",IF(B125&lt;0,"Critique",IF(D125&lt;$B$67,"Critique",IF(D125&lt;$C$67,"Vigilance",IF(D125&lt;$D$67,"Favorable","Très favorable"))))))</f>
        <v>0</v>
      </c>
      <c r="F125" s="39"/>
      <c r="G125" s="19">
        <f>IF(OR(B125="",C125="",C125=0),"",IF(F125&lt;&gt;"",F125,B125*(1-$B$70))/C125)</f>
        <v>0</v>
      </c>
      <c r="H125" s="19">
        <f>IF(AND($B$18="Semestrielle",B125&lt;&gt;"",B124&lt;&gt;"",N(C125)+N(C124)&gt;0),(B125+B124)/(C125+C124),"")</f>
        <v>0</v>
      </c>
    </row>
    <row r="126" spans="1:8">
      <c r="A126" s="41"/>
      <c r="B126" s="39"/>
      <c r="C126" s="45"/>
      <c r="D126" s="19">
        <f>IF(OR(B126="",C126=""),"",IF(C126=0,"",B126/C126))</f>
        <v>0</v>
      </c>
      <c r="E126" s="7">
        <f>IF(B126="","",IF(C126=0,"Différé",IF(B126&lt;0,"Critique",IF(D126&lt;$B$67,"Critique",IF(D126&lt;$C$67,"Vigilance",IF(D126&lt;$D$67,"Favorable","Très favorable"))))))</f>
        <v>0</v>
      </c>
      <c r="F126" s="39"/>
      <c r="G126" s="19">
        <f>IF(OR(B126="",C126="",C126=0),"",IF(F126&lt;&gt;"",F126,B126*(1-$B$70))/C126)</f>
        <v>0</v>
      </c>
      <c r="H126" s="19"/>
    </row>
    <row r="127" spans="1:8">
      <c r="A127" s="41"/>
      <c r="B127" s="39"/>
      <c r="C127" s="45"/>
      <c r="D127" s="19">
        <f>IF(OR(B127="",C127=""),"",IF(C127=0,"",B127/C127))</f>
        <v>0</v>
      </c>
      <c r="E127" s="7">
        <f>IF(B127="","",IF(C127=0,"Différé",IF(B127&lt;0,"Critique",IF(D127&lt;$B$67,"Critique",IF(D127&lt;$C$67,"Vigilance",IF(D127&lt;$D$67,"Favorable","Très favorable"))))))</f>
        <v>0</v>
      </c>
      <c r="F127" s="39"/>
      <c r="G127" s="19">
        <f>IF(OR(B127="",C127="",C127=0),"",IF(F127&lt;&gt;"",F127,B127*(1-$B$70))/C127)</f>
        <v>0</v>
      </c>
      <c r="H127" s="19">
        <f>IF(AND($B$18="Semestrielle",B127&lt;&gt;"",B126&lt;&gt;"",N(C127)+N(C126)&gt;0),(B127+B126)/(C127+C126),"")</f>
        <v>0</v>
      </c>
    </row>
    <row r="128" spans="1:8">
      <c r="A128" s="41"/>
      <c r="B128" s="39"/>
      <c r="C128" s="45"/>
      <c r="D128" s="19">
        <f>IF(OR(B128="",C128=""),"",IF(C128=0,"",B128/C128))</f>
        <v>0</v>
      </c>
      <c r="E128" s="7">
        <f>IF(B128="","",IF(C128=0,"Différé",IF(B128&lt;0,"Critique",IF(D128&lt;$B$67,"Critique",IF(D128&lt;$C$67,"Vigilance",IF(D128&lt;$D$67,"Favorable","Très favorable"))))))</f>
        <v>0</v>
      </c>
      <c r="F128" s="39"/>
      <c r="G128" s="19">
        <f>IF(OR(B128="",C128="",C128=0),"",IF(F128&lt;&gt;"",F128,B128*(1-$B$70))/C128)</f>
        <v>0</v>
      </c>
      <c r="H128" s="19"/>
    </row>
    <row r="129" spans="1:8">
      <c r="A129" s="41"/>
      <c r="B129" s="39"/>
      <c r="C129" s="45"/>
      <c r="D129" s="19">
        <f>IF(OR(B129="",C129=""),"",IF(C129=0,"",B129/C129))</f>
        <v>0</v>
      </c>
      <c r="E129" s="7">
        <f>IF(B129="","",IF(C129=0,"Différé",IF(B129&lt;0,"Critique",IF(D129&lt;$B$67,"Critique",IF(D129&lt;$C$67,"Vigilance",IF(D129&lt;$D$67,"Favorable","Très favorable"))))))</f>
        <v>0</v>
      </c>
      <c r="F129" s="39"/>
      <c r="G129" s="19">
        <f>IF(OR(B129="",C129="",C129=0),"",IF(F129&lt;&gt;"",F129,B129*(1-$B$70))/C129)</f>
        <v>0</v>
      </c>
      <c r="H129" s="19">
        <f>IF(AND($B$18="Semestrielle",B129&lt;&gt;"",B128&lt;&gt;"",N(C129)+N(C128)&gt;0),(B129+B128)/(C129+C128),"")</f>
        <v>0</v>
      </c>
    </row>
    <row r="130" spans="1:8">
      <c r="A130" s="41"/>
      <c r="B130" s="39"/>
      <c r="C130" s="45"/>
      <c r="D130" s="19">
        <f>IF(OR(B130="",C130=""),"",IF(C130=0,"",B130/C130))</f>
        <v>0</v>
      </c>
      <c r="E130" s="7">
        <f>IF(B130="","",IF(C130=0,"Différé",IF(B130&lt;0,"Critique",IF(D130&lt;$B$67,"Critique",IF(D130&lt;$C$67,"Vigilance",IF(D130&lt;$D$67,"Favorable","Très favorable"))))))</f>
        <v>0</v>
      </c>
      <c r="F130" s="39"/>
      <c r="G130" s="19">
        <f>IF(OR(B130="",C130="",C130=0),"",IF(F130&lt;&gt;"",F130,B130*(1-$B$70))/C130)</f>
        <v>0</v>
      </c>
      <c r="H130" s="19"/>
    </row>
    <row r="131" spans="1:8">
      <c r="A131" s="41"/>
      <c r="B131" s="39"/>
      <c r="C131" s="45"/>
      <c r="D131" s="19">
        <f>IF(OR(B131="",C131=""),"",IF(C131=0,"",B131/C131))</f>
        <v>0</v>
      </c>
      <c r="E131" s="7">
        <f>IF(B131="","",IF(C131=0,"Différé",IF(B131&lt;0,"Critique",IF(D131&lt;$B$67,"Critique",IF(D131&lt;$C$67,"Vigilance",IF(D131&lt;$D$67,"Favorable","Très favorable"))))))</f>
        <v>0</v>
      </c>
      <c r="F131" s="39"/>
      <c r="G131" s="19">
        <f>IF(OR(B131="",C131="",C131=0),"",IF(F131&lt;&gt;"",F131,B131*(1-$B$70))/C131)</f>
        <v>0</v>
      </c>
      <c r="H131" s="19">
        <f>IF(AND($B$18="Semestrielle",B131&lt;&gt;"",B130&lt;&gt;"",N(C131)+N(C130)&gt;0),(B131+B130)/(C131+C130),"")</f>
        <v>0</v>
      </c>
    </row>
    <row r="133" spans="1:8">
      <c r="A133" s="21" t="s">
        <v>381</v>
      </c>
      <c r="D133" s="35">
        <f>IF(COUNT(D72:D131)=0,"",MIN(D72:D131))</f>
        <v>0</v>
      </c>
      <c r="E133" s="7">
        <f>IF(D133="","",IF(F133&gt;0,"Critique",IF(D133&lt;$B$67,"Critique",IF(D133&lt;$C$67,"Vigilance",IF(D133&lt;$D$67,"Favorable","Très favorable")))))</f>
        <v>0</v>
      </c>
      <c r="F133" s="31">
        <f>COUNTIF(B72:B131,"&lt;0")</f>
        <v>0</v>
      </c>
    </row>
    <row r="134" spans="1:8">
      <c r="A134" s="21" t="s">
        <v>382</v>
      </c>
      <c r="D134" s="35">
        <f>IF(COUNT(G72:G131)=0,"",MIN(G72:G131))</f>
        <v>0</v>
      </c>
      <c r="E134" s="7">
        <f>IF(D134="","",IF(D134&lt;$B$67,"Critique",IF(D134&lt;$C$67,"Vigilance",IF(D134&lt;$D$67,"Favorable","Très favorable"))))</f>
        <v>0</v>
      </c>
    </row>
    <row r="135" spans="1:8">
      <c r="A135" s="17" t="s">
        <v>383</v>
      </c>
      <c r="D135" s="19">
        <f>IF(SUM(C72:C131)=0,"",SUM(B72:B131)/SUM(C72:C131))</f>
        <v>0</v>
      </c>
    </row>
    <row r="136" spans="1:8">
      <c r="A136" s="17" t="s">
        <v>384</v>
      </c>
      <c r="D136" s="19">
        <f>IF(COUNT(H72:H131)=0,"",MIN(H72:H131))</f>
        <v>0</v>
      </c>
    </row>
    <row r="137" spans="1:8">
      <c r="A137" s="17" t="s">
        <v>385</v>
      </c>
      <c r="D137" s="15">
        <f>COUNT(B72:B131)</f>
        <v>0</v>
      </c>
    </row>
    <row r="140" spans="1:8">
      <c r="A140" s="3" t="s">
        <v>386</v>
      </c>
      <c r="B140" s="3"/>
      <c r="C140" s="3"/>
      <c r="D140" s="3"/>
      <c r="E140" s="3"/>
      <c r="F140" s="3"/>
      <c r="G140" s="3"/>
      <c r="H140" s="3"/>
    </row>
    <row r="141" spans="1:8">
      <c r="A141" s="11" t="s">
        <v>76</v>
      </c>
      <c r="B141" s="11" t="s">
        <v>108</v>
      </c>
      <c r="C141" s="11" t="s">
        <v>77</v>
      </c>
      <c r="D141" s="11" t="s">
        <v>387</v>
      </c>
      <c r="E141" s="11" t="s">
        <v>388</v>
      </c>
      <c r="F141" s="11"/>
      <c r="G141" s="11"/>
      <c r="H141" s="11"/>
    </row>
    <row r="142" spans="1:8">
      <c r="A142" s="17" t="s">
        <v>389</v>
      </c>
      <c r="B142" s="7">
        <f>IF($D$133="","",IF($F$133&gt;0,P_Ancre_C,IF($D$133&lt;$B$67,P_Ancre_C,IF($D$133&lt;$C$67,P_Ancre_V,IF($D$133&lt;$D$67,P_Ancre_F,P_Ancre_TF)))))</f>
        <v>0</v>
      </c>
      <c r="C142" s="27">
        <f>INDEX(P_PoidsN,1)</f>
        <v>0</v>
      </c>
      <c r="D142" s="20">
        <f>IF(ISNUMBER(B142),B142,P_InfoInsuff)*C142</f>
        <v>0</v>
      </c>
      <c r="E142" s="13">
        <f>IF($D$133="","",IF($F$133&gt;0,"CFADS négatif sur au moins une période : Critique d'office","DSCR minimum "&amp;FIXED($D$133,3)&amp;" face au seuil critique "&amp;FIXED($B$67,2)&amp;" du couple "&amp;$B$15&amp;" × "&amp;$B$16))</f>
        <v>0</v>
      </c>
      <c r="F142" s="13"/>
      <c r="G142" s="13"/>
      <c r="H142" s="13"/>
    </row>
    <row r="143" spans="1:8">
      <c r="A143" s="17" t="s">
        <v>390</v>
      </c>
      <c r="B143" s="7">
        <f>IF($D$134="","",IF($D$134&lt;$B$67,P_Ancre_C,IF($D$134&lt;$C$67,P_Ancre_V,IF($D$134&lt;$D$67,P_Ancre_F,P_Ancre_TF))))</f>
        <v>0</v>
      </c>
      <c r="C143" s="27">
        <f>INDEX(P_PoidsN,2)</f>
        <v>0</v>
      </c>
      <c r="D143" s="20">
        <f>IF(ISNUMBER(B143),B143,P_InfoInsuff)*C143</f>
        <v>0</v>
      </c>
      <c r="E143" s="13">
        <f>IF($D$134="","","DSCR stressé minimum "&amp;FIXED($D$134,3)&amp;" — "&amp;$C$70)</f>
        <v>0</v>
      </c>
      <c r="F143" s="13"/>
      <c r="G143" s="13"/>
      <c r="H143" s="13"/>
    </row>
    <row r="144" spans="1:8">
      <c r="A144" s="17" t="s">
        <v>391</v>
      </c>
      <c r="B144" s="7">
        <f>IF($B$17="P1",IF($B$48="","",IF($B$48&gt;=P_N3_TF,P_Ancre_TF,IF($B$48&gt;=P_N3_F,P_Ancre_F,IF(AND($B$48&gt;=P_N3_V,$B$50="Oui"),P_Ancre_V,P_Ancre_C)))),IF($B$150="","",$B$150))</f>
        <v>0</v>
      </c>
      <c r="C144" s="27">
        <f>INDEX(P_PoidsN,3)</f>
        <v>0</v>
      </c>
      <c r="D144" s="20">
        <f>IF(ISNUMBER(B144),B144,P_InfoInsuff)*C144</f>
        <v>0</v>
      </c>
      <c r="E144" s="13">
        <f>IF($B$17="P1",IF($B$48="","","Phase P1 : test de financement à terminaison, couverture "&amp;FIXED($B$48*100,1)&amp;" %"),"LLCR "&amp;IF($B$151="","non renseigné",FIXED($B$151,2))&amp;" — note N3 saisie ligne 150")</f>
        <v>0</v>
      </c>
      <c r="F144" s="13"/>
      <c r="G144" s="13"/>
      <c r="H144" s="13"/>
    </row>
    <row r="145" spans="1:8">
      <c r="A145" s="17" t="s">
        <v>392</v>
      </c>
      <c r="B145" s="5">
        <v>50</v>
      </c>
      <c r="C145" s="27">
        <f>INDEX(P_PoidsN,4)</f>
        <v>0</v>
      </c>
      <c r="D145" s="20">
        <f>IF(ISNUMBER(B145),B145,P_InfoInsuff)*C145</f>
        <v>0</v>
      </c>
      <c r="E145" s="44" t="s">
        <v>681</v>
      </c>
      <c r="F145" s="44"/>
      <c r="G145" s="44"/>
      <c r="H145" s="44"/>
    </row>
    <row r="146" spans="1:8">
      <c r="A146" s="17" t="s">
        <v>394</v>
      </c>
      <c r="B146" s="5">
        <v>100</v>
      </c>
      <c r="C146" s="27">
        <f>INDEX(P_PoidsN,5)</f>
        <v>0</v>
      </c>
      <c r="D146" s="20">
        <f>IF(ISNUMBER(B146),B146,P_InfoInsuff)*C146</f>
        <v>0</v>
      </c>
      <c r="E146" s="44" t="s">
        <v>682</v>
      </c>
      <c r="F146" s="44"/>
      <c r="G146" s="44"/>
      <c r="H146" s="44"/>
    </row>
    <row r="147" spans="1:8">
      <c r="A147" s="17" t="s">
        <v>396</v>
      </c>
      <c r="B147" s="5">
        <v>20</v>
      </c>
      <c r="C147" s="27">
        <f>INDEX(P_PoidsN,6)</f>
        <v>0</v>
      </c>
      <c r="D147" s="20">
        <f>IF(ISNUMBER(B147),B147,P_InfoInsuff)*C147</f>
        <v>0</v>
      </c>
      <c r="E147" s="44" t="s">
        <v>683</v>
      </c>
      <c r="F147" s="44"/>
      <c r="G147" s="44"/>
      <c r="H147" s="44"/>
    </row>
    <row r="148" spans="1:8">
      <c r="A148" s="21" t="s">
        <v>398</v>
      </c>
      <c r="D148" s="14">
        <f>SUM(D142:D147)</f>
        <v>0</v>
      </c>
    </row>
    <row r="149" spans="1:8">
      <c r="A149" s="11" t="s">
        <v>399</v>
      </c>
      <c r="B149" s="11"/>
      <c r="C149" s="11"/>
      <c r="D149" s="11"/>
      <c r="E149" s="11"/>
      <c r="F149" s="11"/>
      <c r="G149" s="11"/>
      <c r="H149" s="11"/>
    </row>
    <row r="150" spans="1:8">
      <c r="A150" s="17" t="s">
        <v>400</v>
      </c>
      <c r="B150" s="5">
        <v>80</v>
      </c>
    </row>
    <row r="151" spans="1:8">
      <c r="A151" s="17" t="s">
        <v>401</v>
      </c>
      <c r="B151" s="45">
        <v>1.53</v>
      </c>
    </row>
    <row r="152" spans="1:8">
      <c r="A152" s="17" t="s">
        <v>402</v>
      </c>
      <c r="B152" s="39">
        <v>3</v>
      </c>
    </row>
    <row r="153" spans="1:8">
      <c r="A153" s="17" t="s">
        <v>403</v>
      </c>
      <c r="B153" s="43">
        <v>1.32</v>
      </c>
    </row>
    <row r="154" spans="1:8">
      <c r="A154" s="17" t="s">
        <v>404</v>
      </c>
      <c r="B154" s="43">
        <v>0</v>
      </c>
    </row>
    <row r="155" spans="1:8">
      <c r="A155" s="17" t="s">
        <v>405</v>
      </c>
      <c r="B155" s="5"/>
    </row>
    <row r="156" spans="1:8">
      <c r="A156" s="17" t="s">
        <v>406</v>
      </c>
      <c r="B156" s="43">
        <v>0.4</v>
      </c>
    </row>
    <row r="157" spans="1:8">
      <c r="A157" s="17" t="s">
        <v>407</v>
      </c>
      <c r="B157" s="5" t="s">
        <v>277</v>
      </c>
    </row>
    <row r="158" spans="1:8">
      <c r="A158" s="17" t="s">
        <v>408</v>
      </c>
      <c r="B158" s="39"/>
    </row>
    <row r="159" spans="1:8">
      <c r="A159" s="17" t="s">
        <v>409</v>
      </c>
      <c r="B159" s="39">
        <v>10</v>
      </c>
    </row>
    <row r="160" spans="1:8">
      <c r="A160" s="17" t="s">
        <v>410</v>
      </c>
      <c r="B160" s="5"/>
    </row>
    <row r="161" spans="1:16">
      <c r="A161" s="17" t="s">
        <v>411</v>
      </c>
      <c r="B161" s="5"/>
    </row>
    <row r="162" spans="1:16">
      <c r="A162" s="17" t="s">
        <v>412</v>
      </c>
      <c r="B162" s="5" t="s">
        <v>257</v>
      </c>
    </row>
    <row r="163" spans="1:16">
      <c r="A163" s="17" t="s">
        <v>413</v>
      </c>
      <c r="B163" s="5" t="s">
        <v>257</v>
      </c>
    </row>
    <row r="164" spans="1:16">
      <c r="A164" s="17" t="s">
        <v>414</v>
      </c>
      <c r="B164" s="39"/>
    </row>
    <row r="165" spans="1:16">
      <c r="A165" s="17" t="s">
        <v>415</v>
      </c>
      <c r="B165" s="5" t="s">
        <v>258</v>
      </c>
    </row>
    <row r="167" spans="1:16">
      <c r="A167" s="3" t="s">
        <v>416</v>
      </c>
      <c r="B167" s="3"/>
      <c r="C167" s="3"/>
      <c r="D167" s="3"/>
      <c r="E167" s="3"/>
      <c r="F167" s="3"/>
      <c r="G167" s="3"/>
      <c r="H167" s="3"/>
    </row>
    <row r="168" spans="1:16">
      <c r="A168" s="11" t="s">
        <v>417</v>
      </c>
      <c r="B168" s="11" t="s">
        <v>108</v>
      </c>
      <c r="C168" s="11" t="s">
        <v>77</v>
      </c>
      <c r="D168" s="11" t="s">
        <v>418</v>
      </c>
      <c r="E168" s="11" t="s">
        <v>419</v>
      </c>
      <c r="F168" s="11"/>
      <c r="G168" s="11"/>
      <c r="H168" s="11"/>
    </row>
    <row r="169" spans="1:16">
      <c r="A169" s="21" t="s">
        <v>420</v>
      </c>
      <c r="B169" s="17"/>
      <c r="C169" s="27">
        <f>IFERROR(INDEX(P_PoidsDom,1,MATCH($B$17,P_PoidsHdr,0)),"")</f>
        <v>0</v>
      </c>
      <c r="D169" s="14">
        <f>IF(N(C169)=0,"",SUMPRODUCT(B170:B172,C170:C172)+P_InfoInsuff*SUMPRODUCT((1-ISNUMBER(B170:B172))*C170:C172))</f>
        <v>0</v>
      </c>
      <c r="E169" s="44"/>
      <c r="F169" s="44"/>
      <c r="G169" s="44"/>
      <c r="H169" s="44"/>
      <c r="J169" s="31" t="s">
        <v>422</v>
      </c>
      <c r="K169" s="31">
        <f>IF(N(C169)&gt;0,1,0)</f>
        <v>0</v>
      </c>
      <c r="M169" s="31">
        <f>N(C169)*SUMPRODUCT(ISNUMBER(B170:B172)*C170:C172)</f>
        <v>0</v>
      </c>
    </row>
    <row r="170" spans="1:16">
      <c r="A170" s="17" t="s">
        <v>423</v>
      </c>
      <c r="B170" s="5">
        <v>80</v>
      </c>
      <c r="C170" s="27">
        <f>INDEX(P_SCPoids,MATCH(L170,P_SCCle,0))</f>
        <v>0</v>
      </c>
      <c r="J170" s="31" t="s">
        <v>424</v>
      </c>
      <c r="K170" s="31">
        <f>K169</f>
        <v>0</v>
      </c>
      <c r="L170" s="31" t="s">
        <v>205</v>
      </c>
      <c r="P170" s="31">
        <f>IF(AND(K170=1,B170=""),ROW(),"")</f>
        <v>0</v>
      </c>
    </row>
    <row r="171" spans="1:16">
      <c r="A171" s="17" t="s">
        <v>425</v>
      </c>
      <c r="B171" s="5">
        <v>50</v>
      </c>
      <c r="C171" s="27">
        <f>INDEX(P_SCPoids,MATCH(L171,P_SCCle,0))</f>
        <v>0</v>
      </c>
      <c r="J171" s="31" t="s">
        <v>424</v>
      </c>
      <c r="K171" s="31">
        <f>K169</f>
        <v>0</v>
      </c>
      <c r="L171" s="31" t="s">
        <v>207</v>
      </c>
      <c r="P171" s="31">
        <f>IF(AND(K171=1,B171=""),ROW(),"")</f>
        <v>0</v>
      </c>
    </row>
    <row r="172" spans="1:16">
      <c r="A172" s="17" t="s">
        <v>426</v>
      </c>
      <c r="B172" s="5">
        <v>80</v>
      </c>
      <c r="C172" s="27">
        <f>INDEX(P_SCPoids,MATCH(L172,P_SCCle,0))</f>
        <v>0</v>
      </c>
      <c r="J172" s="31" t="s">
        <v>424</v>
      </c>
      <c r="K172" s="31">
        <f>K169</f>
        <v>0</v>
      </c>
      <c r="L172" s="31" t="s">
        <v>209</v>
      </c>
      <c r="P172" s="31">
        <f>IF(AND(K172=1,B172=""),ROW(),"")</f>
        <v>0</v>
      </c>
    </row>
    <row r="173" spans="1:16">
      <c r="A173" s="21" t="s">
        <v>427</v>
      </c>
      <c r="B173" s="17"/>
      <c r="C173" s="27">
        <f>IFERROR(INDEX(P_PoidsDom,2,MATCH($B$17,P_PoidsHdr,0)),"")</f>
        <v>0</v>
      </c>
      <c r="D173" s="14">
        <f>IF(N(C173)=0,"",SUMPRODUCT(B174:B176,C174:C176)+P_InfoInsuff*SUMPRODUCT((1-ISNUMBER(B174:B176))*C174:C176))</f>
        <v>0</v>
      </c>
      <c r="E173" s="44"/>
      <c r="F173" s="44"/>
      <c r="G173" s="44"/>
      <c r="H173" s="44"/>
      <c r="J173" s="31" t="s">
        <v>422</v>
      </c>
      <c r="K173" s="31">
        <f>IF(N(C173)&gt;0,1,0)</f>
        <v>0</v>
      </c>
      <c r="M173" s="31">
        <f>N(C173)*SUMPRODUCT(ISNUMBER(B174:B176)*C174:C176)</f>
        <v>0</v>
      </c>
    </row>
    <row r="174" spans="1:16">
      <c r="A174" s="17" t="s">
        <v>428</v>
      </c>
      <c r="B174" s="5">
        <v>80</v>
      </c>
      <c r="C174" s="27">
        <f>INDEX(P_SCPoids,MATCH(L174,P_SCCle,0))</f>
        <v>0</v>
      </c>
      <c r="J174" s="31" t="s">
        <v>424</v>
      </c>
      <c r="K174" s="31">
        <f>K173</f>
        <v>0</v>
      </c>
      <c r="L174" s="31" t="s">
        <v>211</v>
      </c>
      <c r="P174" s="31">
        <f>IF(AND(K174=1,B174=""),ROW(),"")</f>
        <v>0</v>
      </c>
    </row>
    <row r="175" spans="1:16">
      <c r="A175" s="17" t="s">
        <v>429</v>
      </c>
      <c r="B175" s="5">
        <v>50</v>
      </c>
      <c r="C175" s="27">
        <f>INDEX(P_SCPoids,MATCH(L175,P_SCCle,0))</f>
        <v>0</v>
      </c>
      <c r="J175" s="31" t="s">
        <v>424</v>
      </c>
      <c r="K175" s="31">
        <f>K173</f>
        <v>0</v>
      </c>
      <c r="L175" s="31" t="s">
        <v>213</v>
      </c>
      <c r="P175" s="31">
        <f>IF(AND(K175=1,B175=""),ROW(),"")</f>
        <v>0</v>
      </c>
    </row>
    <row r="176" spans="1:16">
      <c r="A176" s="17" t="s">
        <v>430</v>
      </c>
      <c r="B176" s="5">
        <v>80</v>
      </c>
      <c r="C176" s="27">
        <f>INDEX(P_SCPoids,MATCH(L176,P_SCCle,0))</f>
        <v>0</v>
      </c>
      <c r="J176" s="31" t="s">
        <v>424</v>
      </c>
      <c r="K176" s="31">
        <f>K173</f>
        <v>0</v>
      </c>
      <c r="L176" s="31" t="s">
        <v>215</v>
      </c>
      <c r="P176" s="31">
        <f>IF(AND(K176=1,B176=""),ROW(),"")</f>
        <v>0</v>
      </c>
    </row>
    <row r="177" spans="1:16">
      <c r="A177" s="21" t="s">
        <v>431</v>
      </c>
      <c r="B177" s="17"/>
      <c r="C177" s="27">
        <f>IFERROR(INDEX(P_PoidsDom,3,MATCH($B$17,P_PoidsHdr,0)),"")</f>
        <v>0</v>
      </c>
      <c r="D177" s="14">
        <f>IF(N(C177)=0,"",SUMPRODUCT(B178:B180,C178:C180)+P_InfoInsuff*SUMPRODUCT((1-ISNUMBER(B178:B180))*C178:C180))</f>
        <v>0</v>
      </c>
      <c r="E177" s="44"/>
      <c r="F177" s="44"/>
      <c r="G177" s="44"/>
      <c r="H177" s="44"/>
      <c r="J177" s="31" t="s">
        <v>422</v>
      </c>
      <c r="K177" s="31">
        <f>IF(N(C177)&gt;0,1,0)</f>
        <v>0</v>
      </c>
      <c r="M177" s="31">
        <f>N(C177)*SUMPRODUCT(ISNUMBER(B178:B180)*C178:C180)</f>
        <v>0</v>
      </c>
    </row>
    <row r="178" spans="1:16">
      <c r="A178" s="17" t="s">
        <v>433</v>
      </c>
      <c r="B178" s="5"/>
      <c r="C178" s="27">
        <f>INDEX(P_SCPoids,MATCH(L178,P_SCCle,0))</f>
        <v>0</v>
      </c>
      <c r="J178" s="31" t="s">
        <v>424</v>
      </c>
      <c r="K178" s="31">
        <f>K177</f>
        <v>0</v>
      </c>
      <c r="L178" s="31" t="s">
        <v>217</v>
      </c>
      <c r="P178" s="31">
        <f>IF(AND(K178=1,B178=""),ROW(),"")</f>
        <v>0</v>
      </c>
    </row>
    <row r="179" spans="1:16">
      <c r="A179" s="17" t="s">
        <v>434</v>
      </c>
      <c r="B179" s="5"/>
      <c r="C179" s="27">
        <f>INDEX(P_SCPoids,MATCH(L179,P_SCCle,0))</f>
        <v>0</v>
      </c>
      <c r="J179" s="31" t="s">
        <v>424</v>
      </c>
      <c r="K179" s="31">
        <f>K177</f>
        <v>0</v>
      </c>
      <c r="L179" s="31" t="s">
        <v>219</v>
      </c>
      <c r="P179" s="31">
        <f>IF(AND(K179=1,B179=""),ROW(),"")</f>
        <v>0</v>
      </c>
    </row>
    <row r="180" spans="1:16">
      <c r="A180" s="17" t="s">
        <v>435</v>
      </c>
      <c r="B180" s="5"/>
      <c r="C180" s="27">
        <f>INDEX(P_SCPoids,MATCH(L180,P_SCCle,0))</f>
        <v>0</v>
      </c>
      <c r="J180" s="31" t="s">
        <v>424</v>
      </c>
      <c r="K180" s="31">
        <f>K177</f>
        <v>0</v>
      </c>
      <c r="L180" s="31" t="s">
        <v>221</v>
      </c>
      <c r="P180" s="31">
        <f>IF(AND(K180=1,B180=""),ROW(),"")</f>
        <v>0</v>
      </c>
    </row>
    <row r="181" spans="1:16" ht="45" customHeight="1">
      <c r="A181" s="21" t="s">
        <v>436</v>
      </c>
      <c r="B181" s="17"/>
      <c r="C181" s="27">
        <f>IFERROR(INDEX(P_PoidsDom,4,MATCH($B$17,P_PoidsHdr,0)),"")</f>
        <v>0</v>
      </c>
      <c r="D181" s="14">
        <f>IF(N(C181)=0,"",SUMPRODUCT(B182:B184,C182:C184)+P_InfoInsuff*SUMPRODUCT((1-ISNUMBER(B182:B184))*C182:C184))</f>
        <v>0</v>
      </c>
      <c r="E181" s="44" t="s">
        <v>684</v>
      </c>
      <c r="F181" s="44"/>
      <c r="G181" s="44"/>
      <c r="H181" s="44"/>
      <c r="J181" s="31" t="s">
        <v>422</v>
      </c>
      <c r="K181" s="31">
        <f>IF(N(C181)&gt;0,1,0)</f>
        <v>0</v>
      </c>
      <c r="M181" s="31">
        <f>N(C181)*SUMPRODUCT(ISNUMBER(B182:B184)*C182:C184)</f>
        <v>0</v>
      </c>
    </row>
    <row r="182" spans="1:16">
      <c r="A182" s="17" t="s">
        <v>438</v>
      </c>
      <c r="B182" s="5">
        <v>50</v>
      </c>
      <c r="C182" s="27">
        <f>INDEX(P_SCPoids,MATCH(L182,P_SCCle,0))</f>
        <v>0</v>
      </c>
      <c r="J182" s="31" t="s">
        <v>424</v>
      </c>
      <c r="K182" s="31">
        <f>K181</f>
        <v>0</v>
      </c>
      <c r="L182" s="31" t="s">
        <v>223</v>
      </c>
      <c r="P182" s="31">
        <f>IF(AND(K182=1,B182=""),ROW(),"")</f>
        <v>0</v>
      </c>
    </row>
    <row r="183" spans="1:16">
      <c r="A183" s="17" t="s">
        <v>439</v>
      </c>
      <c r="B183" s="5">
        <v>50</v>
      </c>
      <c r="C183" s="27">
        <f>INDEX(P_SCPoids,MATCH(L183,P_SCCle,0))</f>
        <v>0</v>
      </c>
      <c r="J183" s="31" t="s">
        <v>424</v>
      </c>
      <c r="K183" s="31">
        <f>K181</f>
        <v>0</v>
      </c>
      <c r="L183" s="31" t="s">
        <v>225</v>
      </c>
      <c r="P183" s="31">
        <f>IF(AND(K183=1,B183=""),ROW(),"")</f>
        <v>0</v>
      </c>
    </row>
    <row r="184" spans="1:16">
      <c r="A184" s="17" t="s">
        <v>440</v>
      </c>
      <c r="B184" s="5">
        <v>50</v>
      </c>
      <c r="C184" s="27">
        <f>INDEX(P_SCPoids,MATCH(L184,P_SCCle,0))</f>
        <v>0</v>
      </c>
      <c r="J184" s="31" t="s">
        <v>424</v>
      </c>
      <c r="K184" s="31">
        <f>K181</f>
        <v>0</v>
      </c>
      <c r="L184" s="31" t="s">
        <v>227</v>
      </c>
      <c r="P184" s="31">
        <f>IF(AND(K184=1,B184=""),ROW(),"")</f>
        <v>0</v>
      </c>
    </row>
    <row r="185" spans="1:16">
      <c r="A185" s="21" t="s">
        <v>441</v>
      </c>
      <c r="B185" s="17"/>
      <c r="C185" s="27">
        <f>IFERROR(INDEX(P_PoidsDom,5,MATCH($B$17,P_PoidsHdr,0)),"")</f>
        <v>0</v>
      </c>
      <c r="D185" s="14">
        <f>IF(N(C185)=0,"",SUMPRODUCT(B186:B188,C186:C188)+P_InfoInsuff*SUMPRODUCT((1-ISNUMBER(B186:B188))*C186:C188))</f>
        <v>0</v>
      </c>
      <c r="E185" s="44"/>
      <c r="F185" s="44"/>
      <c r="G185" s="44"/>
      <c r="H185" s="44"/>
      <c r="J185" s="31" t="s">
        <v>422</v>
      </c>
      <c r="K185" s="31">
        <f>IF(N(C185)&gt;0,1,0)</f>
        <v>0</v>
      </c>
      <c r="M185" s="31">
        <f>N(C185)*SUMPRODUCT(ISNUMBER(B186:B188)*C186:C188)</f>
        <v>0</v>
      </c>
    </row>
    <row r="186" spans="1:16">
      <c r="A186" s="17" t="s">
        <v>442</v>
      </c>
      <c r="B186" s="5">
        <v>80</v>
      </c>
      <c r="C186" s="27">
        <f>INDEX(P_SCPoids,MATCH(L186,P_SCCle,0))</f>
        <v>0</v>
      </c>
      <c r="J186" s="31" t="s">
        <v>424</v>
      </c>
      <c r="K186" s="31">
        <f>K185</f>
        <v>0</v>
      </c>
      <c r="L186" s="31" t="s">
        <v>229</v>
      </c>
      <c r="P186" s="31">
        <f>IF(AND(K186=1,B186=""),ROW(),"")</f>
        <v>0</v>
      </c>
    </row>
    <row r="187" spans="1:16">
      <c r="A187" s="17" t="s">
        <v>443</v>
      </c>
      <c r="B187" s="5">
        <v>80</v>
      </c>
      <c r="C187" s="27">
        <f>INDEX(P_SCPoids,MATCH(L187,P_SCCle,0))</f>
        <v>0</v>
      </c>
      <c r="J187" s="31" t="s">
        <v>424</v>
      </c>
      <c r="K187" s="31">
        <f>K185</f>
        <v>0</v>
      </c>
      <c r="L187" s="31" t="s">
        <v>231</v>
      </c>
      <c r="P187" s="31">
        <f>IF(AND(K187=1,B187=""),ROW(),"")</f>
        <v>0</v>
      </c>
    </row>
    <row r="188" spans="1:16">
      <c r="A188" s="17" t="s">
        <v>444</v>
      </c>
      <c r="B188" s="5">
        <v>50</v>
      </c>
      <c r="C188" s="27">
        <f>INDEX(P_SCPoids,MATCH(L188,P_SCCle,0))</f>
        <v>0</v>
      </c>
      <c r="J188" s="31" t="s">
        <v>424</v>
      </c>
      <c r="K188" s="31">
        <f>K185</f>
        <v>0</v>
      </c>
      <c r="L188" s="31" t="s">
        <v>233</v>
      </c>
      <c r="P188" s="31">
        <f>IF(AND(K188=1,B188=""),ROW(),"")</f>
        <v>0</v>
      </c>
    </row>
    <row r="189" spans="1:16">
      <c r="A189" s="21" t="s">
        <v>445</v>
      </c>
      <c r="B189" s="17"/>
      <c r="C189" s="27">
        <f>IFERROR(INDEX(P_PoidsDom,6,MATCH($B$17,P_PoidsHdr,0)),"")</f>
        <v>0</v>
      </c>
      <c r="D189" s="14">
        <f>IF(N(C189)=0,"",SUMPRODUCT(B190:B192,C190:C192)+P_InfoInsuff*SUMPRODUCT((1-ISNUMBER(B190:B192))*C190:C192))</f>
        <v>0</v>
      </c>
      <c r="E189" s="44"/>
      <c r="F189" s="44"/>
      <c r="G189" s="44"/>
      <c r="H189" s="44"/>
      <c r="J189" s="31" t="s">
        <v>422</v>
      </c>
      <c r="K189" s="31">
        <f>IF(N(C189)&gt;0,1,0)</f>
        <v>0</v>
      </c>
      <c r="M189" s="31">
        <f>N(C189)*SUMPRODUCT(ISNUMBER(B190:B192)*C190:C192)</f>
        <v>0</v>
      </c>
    </row>
    <row r="190" spans="1:16">
      <c r="A190" s="17" t="s">
        <v>447</v>
      </c>
      <c r="B190" s="5">
        <v>50</v>
      </c>
      <c r="C190" s="27">
        <f>INDEX(P_SCPoids,MATCH(L190,P_SCCle,0))</f>
        <v>0</v>
      </c>
      <c r="J190" s="31" t="s">
        <v>424</v>
      </c>
      <c r="K190" s="31">
        <f>K189</f>
        <v>0</v>
      </c>
      <c r="L190" s="31" t="s">
        <v>235</v>
      </c>
      <c r="P190" s="31">
        <f>IF(AND(K190=1,B190=""),ROW(),"")</f>
        <v>0</v>
      </c>
    </row>
    <row r="191" spans="1:16">
      <c r="A191" s="17" t="s">
        <v>448</v>
      </c>
      <c r="B191" s="5">
        <v>50</v>
      </c>
      <c r="C191" s="27">
        <f>INDEX(P_SCPoids,MATCH(L191,P_SCCle,0))</f>
        <v>0</v>
      </c>
      <c r="J191" s="31" t="s">
        <v>424</v>
      </c>
      <c r="K191" s="31">
        <f>K189</f>
        <v>0</v>
      </c>
      <c r="L191" s="31" t="s">
        <v>237</v>
      </c>
      <c r="P191" s="31">
        <f>IF(AND(K191=1,B191=""),ROW(),"")</f>
        <v>0</v>
      </c>
    </row>
    <row r="192" spans="1:16">
      <c r="A192" s="17" t="s">
        <v>449</v>
      </c>
      <c r="B192" s="5">
        <v>80</v>
      </c>
      <c r="C192" s="27">
        <f>INDEX(P_SCPoids,MATCH(L192,P_SCCle,0))</f>
        <v>0</v>
      </c>
      <c r="J192" s="31" t="s">
        <v>424</v>
      </c>
      <c r="K192" s="31">
        <f>K189</f>
        <v>0</v>
      </c>
      <c r="L192" s="31" t="s">
        <v>239</v>
      </c>
      <c r="P192" s="31">
        <f>IF(AND(K192=1,B192=""),ROW(),"")</f>
        <v>0</v>
      </c>
    </row>
    <row r="193" spans="1:16">
      <c r="A193" s="21" t="s">
        <v>450</v>
      </c>
      <c r="B193" s="17"/>
      <c r="C193" s="27">
        <f>IFERROR(INDEX(P_PoidsDom,8,MATCH($B$17,P_PoidsHdr,0)),"")</f>
        <v>0</v>
      </c>
      <c r="D193" s="14">
        <f>IF(N(C193)=0,"",SUMPRODUCT(B194:B196,C194:C196)+P_InfoInsuff*SUMPRODUCT((1-ISNUMBER(B194:B196))*C194:C196))</f>
        <v>0</v>
      </c>
      <c r="E193" s="44"/>
      <c r="F193" s="44"/>
      <c r="G193" s="44"/>
      <c r="H193" s="44"/>
      <c r="J193" s="31" t="s">
        <v>422</v>
      </c>
      <c r="K193" s="31">
        <f>IF(N(C193)&gt;0,1,0)</f>
        <v>0</v>
      </c>
      <c r="M193" s="31">
        <f>N(C193)*SUMPRODUCT(ISNUMBER(B194:B196)*C194:C196)</f>
        <v>0</v>
      </c>
    </row>
    <row r="194" spans="1:16">
      <c r="A194" s="17" t="s">
        <v>451</v>
      </c>
      <c r="B194" s="5">
        <v>80</v>
      </c>
      <c r="C194" s="27">
        <f>INDEX(P_SCPoids,MATCH(L194,P_SCCle,0))</f>
        <v>0</v>
      </c>
      <c r="J194" s="31" t="s">
        <v>424</v>
      </c>
      <c r="K194" s="31">
        <f>K193</f>
        <v>0</v>
      </c>
      <c r="L194" s="31" t="s">
        <v>241</v>
      </c>
      <c r="P194" s="31">
        <f>IF(AND(K194=1,B194=""),ROW(),"")</f>
        <v>0</v>
      </c>
    </row>
    <row r="195" spans="1:16">
      <c r="A195" s="17" t="s">
        <v>452</v>
      </c>
      <c r="B195" s="5">
        <v>80</v>
      </c>
      <c r="C195" s="27">
        <f>INDEX(P_SCPoids,MATCH(L195,P_SCCle,0))</f>
        <v>0</v>
      </c>
      <c r="J195" s="31" t="s">
        <v>424</v>
      </c>
      <c r="K195" s="31">
        <f>K193</f>
        <v>0</v>
      </c>
      <c r="L195" s="31" t="s">
        <v>243</v>
      </c>
      <c r="P195" s="31">
        <f>IF(AND(K195=1,B195=""),ROW(),"")</f>
        <v>0</v>
      </c>
    </row>
    <row r="196" spans="1:16">
      <c r="A196" s="17" t="s">
        <v>453</v>
      </c>
      <c r="B196" s="5">
        <v>80</v>
      </c>
      <c r="C196" s="27">
        <f>INDEX(P_SCPoids,MATCH(L196,P_SCCle,0))</f>
        <v>0</v>
      </c>
      <c r="J196" s="31" t="s">
        <v>424</v>
      </c>
      <c r="K196" s="31">
        <f>K193</f>
        <v>0</v>
      </c>
      <c r="L196" s="31" t="s">
        <v>245</v>
      </c>
      <c r="P196" s="31">
        <f>IF(AND(K196=1,B196=""),ROW(),"")</f>
        <v>0</v>
      </c>
    </row>
    <row r="197" spans="1:16" ht="45" customHeight="1">
      <c r="A197" s="21" t="s">
        <v>454</v>
      </c>
      <c r="B197" s="17"/>
      <c r="C197" s="27">
        <f>IFERROR(INDEX(P_PoidsDom,9,MATCH($B$17,P_PoidsHdr,0)),"")</f>
        <v>0</v>
      </c>
      <c r="D197" s="14">
        <f>IF(N(C197)=0,"",SUMPRODUCT(B198:B201,C198:C201)+P_InfoInsuff*SUMPRODUCT((1-ISNUMBER(B198:B201))*C198:C201))</f>
        <v>0</v>
      </c>
      <c r="E197" s="44" t="s">
        <v>685</v>
      </c>
      <c r="F197" s="44"/>
      <c r="G197" s="44"/>
      <c r="H197" s="44"/>
      <c r="J197" s="31" t="s">
        <v>422</v>
      </c>
      <c r="K197" s="31">
        <f>IF(N(C197)&gt;0,1,0)</f>
        <v>0</v>
      </c>
      <c r="M197" s="31">
        <f>N(C197)*SUMPRODUCT(ISNUMBER(B198:B201)*C198:C201)</f>
        <v>0</v>
      </c>
    </row>
    <row r="198" spans="1:16">
      <c r="A198" s="17" t="s">
        <v>455</v>
      </c>
      <c r="B198" s="5">
        <v>50</v>
      </c>
      <c r="C198" s="27">
        <f>INDEX(P_SCPoids,MATCH(L198,P_SCCle,0))</f>
        <v>0</v>
      </c>
      <c r="J198" s="31" t="s">
        <v>424</v>
      </c>
      <c r="K198" s="31">
        <f>K197</f>
        <v>0</v>
      </c>
      <c r="L198" s="31" t="s">
        <v>247</v>
      </c>
      <c r="P198" s="31">
        <f>IF(AND(K198=1,B198=""),ROW(),"")</f>
        <v>0</v>
      </c>
    </row>
    <row r="199" spans="1:16">
      <c r="A199" s="17" t="s">
        <v>456</v>
      </c>
      <c r="B199" s="5">
        <v>80</v>
      </c>
      <c r="C199" s="27">
        <f>INDEX(P_SCPoids,MATCH(L199,P_SCCle,0))</f>
        <v>0</v>
      </c>
      <c r="J199" s="31" t="s">
        <v>424</v>
      </c>
      <c r="K199" s="31">
        <f>K197</f>
        <v>0</v>
      </c>
      <c r="L199" s="31" t="s">
        <v>249</v>
      </c>
      <c r="P199" s="31">
        <f>IF(AND(K199=1,B199=""),ROW(),"")</f>
        <v>0</v>
      </c>
    </row>
    <row r="200" spans="1:16">
      <c r="A200" s="17" t="s">
        <v>457</v>
      </c>
      <c r="B200" s="5">
        <v>50</v>
      </c>
      <c r="C200" s="27">
        <f>INDEX(P_SCPoids,MATCH(L200,P_SCCle,0))</f>
        <v>0</v>
      </c>
      <c r="J200" s="31" t="s">
        <v>424</v>
      </c>
      <c r="K200" s="31">
        <f>K197</f>
        <v>0</v>
      </c>
      <c r="L200" s="31" t="s">
        <v>251</v>
      </c>
      <c r="P200" s="31">
        <f>IF(AND(K200=1,B200=""),ROW(),"")</f>
        <v>0</v>
      </c>
    </row>
    <row r="201" spans="1:16">
      <c r="A201" s="17" t="s">
        <v>458</v>
      </c>
      <c r="B201" s="5">
        <v>20</v>
      </c>
      <c r="C201" s="27">
        <f>INDEX(P_SCPoids,MATCH(L201,P_SCCle,0))</f>
        <v>0</v>
      </c>
      <c r="J201" s="31" t="s">
        <v>424</v>
      </c>
      <c r="K201" s="31">
        <f>K197</f>
        <v>0</v>
      </c>
      <c r="L201" s="31" t="s">
        <v>253</v>
      </c>
      <c r="P201" s="31">
        <f>IF(AND(K201=1,B201=""),ROW(),"")</f>
        <v>0</v>
      </c>
    </row>
    <row r="203" spans="1:16">
      <c r="A203" s="17" t="s">
        <v>459</v>
      </c>
      <c r="B203" s="27">
        <f>IF(SUMIF(J169:J201,"DOM",C169:C201)=0,"",SUM(M169:M201)/SUMIF(J169:J201,"DOM",C169:C201))</f>
        <v>0</v>
      </c>
    </row>
    <row r="204" spans="1:16">
      <c r="A204" s="17" t="s">
        <v>460</v>
      </c>
      <c r="B204" s="27">
        <f>IF(SUMIF(J169:J201,"SC",K169:K201)=0,"",(COUNT(B142:B147)+SUMPRODUCT((J169:J201="SC")*(K169:K201=1)*ISNUMBER(B169:B201)))/(6+SUMIF(J169:J201,"SC",K169:K201)))</f>
        <v>0</v>
      </c>
    </row>
    <row r="206" spans="1:16">
      <c r="A206" s="3" t="s">
        <v>461</v>
      </c>
      <c r="B206" s="3"/>
      <c r="C206" s="3"/>
      <c r="D206" s="3"/>
      <c r="E206" s="3"/>
      <c r="F206" s="3"/>
      <c r="G206" s="3"/>
      <c r="H206" s="3"/>
    </row>
    <row r="207" spans="1:16">
      <c r="A207" s="11" t="s">
        <v>55</v>
      </c>
      <c r="B207" s="11" t="s">
        <v>462</v>
      </c>
      <c r="C207" s="11" t="s">
        <v>463</v>
      </c>
      <c r="D207" s="11" t="s">
        <v>387</v>
      </c>
    </row>
    <row r="208" spans="1:16">
      <c r="A208" s="17" t="s">
        <v>420</v>
      </c>
      <c r="B208" s="20">
        <f>D169</f>
        <v>0</v>
      </c>
      <c r="C208" s="27">
        <f>IFERROR(INDEX(P_PoidsDom,1,MATCH($B$17,P_PoidsHdr,0)),"")</f>
        <v>0</v>
      </c>
      <c r="D208" s="20">
        <f>IF(ISNUMBER(B208),B208,0)*N(C208)</f>
        <v>0</v>
      </c>
    </row>
    <row r="209" spans="1:8">
      <c r="A209" s="17" t="s">
        <v>427</v>
      </c>
      <c r="B209" s="20">
        <f>D173</f>
        <v>0</v>
      </c>
      <c r="C209" s="27">
        <f>IFERROR(INDEX(P_PoidsDom,2,MATCH($B$17,P_PoidsHdr,0)),"")</f>
        <v>0</v>
      </c>
      <c r="D209" s="20">
        <f>IF(ISNUMBER(B209),B209,0)*N(C209)</f>
        <v>0</v>
      </c>
    </row>
    <row r="210" spans="1:8">
      <c r="A210" s="17" t="s">
        <v>431</v>
      </c>
      <c r="B210" s="20">
        <f>D177</f>
        <v>0</v>
      </c>
      <c r="C210" s="27">
        <f>IFERROR(INDEX(P_PoidsDom,3,MATCH($B$17,P_PoidsHdr,0)),"")</f>
        <v>0</v>
      </c>
      <c r="D210" s="20">
        <f>IF(ISNUMBER(B210),B210,0)*N(C210)</f>
        <v>0</v>
      </c>
    </row>
    <row r="211" spans="1:8">
      <c r="A211" s="17" t="s">
        <v>436</v>
      </c>
      <c r="B211" s="20">
        <f>D181</f>
        <v>0</v>
      </c>
      <c r="C211" s="27">
        <f>IFERROR(INDEX(P_PoidsDom,4,MATCH($B$17,P_PoidsHdr,0)),"")</f>
        <v>0</v>
      </c>
      <c r="D211" s="20">
        <f>IF(ISNUMBER(B211),B211,0)*N(C211)</f>
        <v>0</v>
      </c>
    </row>
    <row r="212" spans="1:8">
      <c r="A212" s="17" t="s">
        <v>441</v>
      </c>
      <c r="B212" s="20">
        <f>D185</f>
        <v>0</v>
      </c>
      <c r="C212" s="27">
        <f>IFERROR(INDEX(P_PoidsDom,5,MATCH($B$17,P_PoidsHdr,0)),"")</f>
        <v>0</v>
      </c>
      <c r="D212" s="20">
        <f>IF(ISNUMBER(B212),B212,0)*N(C212)</f>
        <v>0</v>
      </c>
    </row>
    <row r="213" spans="1:8">
      <c r="A213" s="17" t="s">
        <v>445</v>
      </c>
      <c r="B213" s="20">
        <f>D189</f>
        <v>0</v>
      </c>
      <c r="C213" s="27">
        <f>IFERROR(INDEX(P_PoidsDom,6,MATCH($B$17,P_PoidsHdr,0)),"")</f>
        <v>0</v>
      </c>
      <c r="D213" s="20">
        <f>IF(ISNUMBER(B213),B213,0)*N(C213)</f>
        <v>0</v>
      </c>
    </row>
    <row r="214" spans="1:8">
      <c r="A214" s="17" t="s">
        <v>464</v>
      </c>
      <c r="B214" s="20">
        <f>D148</f>
        <v>0</v>
      </c>
      <c r="C214" s="27">
        <f>IFERROR(INDEX(P_PoidsDom,7,MATCH($B$17,P_PoidsHdr,0)),"")</f>
        <v>0</v>
      </c>
      <c r="D214" s="20">
        <f>IF(ISNUMBER(B214),B214,0)*N(C214)</f>
        <v>0</v>
      </c>
    </row>
    <row r="215" spans="1:8">
      <c r="A215" s="17" t="s">
        <v>450</v>
      </c>
      <c r="B215" s="20">
        <f>D193</f>
        <v>0</v>
      </c>
      <c r="C215" s="27">
        <f>IFERROR(INDEX(P_PoidsDom,8,MATCH($B$17,P_PoidsHdr,0)),"")</f>
        <v>0</v>
      </c>
      <c r="D215" s="20">
        <f>IF(ISNUMBER(B215),B215,0)*N(C215)</f>
        <v>0</v>
      </c>
    </row>
    <row r="216" spans="1:8">
      <c r="A216" s="17" t="s">
        <v>454</v>
      </c>
      <c r="B216" s="20">
        <f>D197</f>
        <v>0</v>
      </c>
      <c r="C216" s="27">
        <f>IFERROR(INDEX(P_PoidsDom,9,MATCH($B$17,P_PoidsHdr,0)),"")</f>
        <v>0</v>
      </c>
      <c r="D216" s="20">
        <f>IF(ISNUMBER(B216),B216,0)*N(C216)</f>
        <v>0</v>
      </c>
    </row>
    <row r="217" spans="1:8">
      <c r="A217" s="21" t="s">
        <v>465</v>
      </c>
      <c r="B217" s="14">
        <f>IF(N(C208)+N(C216)=0,"",SUM(D208:D216))</f>
        <v>0</v>
      </c>
    </row>
    <row r="218" spans="1:8">
      <c r="A218" s="21" t="s">
        <v>466</v>
      </c>
      <c r="B218" s="14">
        <f>IF(B217="","",INDEX(P_ConvNote,MATCH(B217,P_ConvSeuil,1)))</f>
        <v>0</v>
      </c>
      <c r="C218" s="7">
        <f>IF(B217="","",INDEX(P_ConvLib,MATCH(B217,P_ConvSeuil,1)))</f>
        <v>0</v>
      </c>
    </row>
    <row r="220" spans="1:8">
      <c r="A220" s="3" t="s">
        <v>467</v>
      </c>
      <c r="B220" s="3"/>
      <c r="C220" s="3"/>
      <c r="D220" s="3"/>
      <c r="E220" s="3"/>
      <c r="F220" s="3"/>
      <c r="G220" s="3"/>
      <c r="H220" s="3"/>
    </row>
    <row r="221" spans="1:8">
      <c r="A221" s="11" t="s">
        <v>18</v>
      </c>
      <c r="B221" s="11" t="s">
        <v>130</v>
      </c>
      <c r="C221" s="11"/>
      <c r="D221" s="11"/>
      <c r="E221" s="11" t="s">
        <v>468</v>
      </c>
      <c r="F221" s="11" t="s">
        <v>469</v>
      </c>
      <c r="G221" s="11" t="s">
        <v>470</v>
      </c>
      <c r="H221" s="11" t="s">
        <v>471</v>
      </c>
    </row>
    <row r="222" spans="1:8">
      <c r="A222" s="21" t="s">
        <v>472</v>
      </c>
      <c r="B222" s="13" t="s">
        <v>473</v>
      </c>
      <c r="C222" s="13"/>
      <c r="D222" s="13"/>
      <c r="E222" s="5" t="s">
        <v>258</v>
      </c>
      <c r="F222" s="7">
        <f>IF(OR(E222="Oui",H222="Oui"),"Oui","Non")</f>
        <v>0</v>
      </c>
      <c r="G222" s="17" t="s">
        <v>474</v>
      </c>
      <c r="H222" s="7"/>
    </row>
    <row r="223" spans="1:8">
      <c r="A223" s="21" t="s">
        <v>475</v>
      </c>
      <c r="B223" s="13" t="s">
        <v>476</v>
      </c>
      <c r="C223" s="13"/>
      <c r="D223" s="13"/>
      <c r="E223" s="5" t="s">
        <v>258</v>
      </c>
      <c r="F223" s="7">
        <f>IF(OR(E223="Oui",H223="Oui"),"Oui","Non")</f>
        <v>0</v>
      </c>
      <c r="G223" s="17" t="s">
        <v>474</v>
      </c>
      <c r="H223" s="7"/>
    </row>
    <row r="224" spans="1:8">
      <c r="A224" s="21" t="s">
        <v>477</v>
      </c>
      <c r="B224" s="13" t="s">
        <v>478</v>
      </c>
      <c r="C224" s="13"/>
      <c r="D224" s="13"/>
      <c r="E224" s="5" t="s">
        <v>258</v>
      </c>
      <c r="F224" s="7">
        <f>IF(OR(E224="Oui",H224="Oui"),"Oui","Non")</f>
        <v>0</v>
      </c>
      <c r="G224" s="17" t="s">
        <v>474</v>
      </c>
      <c r="H224" s="7"/>
    </row>
    <row r="225" spans="1:8">
      <c r="A225" s="21" t="s">
        <v>479</v>
      </c>
      <c r="B225" s="13" t="s">
        <v>480</v>
      </c>
      <c r="C225" s="13"/>
      <c r="D225" s="13"/>
      <c r="E225" s="5" t="s">
        <v>258</v>
      </c>
      <c r="F225" s="7">
        <f>IF(OR(E225="Oui",H225="Oui"),"Oui","Non")</f>
        <v>0</v>
      </c>
      <c r="G225" s="17" t="s">
        <v>474</v>
      </c>
      <c r="H225" s="7"/>
    </row>
    <row r="226" spans="1:8">
      <c r="A226" s="21" t="s">
        <v>481</v>
      </c>
      <c r="B226" s="13" t="s">
        <v>482</v>
      </c>
      <c r="C226" s="13"/>
      <c r="D226" s="13"/>
      <c r="E226" s="5" t="s">
        <v>258</v>
      </c>
      <c r="F226" s="7">
        <f>IF(OR(E226="Oui",H226="Oui"),"Oui","Non")</f>
        <v>0</v>
      </c>
      <c r="G226" s="17" t="s">
        <v>483</v>
      </c>
      <c r="H226" s="7"/>
    </row>
    <row r="227" spans="1:8">
      <c r="A227" s="21" t="s">
        <v>484</v>
      </c>
      <c r="B227" s="13" t="s">
        <v>485</v>
      </c>
      <c r="C227" s="13"/>
      <c r="D227" s="13"/>
      <c r="E227" s="5" t="s">
        <v>258</v>
      </c>
      <c r="F227" s="7">
        <f>IF(OR(E227="Oui",H227="Oui"),"Oui","Non")</f>
        <v>0</v>
      </c>
      <c r="G227" s="17" t="s">
        <v>483</v>
      </c>
      <c r="H227" s="7"/>
    </row>
    <row r="228" spans="1:8">
      <c r="A228" s="21" t="s">
        <v>486</v>
      </c>
      <c r="B228" s="13" t="s">
        <v>487</v>
      </c>
      <c r="C228" s="13"/>
      <c r="D228" s="13"/>
      <c r="E228" s="5" t="s">
        <v>258</v>
      </c>
      <c r="F228" s="7">
        <f>IF(OR(E228="Oui",H228="Oui"),"Oui","Non")</f>
        <v>0</v>
      </c>
      <c r="G228" s="17" t="s">
        <v>488</v>
      </c>
      <c r="H228" s="7">
        <f>IF(AND($B$17="P1",ISNUMBER($B$48),$B$48&lt;P_N3_V),"Oui","")</f>
        <v>0</v>
      </c>
    </row>
    <row r="229" spans="1:8">
      <c r="A229" s="21" t="s">
        <v>489</v>
      </c>
      <c r="B229" s="13" t="s">
        <v>490</v>
      </c>
      <c r="C229" s="13"/>
      <c r="D229" s="13"/>
      <c r="E229" s="5" t="s">
        <v>258</v>
      </c>
      <c r="F229" s="7">
        <f>IF(OR(E229="Oui",H229="Oui"),"Oui","Non")</f>
        <v>0</v>
      </c>
      <c r="G229" s="17" t="s">
        <v>483</v>
      </c>
      <c r="H229" s="7"/>
    </row>
    <row r="230" spans="1:8">
      <c r="A230" s="21" t="s">
        <v>491</v>
      </c>
      <c r="B230" s="13" t="s">
        <v>492</v>
      </c>
      <c r="C230" s="13"/>
      <c r="D230" s="13"/>
      <c r="E230" s="5" t="s">
        <v>258</v>
      </c>
      <c r="F230" s="7">
        <f>IF(OR(E230="Oui",H230="Oui"),"Oui","Non")</f>
        <v>0</v>
      </c>
      <c r="G230" s="17" t="s">
        <v>488</v>
      </c>
      <c r="H230" s="7"/>
    </row>
    <row r="231" spans="1:8">
      <c r="A231" s="21" t="s">
        <v>493</v>
      </c>
      <c r="B231" s="13" t="s">
        <v>494</v>
      </c>
      <c r="C231" s="13"/>
      <c r="D231" s="13"/>
      <c r="E231" s="5" t="s">
        <v>257</v>
      </c>
      <c r="F231" s="7">
        <f>IF(H231="Oui","Oui","Non")</f>
        <v>0</v>
      </c>
      <c r="G231" s="17" t="s">
        <v>495</v>
      </c>
      <c r="H231" s="7">
        <f>IF(E231="Non","Oui","")</f>
        <v>0</v>
      </c>
    </row>
    <row r="232" spans="1:8">
      <c r="A232" s="21" t="s">
        <v>496</v>
      </c>
      <c r="B232" s="13" t="s">
        <v>497</v>
      </c>
      <c r="C232" s="13"/>
      <c r="D232" s="13"/>
      <c r="E232" s="5" t="s">
        <v>258</v>
      </c>
      <c r="F232" s="7">
        <f>IF(OR(E232="Oui",H232="Oui"),"Oui","Non")</f>
        <v>0</v>
      </c>
      <c r="G232" s="17" t="s">
        <v>495</v>
      </c>
      <c r="H232" s="7">
        <f>IF(AND(ISNUMBER($B$204),$B$204&lt;1),"Oui","")</f>
        <v>0</v>
      </c>
    </row>
    <row r="233" spans="1:8">
      <c r="A233" s="21" t="s">
        <v>498</v>
      </c>
      <c r="B233" s="13" t="s">
        <v>499</v>
      </c>
      <c r="C233" s="13"/>
      <c r="D233" s="13"/>
      <c r="E233" s="5" t="s">
        <v>258</v>
      </c>
      <c r="F233" s="7">
        <f>IF(OR(E233="Oui",H233="Oui"),"Oui","Non")</f>
        <v>0</v>
      </c>
      <c r="G233" s="17" t="s">
        <v>483</v>
      </c>
      <c r="H233" s="7"/>
    </row>
    <row r="235" spans="1:8">
      <c r="A235" s="3" t="s">
        <v>500</v>
      </c>
      <c r="B235" s="3"/>
      <c r="C235" s="3"/>
      <c r="D235" s="3"/>
      <c r="E235" s="3"/>
      <c r="F235" s="3"/>
      <c r="G235" s="3"/>
      <c r="H235" s="3"/>
    </row>
    <row r="236" spans="1:8">
      <c r="A236" s="11" t="s">
        <v>18</v>
      </c>
      <c r="B236" s="11" t="s">
        <v>130</v>
      </c>
      <c r="C236" s="11" t="s">
        <v>501</v>
      </c>
      <c r="D236" s="11" t="s">
        <v>502</v>
      </c>
      <c r="E236" s="11" t="s">
        <v>469</v>
      </c>
      <c r="F236" s="11" t="s">
        <v>131</v>
      </c>
      <c r="G236" s="11" t="s">
        <v>503</v>
      </c>
    </row>
    <row r="237" spans="1:8" ht="27" customHeight="1">
      <c r="A237" s="21" t="s">
        <v>132</v>
      </c>
      <c r="B237" s="13" t="s">
        <v>133</v>
      </c>
      <c r="C237" s="19">
        <f>$D$133</f>
        <v>0</v>
      </c>
      <c r="D237" s="19">
        <f>P_C1</f>
        <v>0</v>
      </c>
      <c r="E237" s="7">
        <f>IF($D$133="","n.r.",IF($D$133&lt;P_C1,"Oui","Non"))</f>
        <v>0</v>
      </c>
      <c r="F237" s="15">
        <f>INDEX(P_PlafNiv,1)</f>
        <v>0</v>
      </c>
      <c r="G237" s="15">
        <f>IF(E237="Oui",F237,10)</f>
        <v>0</v>
      </c>
    </row>
    <row r="238" spans="1:8" ht="27" customHeight="1">
      <c r="A238" s="21" t="s">
        <v>134</v>
      </c>
      <c r="B238" s="13" t="s">
        <v>135</v>
      </c>
      <c r="C238" s="19">
        <f>$D$133</f>
        <v>0</v>
      </c>
      <c r="D238" s="18">
        <f>$B$67</f>
        <v>0</v>
      </c>
      <c r="E238" s="7">
        <f>IF(OR($D$133="",$B$67=""),"n.r.",IF($D$133&lt;$B$67,"Oui","Non"))</f>
        <v>0</v>
      </c>
      <c r="F238" s="15">
        <f>INDEX(P_PlafNiv,2)</f>
        <v>0</v>
      </c>
      <c r="G238" s="15">
        <f>IF(E238="Oui",F238,10)</f>
        <v>0</v>
      </c>
    </row>
    <row r="239" spans="1:8" ht="27" customHeight="1">
      <c r="A239" s="21" t="s">
        <v>136</v>
      </c>
      <c r="B239" s="13" t="s">
        <v>137</v>
      </c>
      <c r="C239" s="19">
        <f>$D$134</f>
        <v>0</v>
      </c>
      <c r="D239" s="19">
        <f>P_C3</f>
        <v>0</v>
      </c>
      <c r="E239" s="7">
        <f>IF($D$134="","n.r.",IF($D$134&lt;P_C3,"Oui","Non"))</f>
        <v>0</v>
      </c>
      <c r="F239" s="15">
        <f>INDEX(P_PlafNiv,3)</f>
        <v>0</v>
      </c>
      <c r="G239" s="15">
        <f>IF(E239="Oui",F239,10)</f>
        <v>0</v>
      </c>
    </row>
    <row r="240" spans="1:8" ht="27" customHeight="1">
      <c r="A240" s="21" t="s">
        <v>138</v>
      </c>
      <c r="B240" s="13" t="s">
        <v>139</v>
      </c>
      <c r="C240" s="18">
        <f>$B$151</f>
        <v>0</v>
      </c>
      <c r="D240" s="18">
        <f>P_C4</f>
        <v>0</v>
      </c>
      <c r="E240" s="7">
        <f>IF($B$151="","n.r.",IF($B$151&lt;P_C4,"Oui","Non"))</f>
        <v>0</v>
      </c>
      <c r="F240" s="15">
        <f>INDEX(P_PlafNiv,4)</f>
        <v>0</v>
      </c>
      <c r="G240" s="15">
        <f>IF(E240="Oui",F240,10)</f>
        <v>0</v>
      </c>
    </row>
    <row r="241" spans="1:8" ht="27" customHeight="1">
      <c r="A241" s="21" t="s">
        <v>140</v>
      </c>
      <c r="B241" s="13" t="s">
        <v>141</v>
      </c>
      <c r="C241" s="13">
        <f>IF($B$158="","",$B$158&amp;" ans / dette "&amp;$B$159&amp;" ans")</f>
        <v>0</v>
      </c>
      <c r="D241" s="13">
        <f>"contrat &lt; dette"</f>
        <v>0</v>
      </c>
      <c r="E241" s="7">
        <f>IF($B$15="R4","n.a.",IF(OR($B$158="",$B$159=""),"n.r.",IF(AND($B$158&lt;$B$159,$B$160&lt;&gt;"Oui"),"Oui","Non")))</f>
        <v>0</v>
      </c>
      <c r="F241" s="15">
        <f>INDEX(P_PlafNiv,5)</f>
        <v>0</v>
      </c>
      <c r="G241" s="15">
        <f>IF(E241="Oui",F241,10)</f>
        <v>0</v>
      </c>
    </row>
    <row r="242" spans="1:8" ht="27" customHeight="1">
      <c r="A242" s="21" t="s">
        <v>142</v>
      </c>
      <c r="B242" s="13" t="s">
        <v>143</v>
      </c>
      <c r="C242" s="27">
        <f>$B$153</f>
        <v>0</v>
      </c>
      <c r="D242" s="27">
        <f>P_C6</f>
        <v>0</v>
      </c>
      <c r="E242" s="7">
        <f>IF($B$153="","n.r.",IF($B$153&gt;P_C6,"Oui","Non"))</f>
        <v>0</v>
      </c>
      <c r="F242" s="15">
        <f>INDEX(P_PlafNiv,6)</f>
        <v>0</v>
      </c>
      <c r="G242" s="15">
        <f>IF(E242="Oui",F242,10)</f>
        <v>0</v>
      </c>
    </row>
    <row r="243" spans="1:8" ht="27" customHeight="1">
      <c r="A243" s="21" t="s">
        <v>144</v>
      </c>
      <c r="B243" s="13" t="s">
        <v>145</v>
      </c>
      <c r="C243" s="20">
        <f>$B$152</f>
        <v>0</v>
      </c>
      <c r="D243" s="20">
        <f>P_C7</f>
        <v>0</v>
      </c>
      <c r="E243" s="7">
        <f>IF($B$152="","n.r.",IF($B$152&lt;P_C7,"Oui","Non"))</f>
        <v>0</v>
      </c>
      <c r="F243" s="15">
        <f>INDEX(P_PlafNiv,7)</f>
        <v>0</v>
      </c>
      <c r="G243" s="15">
        <f>IF(E243="Oui",F243,10)</f>
        <v>0</v>
      </c>
    </row>
    <row r="244" spans="1:8" ht="27" customHeight="1">
      <c r="A244" s="21" t="s">
        <v>146</v>
      </c>
      <c r="B244" s="13" t="s">
        <v>147</v>
      </c>
      <c r="C244" s="27">
        <f>$B$154</f>
        <v>0</v>
      </c>
      <c r="D244" s="27">
        <f>P_C8</f>
        <v>0</v>
      </c>
      <c r="E244" s="7">
        <f>IF($B$154="","n.r.",IF(AND($B$154&gt;P_C8,$B$155&lt;&gt;"Oui"),"Oui","Non"))</f>
        <v>0</v>
      </c>
      <c r="F244" s="15">
        <f>INDEX(P_PlafNiv,8)</f>
        <v>0</v>
      </c>
      <c r="G244" s="15">
        <f>IF(E244="Oui",F244,10)</f>
        <v>0</v>
      </c>
    </row>
    <row r="245" spans="1:8" ht="27" customHeight="1">
      <c r="A245" s="21" t="s">
        <v>148</v>
      </c>
      <c r="B245" s="13" t="s">
        <v>149</v>
      </c>
      <c r="C245" s="27">
        <f>$B$49</f>
        <v>0</v>
      </c>
      <c r="D245" s="27">
        <f>P_C9</f>
        <v>0</v>
      </c>
      <c r="E245" s="7">
        <f>IF($B$49="","n.r.",IF($B$49&gt;P_C9,"Oui","Non"))</f>
        <v>0</v>
      </c>
      <c r="F245" s="15">
        <f>INDEX(P_PlafNiv,9)</f>
        <v>0</v>
      </c>
      <c r="G245" s="15">
        <f>IF(E245="Oui",F245,10)</f>
        <v>0</v>
      </c>
    </row>
    <row r="246" spans="1:8" ht="27" customHeight="1">
      <c r="A246" s="21" t="s">
        <v>150</v>
      </c>
      <c r="B246" s="13" t="s">
        <v>151</v>
      </c>
      <c r="C246" s="13">
        <f>IF($B$156="","",FIXED($B$156*100,0)&amp;" % — "&amp;$B$157)</f>
        <v>0</v>
      </c>
      <c r="D246" s="13">
        <f>P_C10</f>
        <v>0</v>
      </c>
      <c r="E246" s="7">
        <f>IF(OR($B$156="",$B$157=""),"n.r.",IF(AND($B$156&gt;P_C10,$B$157&lt;&gt;INDEX(L_QualAch,1)),"Oui","Non"))</f>
        <v>0</v>
      </c>
      <c r="F246" s="15">
        <f>INDEX(P_PlafNiv,10)</f>
        <v>0</v>
      </c>
      <c r="G246" s="15">
        <f>IF(E246="Oui",F246,10)</f>
        <v>0</v>
      </c>
    </row>
    <row r="247" spans="1:8" ht="27" customHeight="1">
      <c r="A247" s="21" t="s">
        <v>152</v>
      </c>
      <c r="B247" s="13" t="s">
        <v>153</v>
      </c>
      <c r="C247" s="13">
        <f>$B$32</f>
        <v>0</v>
      </c>
      <c r="D247" s="13">
        <f>"élevé sans plan"</f>
        <v>0</v>
      </c>
      <c r="E247" s="7">
        <f>IF($B$32="","n.r.",IF(AND($B$32="Oui",$B$161&lt;&gt;"Oui"),"Oui","Non"))</f>
        <v>0</v>
      </c>
      <c r="F247" s="15">
        <f>INDEX(P_PlafNiv,11)</f>
        <v>0</v>
      </c>
      <c r="G247" s="15">
        <f>IF(E247="Oui",F247,10)</f>
        <v>0</v>
      </c>
    </row>
    <row r="248" spans="1:8" ht="27" customHeight="1">
      <c r="A248" s="21" t="s">
        <v>154</v>
      </c>
      <c r="B248" s="13" t="s">
        <v>155</v>
      </c>
      <c r="C248" s="13">
        <f>$B$162</f>
        <v>0</v>
      </c>
      <c r="D248" s="13">
        <f>"insuffisante"</f>
        <v>0</v>
      </c>
      <c r="E248" s="7">
        <f>IF($B$162="","n.r.",IF($B$162="Non","Oui","Non"))</f>
        <v>0</v>
      </c>
      <c r="F248" s="15">
        <f>INDEX(P_PlafNiv,12)</f>
        <v>0</v>
      </c>
      <c r="G248" s="15">
        <f>IF(E248="Oui",F248,10)</f>
        <v>0</v>
      </c>
    </row>
    <row r="249" spans="1:8" ht="27" customHeight="1">
      <c r="A249" s="21" t="s">
        <v>156</v>
      </c>
      <c r="B249" s="13" t="s">
        <v>157</v>
      </c>
      <c r="C249" s="13">
        <f>IF($B$163="","",$B$163&amp;IF($B$164="",""," — écart "&amp;$B$164&amp;" ans"))</f>
        <v>0</v>
      </c>
      <c r="D249" s="13">
        <f>P_C13</f>
        <v>0</v>
      </c>
      <c r="E249" s="7">
        <f>IF($B$163="","n.r.",IF(AND($B$163="Non",N($B$164)&gt;P_C13),"Oui","Non"))</f>
        <v>0</v>
      </c>
      <c r="F249" s="15">
        <f>INDEX(P_PlafNiv,13)</f>
        <v>0</v>
      </c>
      <c r="G249" s="15">
        <f>IF(E249="Oui",F249,10)</f>
        <v>0</v>
      </c>
    </row>
    <row r="250" spans="1:8" ht="27" customHeight="1">
      <c r="A250" s="21" t="s">
        <v>158</v>
      </c>
      <c r="B250" s="13" t="s">
        <v>159</v>
      </c>
      <c r="C250" s="13">
        <f>$B$165</f>
        <v>0</v>
      </c>
      <c r="D250" s="13">
        <f>"au-delà limite"</f>
        <v>0</v>
      </c>
      <c r="E250" s="7">
        <f>IF($B$165="","n.r.",IF($B$165="Oui","Oui","Non"))</f>
        <v>0</v>
      </c>
      <c r="F250" s="15">
        <f>INDEX(P_PlafNiv,14)</f>
        <v>0</v>
      </c>
      <c r="G250" s="15">
        <f>IF(E250="Oui",F250,10)</f>
        <v>0</v>
      </c>
    </row>
    <row r="251" spans="1:8" ht="27" customHeight="1">
      <c r="A251" s="21" t="s">
        <v>160</v>
      </c>
      <c r="B251" s="13" t="s">
        <v>161</v>
      </c>
      <c r="C251" s="27">
        <f>$B$203</f>
        <v>0</v>
      </c>
      <c r="D251" s="27">
        <f>P_COUV</f>
        <v>0</v>
      </c>
      <c r="E251" s="7">
        <f>IF(OR($B$203="",$B$204=""),"n.r.",IF(OR($B$203&lt;P_COUV,$B$204&lt;1),"Oui","Non"))</f>
        <v>0</v>
      </c>
      <c r="F251" s="15">
        <f>INDEX(P_PlafNiv,15)</f>
        <v>0</v>
      </c>
      <c r="G251" s="15">
        <f>IF(E251="Oui",F251,10)</f>
        <v>0</v>
      </c>
    </row>
    <row r="252" spans="1:8">
      <c r="A252" s="21" t="s">
        <v>504</v>
      </c>
      <c r="B252" s="14">
        <f>MIN(G237:G251)</f>
        <v>0</v>
      </c>
    </row>
    <row r="254" spans="1:8">
      <c r="A254" s="3" t="s">
        <v>505</v>
      </c>
      <c r="B254" s="3"/>
      <c r="C254" s="3"/>
      <c r="D254" s="3"/>
      <c r="E254" s="3"/>
      <c r="F254" s="3"/>
      <c r="G254" s="3"/>
      <c r="H254" s="3"/>
    </row>
    <row r="255" spans="1:8" ht="30" customHeight="1">
      <c r="A255" s="21" t="s">
        <v>506</v>
      </c>
      <c r="B255" s="25">
        <f>IF(COUNTIF(F222:F225,"Oui")&gt;0,"—",IF(B218="","",MIN(B218,B252)))</f>
        <v>0</v>
      </c>
    </row>
    <row r="256" spans="1:8">
      <c r="A256" s="21" t="s">
        <v>286</v>
      </c>
      <c r="B256" s="34">
        <f>IF(B218="","Dossier incomplet",IF(COUNTIF(F222:F225,"Oui")&gt;0,"Hors périmètre — aucune note produite",IF(COUNTIF(F226:F233,"Oui")&gt;0,"Note provisoire — stade bloqué : "&amp;TRIM(IF(F226="Oui","B1 (Octroi)  ","")&amp;IF(F227="Oui","B2 (Octroi)  ","")&amp;IF(F228="Oui","B3 (Décaissement)  ","")&amp;IF(F229="Oui","B4 (Octroi)  ","")&amp;IF(F230="Oui","B5 (Décaissement)  ","")&amp;IF(F231="Oui","B6 (Notation validée)  ","")&amp;IF(F232="Oui","B7 (Notation validée)  ","")&amp;IF(F233="Oui","B8 (Octroi)  ","")),IF(E251="Oui","Note provisoire — évaluation partielle (C15)","Note validable, à soumettre au comité"))))</f>
        <v>0</v>
      </c>
      <c r="C256" s="34"/>
      <c r="D256" s="34"/>
      <c r="E256" s="34"/>
      <c r="F256" s="34"/>
      <c r="G256" s="34"/>
      <c r="H256" s="34"/>
    </row>
    <row r="258" spans="1:8">
      <c r="A258" s="3" t="s">
        <v>507</v>
      </c>
      <c r="B258" s="3"/>
      <c r="C258" s="3"/>
      <c r="D258" s="3"/>
      <c r="E258" s="3"/>
      <c r="F258" s="3"/>
      <c r="G258" s="3"/>
      <c r="H258" s="3"/>
    </row>
    <row r="259" spans="1:8" ht="60" customHeight="1">
      <c r="A259" s="33" t="s">
        <v>686</v>
      </c>
      <c r="B259" s="33"/>
      <c r="C259" s="33"/>
      <c r="D259" s="33"/>
      <c r="E259" s="33"/>
      <c r="F259" s="33"/>
      <c r="G259" s="33"/>
      <c r="H259" s="33"/>
    </row>
  </sheetData>
  <sheetProtection sheet="1" objects="1" scenarios="1" formatColumns="0" formatRows="0"/>
  <mergeCells count="72">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A21:H21"/>
    <mergeCell ref="C22:H22"/>
    <mergeCell ref="C34:H34"/>
    <mergeCell ref="C35:H35"/>
    <mergeCell ref="A37:H37"/>
    <mergeCell ref="A52:H52"/>
    <mergeCell ref="B53:H53"/>
    <mergeCell ref="B54:H54"/>
    <mergeCell ref="B55:H55"/>
    <mergeCell ref="B56:H56"/>
    <mergeCell ref="B57:H57"/>
    <mergeCell ref="B58:H58"/>
    <mergeCell ref="B59:H59"/>
    <mergeCell ref="B60:H60"/>
    <mergeCell ref="A62:H62"/>
    <mergeCell ref="A69:H69"/>
    <mergeCell ref="C70:H70"/>
    <mergeCell ref="A140:H140"/>
    <mergeCell ref="E141:H141"/>
    <mergeCell ref="E142:H142"/>
    <mergeCell ref="E143:H143"/>
    <mergeCell ref="E144:H144"/>
    <mergeCell ref="E145:H145"/>
    <mergeCell ref="E146:H146"/>
    <mergeCell ref="E147:H147"/>
    <mergeCell ref="A149:H149"/>
    <mergeCell ref="A167:H167"/>
    <mergeCell ref="E168:H168"/>
    <mergeCell ref="E169:H169"/>
    <mergeCell ref="E173:H173"/>
    <mergeCell ref="E177:H177"/>
    <mergeCell ref="E181:H181"/>
    <mergeCell ref="E185:H185"/>
    <mergeCell ref="E189:H189"/>
    <mergeCell ref="E193:H193"/>
    <mergeCell ref="E197:H197"/>
    <mergeCell ref="A206:H206"/>
    <mergeCell ref="A220:H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A235:H235"/>
    <mergeCell ref="A254:H254"/>
    <mergeCell ref="B256:H256"/>
    <mergeCell ref="A258:H258"/>
    <mergeCell ref="A259:H259"/>
  </mergeCells>
  <conditionalFormatting sqref="A170:D170">
    <cfRule type="expression" dxfId="4" priority="20">
      <formula>$K$170=0</formula>
    </cfRule>
  </conditionalFormatting>
  <conditionalFormatting sqref="A171:D171">
    <cfRule type="expression" dxfId="4" priority="22">
      <formula>$K$171=0</formula>
    </cfRule>
  </conditionalFormatting>
  <conditionalFormatting sqref="A172:D172">
    <cfRule type="expression" dxfId="4" priority="24">
      <formula>$K$172=0</formula>
    </cfRule>
  </conditionalFormatting>
  <conditionalFormatting sqref="A174:D174">
    <cfRule type="expression" dxfId="4" priority="26">
      <formula>$K$174=0</formula>
    </cfRule>
  </conditionalFormatting>
  <conditionalFormatting sqref="A175:D175">
    <cfRule type="expression" dxfId="4" priority="28">
      <formula>$K$175=0</formula>
    </cfRule>
  </conditionalFormatting>
  <conditionalFormatting sqref="A176:D176">
    <cfRule type="expression" dxfId="4" priority="30">
      <formula>$K$176=0</formula>
    </cfRule>
  </conditionalFormatting>
  <conditionalFormatting sqref="A178:D178">
    <cfRule type="expression" dxfId="4" priority="32">
      <formula>$K$178=0</formula>
    </cfRule>
  </conditionalFormatting>
  <conditionalFormatting sqref="A179:D179">
    <cfRule type="expression" dxfId="4" priority="34">
      <formula>$K$179=0</formula>
    </cfRule>
  </conditionalFormatting>
  <conditionalFormatting sqref="A180:D180">
    <cfRule type="expression" dxfId="4" priority="36">
      <formula>$K$180=0</formula>
    </cfRule>
  </conditionalFormatting>
  <conditionalFormatting sqref="A182:D182">
    <cfRule type="expression" dxfId="4" priority="38">
      <formula>$K$182=0</formula>
    </cfRule>
  </conditionalFormatting>
  <conditionalFormatting sqref="A183:D183">
    <cfRule type="expression" dxfId="4" priority="40">
      <formula>$K$183=0</formula>
    </cfRule>
  </conditionalFormatting>
  <conditionalFormatting sqref="A184:D184">
    <cfRule type="expression" dxfId="4" priority="42">
      <formula>$K$184=0</formula>
    </cfRule>
  </conditionalFormatting>
  <conditionalFormatting sqref="A186:D186">
    <cfRule type="expression" dxfId="4" priority="44">
      <formula>$K$186=0</formula>
    </cfRule>
  </conditionalFormatting>
  <conditionalFormatting sqref="A187:D187">
    <cfRule type="expression" dxfId="4" priority="46">
      <formula>$K$187=0</formula>
    </cfRule>
  </conditionalFormatting>
  <conditionalFormatting sqref="A188:D188">
    <cfRule type="expression" dxfId="4" priority="48">
      <formula>$K$188=0</formula>
    </cfRule>
  </conditionalFormatting>
  <conditionalFormatting sqref="A190:D190">
    <cfRule type="expression" dxfId="4" priority="50">
      <formula>$K$190=0</formula>
    </cfRule>
  </conditionalFormatting>
  <conditionalFormatting sqref="A191:D191">
    <cfRule type="expression" dxfId="4" priority="52">
      <formula>$K$191=0</formula>
    </cfRule>
  </conditionalFormatting>
  <conditionalFormatting sqref="A192:D192">
    <cfRule type="expression" dxfId="4" priority="54">
      <formula>$K$192=0</formula>
    </cfRule>
  </conditionalFormatting>
  <conditionalFormatting sqref="A194:D194">
    <cfRule type="expression" dxfId="4" priority="56">
      <formula>$K$194=0</formula>
    </cfRule>
  </conditionalFormatting>
  <conditionalFormatting sqref="A195:D195">
    <cfRule type="expression" dxfId="4" priority="58">
      <formula>$K$195=0</formula>
    </cfRule>
  </conditionalFormatting>
  <conditionalFormatting sqref="A196:D196">
    <cfRule type="expression" dxfId="4" priority="60">
      <formula>$K$196=0</formula>
    </cfRule>
  </conditionalFormatting>
  <conditionalFormatting sqref="A198:D198">
    <cfRule type="expression" dxfId="4" priority="62">
      <formula>$K$198=0</formula>
    </cfRule>
  </conditionalFormatting>
  <conditionalFormatting sqref="A199:D199">
    <cfRule type="expression" dxfId="4" priority="64">
      <formula>$K$199=0</formula>
    </cfRule>
  </conditionalFormatting>
  <conditionalFormatting sqref="A200:D200">
    <cfRule type="expression" dxfId="4" priority="66">
      <formula>$K$200=0</formula>
    </cfRule>
  </conditionalFormatting>
  <conditionalFormatting sqref="A201:D201">
    <cfRule type="expression" dxfId="4" priority="68">
      <formula>$K$201=0</formula>
    </cfRule>
  </conditionalFormatting>
  <conditionalFormatting sqref="B145">
    <cfRule type="expression" dxfId="2" priority="143">
      <formula>NOT($B$145&lt;&gt;"")</formula>
    </cfRule>
  </conditionalFormatting>
  <conditionalFormatting sqref="B146">
    <cfRule type="expression" dxfId="2" priority="144">
      <formula>NOT($B$146&lt;&gt;"")</formula>
    </cfRule>
  </conditionalFormatting>
  <conditionalFormatting sqref="B147">
    <cfRule type="expression" dxfId="2" priority="145">
      <formula>NOT($B$147&lt;&gt;"")</formula>
    </cfRule>
  </conditionalFormatting>
  <conditionalFormatting sqref="B15">
    <cfRule type="expression" dxfId="2" priority="124">
      <formula>NOT($B$15&lt;&gt;"")</formula>
    </cfRule>
  </conditionalFormatting>
  <conditionalFormatting sqref="B150">
    <cfRule type="expression" dxfId="2" priority="146">
      <formula>NOT(OR($B$17="P1",$B$150&lt;&gt;""))</formula>
    </cfRule>
  </conditionalFormatting>
  <conditionalFormatting sqref="B151">
    <cfRule type="expression" dxfId="2" priority="147">
      <formula>NOT(ISNUMBER($B$151))</formula>
    </cfRule>
  </conditionalFormatting>
  <conditionalFormatting sqref="B152">
    <cfRule type="expression" dxfId="2" priority="148">
      <formula>NOT(ISNUMBER($B$152))</formula>
    </cfRule>
  </conditionalFormatting>
  <conditionalFormatting sqref="B153">
    <cfRule type="expression" dxfId="2" priority="149">
      <formula>NOT(ISNUMBER($B$153))</formula>
    </cfRule>
  </conditionalFormatting>
  <conditionalFormatting sqref="B154">
    <cfRule type="expression" dxfId="2" priority="150">
      <formula>NOT(ISNUMBER($B$154))</formula>
    </cfRule>
  </conditionalFormatting>
  <conditionalFormatting sqref="B155">
    <cfRule type="expression" dxfId="2" priority="151">
      <formula>NOT(OR(N($B$154)&lt;=P_C8,$B$155&lt;&gt;""))</formula>
    </cfRule>
  </conditionalFormatting>
  <conditionalFormatting sqref="B156">
    <cfRule type="expression" dxfId="2" priority="152">
      <formula>NOT(ISNUMBER($B$156))</formula>
    </cfRule>
  </conditionalFormatting>
  <conditionalFormatting sqref="B157">
    <cfRule type="expression" dxfId="2" priority="153">
      <formula>NOT($B$157&lt;&gt;"")</formula>
    </cfRule>
  </conditionalFormatting>
  <conditionalFormatting sqref="B158">
    <cfRule type="expression" dxfId="2" priority="154">
      <formula>NOT(OR($B$15="R4",ISNUMBER($B$158)))</formula>
    </cfRule>
  </conditionalFormatting>
  <conditionalFormatting sqref="B159">
    <cfRule type="expression" dxfId="2" priority="155">
      <formula>NOT(ISNUMBER($B$159))</formula>
    </cfRule>
  </conditionalFormatting>
  <conditionalFormatting sqref="B16">
    <cfRule type="expression" dxfId="2" priority="125">
      <formula>NOT($B$16&lt;&gt;"")</formula>
    </cfRule>
  </conditionalFormatting>
  <conditionalFormatting sqref="B160">
    <cfRule type="expression" dxfId="2" priority="156">
      <formula>NOT(OR(NOT(AND(ISNUMBER($B$158),ISNUMBER($B$159))),N($B$158)&gt;=N($B$159),$B$160&lt;&gt;""))</formula>
    </cfRule>
  </conditionalFormatting>
  <conditionalFormatting sqref="B161">
    <cfRule type="expression" dxfId="2" priority="157">
      <formula>NOT(OR($B$32&lt;&gt;"Oui",$B$161&lt;&gt;""))</formula>
    </cfRule>
  </conditionalFormatting>
  <conditionalFormatting sqref="B162">
    <cfRule type="expression" dxfId="2" priority="158">
      <formula>NOT($B$162&lt;&gt;"")</formula>
    </cfRule>
  </conditionalFormatting>
  <conditionalFormatting sqref="B163">
    <cfRule type="expression" dxfId="2" priority="159">
      <formula>NOT($B$163&lt;&gt;"")</formula>
    </cfRule>
  </conditionalFormatting>
  <conditionalFormatting sqref="B164">
    <cfRule type="expression" dxfId="2" priority="160">
      <formula>NOT(OR($B$163&lt;&gt;"Non",ISNUMBER($B$164)))</formula>
    </cfRule>
  </conditionalFormatting>
  <conditionalFormatting sqref="B165">
    <cfRule type="expression" dxfId="2" priority="161">
      <formula>NOT($B$165&lt;&gt;"")</formula>
    </cfRule>
  </conditionalFormatting>
  <conditionalFormatting sqref="B17">
    <cfRule type="expression" dxfId="2" priority="126">
      <formula>NOT($B$17&lt;&gt;"")</formula>
    </cfRule>
  </conditionalFormatting>
  <conditionalFormatting sqref="B170">
    <cfRule type="expression" dxfId="2" priority="21">
      <formula>AND($K$170=1,$B$170="")</formula>
    </cfRule>
  </conditionalFormatting>
  <conditionalFormatting sqref="B171">
    <cfRule type="expression" dxfId="2" priority="23">
      <formula>AND($K$171=1,$B$171="")</formula>
    </cfRule>
  </conditionalFormatting>
  <conditionalFormatting sqref="B172">
    <cfRule type="expression" dxfId="2" priority="25">
      <formula>AND($K$172=1,$B$172="")</formula>
    </cfRule>
  </conditionalFormatting>
  <conditionalFormatting sqref="B174">
    <cfRule type="expression" dxfId="2" priority="27">
      <formula>AND($K$174=1,$B$174="")</formula>
    </cfRule>
  </conditionalFormatting>
  <conditionalFormatting sqref="B175">
    <cfRule type="expression" dxfId="2" priority="29">
      <formula>AND($K$175=1,$B$175="")</formula>
    </cfRule>
  </conditionalFormatting>
  <conditionalFormatting sqref="B176">
    <cfRule type="expression" dxfId="2" priority="31">
      <formula>AND($K$176=1,$B$176="")</formula>
    </cfRule>
  </conditionalFormatting>
  <conditionalFormatting sqref="B178">
    <cfRule type="expression" dxfId="2" priority="33">
      <formula>AND($K$178=1,$B$178="")</formula>
    </cfRule>
  </conditionalFormatting>
  <conditionalFormatting sqref="B179">
    <cfRule type="expression" dxfId="2" priority="35">
      <formula>AND($K$179=1,$B$179="")</formula>
    </cfRule>
  </conditionalFormatting>
  <conditionalFormatting sqref="B18">
    <cfRule type="expression" dxfId="2" priority="127">
      <formula>NOT($B$18&lt;&gt;"")</formula>
    </cfRule>
  </conditionalFormatting>
  <conditionalFormatting sqref="B180">
    <cfRule type="expression" dxfId="2" priority="37">
      <formula>AND($K$180=1,$B$180="")</formula>
    </cfRule>
  </conditionalFormatting>
  <conditionalFormatting sqref="B182">
    <cfRule type="expression" dxfId="2" priority="39">
      <formula>AND($K$182=1,$B$182="")</formula>
    </cfRule>
  </conditionalFormatting>
  <conditionalFormatting sqref="B183">
    <cfRule type="expression" dxfId="2" priority="41">
      <formula>AND($K$183=1,$B$183="")</formula>
    </cfRule>
  </conditionalFormatting>
  <conditionalFormatting sqref="B184">
    <cfRule type="expression" dxfId="2" priority="43">
      <formula>AND($K$184=1,$B$184="")</formula>
    </cfRule>
  </conditionalFormatting>
  <conditionalFormatting sqref="B186">
    <cfRule type="expression" dxfId="2" priority="45">
      <formula>AND($K$186=1,$B$186="")</formula>
    </cfRule>
  </conditionalFormatting>
  <conditionalFormatting sqref="B187">
    <cfRule type="expression" dxfId="2" priority="47">
      <formula>AND($K$187=1,$B$187="")</formula>
    </cfRule>
  </conditionalFormatting>
  <conditionalFormatting sqref="B188">
    <cfRule type="expression" dxfId="2" priority="49">
      <formula>AND($K$188=1,$B$188="")</formula>
    </cfRule>
  </conditionalFormatting>
  <conditionalFormatting sqref="B190">
    <cfRule type="expression" dxfId="2" priority="51">
      <formula>AND($K$190=1,$B$190="")</formula>
    </cfRule>
  </conditionalFormatting>
  <conditionalFormatting sqref="B191">
    <cfRule type="expression" dxfId="2" priority="53">
      <formula>AND($K$191=1,$B$191="")</formula>
    </cfRule>
  </conditionalFormatting>
  <conditionalFormatting sqref="B192">
    <cfRule type="expression" dxfId="2" priority="55">
      <formula>AND($K$192=1,$B$192="")</formula>
    </cfRule>
  </conditionalFormatting>
  <conditionalFormatting sqref="B194">
    <cfRule type="expression" dxfId="2" priority="57">
      <formula>AND($K$194=1,$B$194="")</formula>
    </cfRule>
  </conditionalFormatting>
  <conditionalFormatting sqref="B195">
    <cfRule type="expression" dxfId="2" priority="59">
      <formula>AND($K$195=1,$B$195="")</formula>
    </cfRule>
  </conditionalFormatting>
  <conditionalFormatting sqref="B196">
    <cfRule type="expression" dxfId="2" priority="61">
      <formula>AND($K$196=1,$B$196="")</formula>
    </cfRule>
  </conditionalFormatting>
  <conditionalFormatting sqref="B198">
    <cfRule type="expression" dxfId="2" priority="63">
      <formula>AND($K$198=1,$B$198="")</formula>
    </cfRule>
  </conditionalFormatting>
  <conditionalFormatting sqref="B199">
    <cfRule type="expression" dxfId="2" priority="65">
      <formula>AND($K$199=1,$B$199="")</formula>
    </cfRule>
  </conditionalFormatting>
  <conditionalFormatting sqref="B200">
    <cfRule type="expression" dxfId="2" priority="67">
      <formula>AND($K$200=1,$B$200="")</formula>
    </cfRule>
  </conditionalFormatting>
  <conditionalFormatting sqref="B201">
    <cfRule type="expression" dxfId="2" priority="69">
      <formula>AND($K$201=1,$B$201="")</formula>
    </cfRule>
  </conditionalFormatting>
  <conditionalFormatting sqref="B23">
    <cfRule type="expression" dxfId="2" priority="128">
      <formula>NOT(ISNUMBER($B$23))</formula>
    </cfRule>
  </conditionalFormatting>
  <conditionalFormatting sqref="B24">
    <cfRule type="expression" dxfId="2" priority="129">
      <formula>NOT($B$24&lt;&gt;"")</formula>
    </cfRule>
  </conditionalFormatting>
  <conditionalFormatting sqref="B25">
    <cfRule type="expression" dxfId="2" priority="130">
      <formula>NOT(ISNUMBER($B$25))</formula>
    </cfRule>
  </conditionalFormatting>
  <conditionalFormatting sqref="B26">
    <cfRule type="expression" dxfId="2" priority="131">
      <formula>NOT($B$26&lt;&gt;"")</formula>
    </cfRule>
  </conditionalFormatting>
  <conditionalFormatting sqref="B27">
    <cfRule type="expression" dxfId="2" priority="132">
      <formula>NOT(OR(NOT($B$17="P1"),$B$27&lt;&gt;""))</formula>
    </cfRule>
  </conditionalFormatting>
  <conditionalFormatting sqref="B28">
    <cfRule type="expression" dxfId="2" priority="133">
      <formula>NOT($B$28&lt;&gt;"")</formula>
    </cfRule>
  </conditionalFormatting>
  <conditionalFormatting sqref="B29">
    <cfRule type="expression" dxfId="2" priority="134">
      <formula>NOT($B$29&lt;&gt;"")</formula>
    </cfRule>
  </conditionalFormatting>
  <conditionalFormatting sqref="B30">
    <cfRule type="expression" dxfId="2" priority="135">
      <formula>NOT($B$30&lt;&gt;"")</formula>
    </cfRule>
  </conditionalFormatting>
  <conditionalFormatting sqref="B31">
    <cfRule type="expression" dxfId="2" priority="136">
      <formula>NOT($B$31&lt;&gt;"")</formula>
    </cfRule>
  </conditionalFormatting>
  <conditionalFormatting sqref="B32">
    <cfRule type="expression" dxfId="2" priority="137">
      <formula>NOT($B$32&lt;&gt;"")</formula>
    </cfRule>
  </conditionalFormatting>
  <conditionalFormatting sqref="B33">
    <cfRule type="expression" dxfId="2" priority="138">
      <formula>NOT(ISNUMBER($B$33))</formula>
    </cfRule>
  </conditionalFormatting>
  <conditionalFormatting sqref="B39">
    <cfRule type="expression" dxfId="2" priority="139">
      <formula>NOT(N($B$47)&gt;0)</formula>
    </cfRule>
  </conditionalFormatting>
  <conditionalFormatting sqref="B4">
    <cfRule type="expression" dxfId="1" priority="1">
      <formula>AND(ISNUMBER($B$4),$B$4=0)</formula>
    </cfRule>
    <cfRule type="expression" dxfId="2" priority="2">
      <formula>AND(ISNUMBER($B$4),$B$4&gt;0)</formula>
    </cfRule>
  </conditionalFormatting>
  <conditionalFormatting sqref="B50">
    <cfRule type="expression" dxfId="2" priority="141">
      <formula>NOT(OR(NOT(AND($B$17="P1",ISNUMBER($B$48),N($B$48)&gt;=P_N3_V,N($B$48)&lt;P_N3_F)),$B$50&lt;&gt;""))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70">
    <cfRule type="expression" dxfId="2" priority="142">
      <formula>NOT(ISNUMBER($B$70))</formula>
    </cfRule>
  </conditionalFormatting>
  <conditionalFormatting sqref="B72:C73">
    <cfRule type="expression" dxfId="2" priority="12">
      <formula>AND(COUNT($B$72:$B$131)&lt;2,B72="")</formula>
    </cfRule>
  </conditionalFormatting>
  <conditionalFormatting sqref="C72:C131">
    <cfRule type="expression" dxfId="2" priority="11">
      <formula>AND(ISNUMBER($B72),NOT(ISNUMBER($C72)))</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33">
    <cfRule type="cellIs" dxfId="0" priority="16" operator="equal">
      <formula>"Critique"</formula>
    </cfRule>
    <cfRule type="cellIs" dxfId="3" priority="17" operator="equal">
      <formula>"Vigilance"</formula>
    </cfRule>
  </conditionalFormatting>
  <conditionalFormatting sqref="E134">
    <cfRule type="cellIs" dxfId="0" priority="18" operator="equal">
      <formula>"Critique"</formula>
    </cfRule>
    <cfRule type="cellIs" dxfId="3" priority="19" operator="equal">
      <formula>"Vigilance"</formula>
    </cfRule>
  </conditionalFormatting>
  <conditionalFormatting sqref="E222">
    <cfRule type="expression" dxfId="2" priority="70">
      <formula>$E$222=""</formula>
    </cfRule>
  </conditionalFormatting>
  <conditionalFormatting sqref="E223">
    <cfRule type="expression" dxfId="2" priority="72">
      <formula>$E$223=""</formula>
    </cfRule>
  </conditionalFormatting>
  <conditionalFormatting sqref="E224">
    <cfRule type="expression" dxfId="2" priority="74">
      <formula>$E$224=""</formula>
    </cfRule>
  </conditionalFormatting>
  <conditionalFormatting sqref="E225">
    <cfRule type="expression" dxfId="2" priority="76">
      <formula>$E$225=""</formula>
    </cfRule>
  </conditionalFormatting>
  <conditionalFormatting sqref="E226">
    <cfRule type="expression" dxfId="2" priority="78">
      <formula>$E$226=""</formula>
    </cfRule>
  </conditionalFormatting>
  <conditionalFormatting sqref="E227">
    <cfRule type="expression" dxfId="2" priority="80">
      <formula>$E$227=""</formula>
    </cfRule>
  </conditionalFormatting>
  <conditionalFormatting sqref="E228">
    <cfRule type="expression" dxfId="2" priority="82">
      <formula>$E$228=""</formula>
    </cfRule>
  </conditionalFormatting>
  <conditionalFormatting sqref="E229">
    <cfRule type="expression" dxfId="2" priority="84">
      <formula>$E$229=""</formula>
    </cfRule>
  </conditionalFormatting>
  <conditionalFormatting sqref="E230">
    <cfRule type="expression" dxfId="2" priority="86">
      <formula>$E$230=""</formula>
    </cfRule>
  </conditionalFormatting>
  <conditionalFormatting sqref="E231">
    <cfRule type="expression" dxfId="2" priority="88">
      <formula>$E$231=""</formula>
    </cfRule>
  </conditionalFormatting>
  <conditionalFormatting sqref="E232">
    <cfRule type="expression" dxfId="2" priority="90">
      <formula>$E$232=""</formula>
    </cfRule>
  </conditionalFormatting>
  <conditionalFormatting sqref="E233">
    <cfRule type="expression" dxfId="2" priority="92">
      <formula>$E$233=""</formula>
    </cfRule>
  </conditionalFormatting>
  <conditionalFormatting sqref="E237">
    <cfRule type="cellIs" dxfId="0" priority="94" operator="equal">
      <formula>"Oui"</formula>
    </cfRule>
    <cfRule type="cellIs" dxfId="3" priority="95" operator="equal">
      <formula>"n.r."</formula>
    </cfRule>
  </conditionalFormatting>
  <conditionalFormatting sqref="E238">
    <cfRule type="cellIs" dxfId="0" priority="96" operator="equal">
      <formula>"Oui"</formula>
    </cfRule>
    <cfRule type="cellIs" dxfId="3" priority="97" operator="equal">
      <formula>"n.r."</formula>
    </cfRule>
  </conditionalFormatting>
  <conditionalFormatting sqref="E239">
    <cfRule type="cellIs" dxfId="0" priority="98" operator="equal">
      <formula>"Oui"</formula>
    </cfRule>
    <cfRule type="cellIs" dxfId="3" priority="99" operator="equal">
      <formula>"n.r."</formula>
    </cfRule>
  </conditionalFormatting>
  <conditionalFormatting sqref="E240">
    <cfRule type="cellIs" dxfId="0" priority="100" operator="equal">
      <formula>"Oui"</formula>
    </cfRule>
    <cfRule type="cellIs" dxfId="3" priority="101" operator="equal">
      <formula>"n.r."</formula>
    </cfRule>
  </conditionalFormatting>
  <conditionalFormatting sqref="E241">
    <cfRule type="cellIs" dxfId="0" priority="102" operator="equal">
      <formula>"Oui"</formula>
    </cfRule>
    <cfRule type="cellIs" dxfId="3" priority="103" operator="equal">
      <formula>"n.r."</formula>
    </cfRule>
  </conditionalFormatting>
  <conditionalFormatting sqref="E242">
    <cfRule type="cellIs" dxfId="0" priority="104" operator="equal">
      <formula>"Oui"</formula>
    </cfRule>
    <cfRule type="cellIs" dxfId="3" priority="105" operator="equal">
      <formula>"n.r."</formula>
    </cfRule>
  </conditionalFormatting>
  <conditionalFormatting sqref="E243">
    <cfRule type="cellIs" dxfId="0" priority="106" operator="equal">
      <formula>"Oui"</formula>
    </cfRule>
    <cfRule type="cellIs" dxfId="3" priority="107" operator="equal">
      <formula>"n.r."</formula>
    </cfRule>
  </conditionalFormatting>
  <conditionalFormatting sqref="E244">
    <cfRule type="cellIs" dxfId="0" priority="108" operator="equal">
      <formula>"Oui"</formula>
    </cfRule>
    <cfRule type="cellIs" dxfId="3" priority="109" operator="equal">
      <formula>"n.r."</formula>
    </cfRule>
  </conditionalFormatting>
  <conditionalFormatting sqref="E245">
    <cfRule type="cellIs" dxfId="0" priority="110" operator="equal">
      <formula>"Oui"</formula>
    </cfRule>
    <cfRule type="cellIs" dxfId="3" priority="111" operator="equal">
      <formula>"n.r."</formula>
    </cfRule>
  </conditionalFormatting>
  <conditionalFormatting sqref="E246">
    <cfRule type="cellIs" dxfId="0" priority="112" operator="equal">
      <formula>"Oui"</formula>
    </cfRule>
    <cfRule type="cellIs" dxfId="3" priority="113" operator="equal">
      <formula>"n.r."</formula>
    </cfRule>
  </conditionalFormatting>
  <conditionalFormatting sqref="E247">
    <cfRule type="cellIs" dxfId="0" priority="114" operator="equal">
      <formula>"Oui"</formula>
    </cfRule>
    <cfRule type="cellIs" dxfId="3" priority="115" operator="equal">
      <formula>"n.r."</formula>
    </cfRule>
  </conditionalFormatting>
  <conditionalFormatting sqref="E248">
    <cfRule type="cellIs" dxfId="0" priority="116" operator="equal">
      <formula>"Oui"</formula>
    </cfRule>
    <cfRule type="cellIs" dxfId="3" priority="117" operator="equal">
      <formula>"n.r."</formula>
    </cfRule>
  </conditionalFormatting>
  <conditionalFormatting sqref="E249">
    <cfRule type="cellIs" dxfId="0" priority="118" operator="equal">
      <formula>"Oui"</formula>
    </cfRule>
    <cfRule type="cellIs" dxfId="3" priority="119" operator="equal">
      <formula>"n.r."</formula>
    </cfRule>
  </conditionalFormatting>
  <conditionalFormatting sqref="E250">
    <cfRule type="cellIs" dxfId="0" priority="120" operator="equal">
      <formula>"Oui"</formula>
    </cfRule>
    <cfRule type="cellIs" dxfId="3" priority="121" operator="equal">
      <formula>"n.r."</formula>
    </cfRule>
  </conditionalFormatting>
  <conditionalFormatting sqref="E251">
    <cfRule type="cellIs" dxfId="0" priority="122" operator="equal">
      <formula>"Oui"</formula>
    </cfRule>
    <cfRule type="cellIs" dxfId="3" priority="123" operator="equal">
      <formula>"n.r."</formula>
    </cfRule>
  </conditionalFormatting>
  <conditionalFormatting sqref="E39">
    <cfRule type="expression" dxfId="2" priority="140">
      <formula>NOT(N($E$47)&gt;0)</formula>
    </cfRule>
  </conditionalFormatting>
  <conditionalFormatting sqref="E72:E131">
    <cfRule type="cellIs" dxfId="0" priority="13" operator="equal">
      <formula>"Critique"</formula>
    </cfRule>
    <cfRule type="cellIs" dxfId="3" priority="14" operator="equal">
      <formula>"Vigilance"</formula>
    </cfRule>
    <cfRule type="cellIs" dxfId="1" priority="15" operator="equal">
      <formula>"Très favorable"</formula>
    </cfRule>
  </conditionalFormatting>
  <conditionalFormatting sqref="F222">
    <cfRule type="cellIs" dxfId="0" priority="71" operator="equal">
      <formula>"Oui"</formula>
    </cfRule>
  </conditionalFormatting>
  <conditionalFormatting sqref="F223">
    <cfRule type="cellIs" dxfId="0" priority="73" operator="equal">
      <formula>"Oui"</formula>
    </cfRule>
  </conditionalFormatting>
  <conditionalFormatting sqref="F224">
    <cfRule type="cellIs" dxfId="0" priority="75" operator="equal">
      <formula>"Oui"</formula>
    </cfRule>
  </conditionalFormatting>
  <conditionalFormatting sqref="F225">
    <cfRule type="cellIs" dxfId="0" priority="77" operator="equal">
      <formula>"Oui"</formula>
    </cfRule>
  </conditionalFormatting>
  <conditionalFormatting sqref="F226">
    <cfRule type="cellIs" dxfId="0" priority="79" operator="equal">
      <formula>"Oui"</formula>
    </cfRule>
  </conditionalFormatting>
  <conditionalFormatting sqref="F227">
    <cfRule type="cellIs" dxfId="0" priority="81" operator="equal">
      <formula>"Oui"</formula>
    </cfRule>
  </conditionalFormatting>
  <conditionalFormatting sqref="F228">
    <cfRule type="cellIs" dxfId="0" priority="83" operator="equal">
      <formula>"Oui"</formula>
    </cfRule>
  </conditionalFormatting>
  <conditionalFormatting sqref="F229">
    <cfRule type="cellIs" dxfId="0" priority="85" operator="equal">
      <formula>"Oui"</formula>
    </cfRule>
  </conditionalFormatting>
  <conditionalFormatting sqref="F230">
    <cfRule type="cellIs" dxfId="0" priority="87" operator="equal">
      <formula>"Oui"</formula>
    </cfRule>
  </conditionalFormatting>
  <conditionalFormatting sqref="F231">
    <cfRule type="cellIs" dxfId="0" priority="89" operator="equal">
      <formula>"Oui"</formula>
    </cfRule>
  </conditionalFormatting>
  <conditionalFormatting sqref="F232">
    <cfRule type="cellIs" dxfId="0" priority="91" operator="equal">
      <formula>"Oui"</formula>
    </cfRule>
  </conditionalFormatting>
  <conditionalFormatting sqref="F233">
    <cfRule type="cellIs" dxfId="0" priority="93" operator="equal">
      <formula>"Oui"</formula>
    </cfRule>
  </conditionalFormatting>
  <conditionalFormatting sqref="F39:F46">
    <cfRule type="expression" dxfId="2" priority="10">
      <formula>AND(ISNUMBER($E39),$F39="")</formula>
    </cfRule>
  </conditionalFormatting>
  <dataValidations count="100">
    <dataValidation allowBlank="1" showInputMessage="1" showErrorMessage="1" promptTitle="Intitulé du dossier" prompt="Référence et nom du projet, ex. « PF-2026-014 · Centrale solaire de Ouarzazate »."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5">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sectoriel Δ au seuil DSCR du régime (onglet Paramètres)." sqref="B16">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17">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18">
      <formula1>L_Periodicite</formula1>
    </dataValidation>
    <dataValidation allowBlank="1" showInputMessage="1" showErrorMessage="1" promptTitle="Famille de financement" prompt="PF-FLUX : société de projet remboursée par les flux du projet. La vente d'actifs (R5) est hors outil." sqref="B19"/>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3">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4">
      <formula1>L_OuiNon</formula1>
    </dataValidation>
    <dataValidation type="decimal" allowBlank="1" showInputMessage="1" showErrorMessage="1" errorTitle="Valeur non admise" error="Saisissez une durée en années (0 à 99)." promptTitle="Durée du financement" prompt="Durée totale de la dette, en années. Ex. : 15." sqref="B25">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6">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27">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28">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29">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0">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1">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2">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3">
      <formula1>0</formula1>
      <formula2>99</formula2>
    </dataValidation>
    <dataValidation allowBlank="1" showInputMessage="1" showErrorMessage="1" promptTitle="Emploi" prompt="Poste du besoin à terminaison : CAPEX, intérêts intercalaires, DSRA initiale, aléas…" sqref="A39:A46"/>
    <dataValidation type="decimal" operator="greaterThanOrEqual" allowBlank="1" showInputMessage="1" showErrorMessage="1" errorTitle="Valeur non admise" error="Saisissez un nombre positif ou nul." promptTitle="Montant de l'emploi" prompt="Montant en millions de dirhams (MMAD)." sqref="B39:B46">
      <formula1>0</formula1>
    </dataValidation>
    <dataValidation allowBlank="1" showInputMessage="1" showErrorMessage="1" promptTitle="Ressource" prompt="Ressource engagée : dette senior, capital, quasi-fonds propres, subvention…" sqref="D39:D46"/>
    <dataValidation type="decimal" operator="greaterThanOrEqual" allowBlank="1" showInputMessage="1" showErrorMessage="1" errorTitle="Valeur non admise" error="Saisissez un nombre positif ou nul." promptTitle="Montant de la ressource" prompt="Montant engagé, en millions de dirhams (MMAD)." sqref="E39:E46">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39:F46">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0">
      <formula1>L_OuiNon</formula1>
    </dataValidation>
    <dataValidation allowBlank="1" showInputMessage="1" showErrorMessage="1" promptTitle="Hypothèse d'exploitation" prompt="Information libre, non utilisée par le calcul." sqref="A53:B60"/>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70">
      <formula1>0</formula1>
      <formula2>0.95</formula2>
    </dataValidation>
    <dataValidation allowBlank="1" showInputMessage="1" showErrorMessage="1" promptTitle="Description du stress" prompt="Décrivez le scénario défavorable, ex. « production P90 et tarif −10 % »." sqref="C70"/>
    <dataValidation allowBlank="1" showInputMessage="1" showErrorMessage="1" promptTitle="Période" prompt="Libellé de l'échéance, ex. « An 1 · S1 ». Le bouton « Préparer l'échéancier » les génère." sqref="A72:A131"/>
    <dataValidation type="decimal" allowBlank="1" showInputMessage="1" showErrorMessage="1" errorTitle="Valeur non admise" error="Saisissez un nombre." promptTitle="CFADS central" prompt="Flux disponible pour le service de la dette sur la période, en MMAD. Un CFADS négatif est noté Critique d'office." sqref="B72:B131">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72:C131">
      <formula1>0</formula1>
    </dataValidation>
    <dataValidation type="decimal" allowBlank="1" showInputMessage="1" showErrorMessage="1" errorTitle="Valeur non admise" error="Saisissez un nombre." promptTitle="CFADS stressé (facultatif)" prompt="Laisser vide pour appliquer le choc de la ligne 70. Sinon, CFADS du scénario défavorable issu du modèle de flux." sqref="F72:F131">
      <formula1>-1000000000.0</formula1>
      <formula2>1000000000.0</formula2>
    </dataValidation>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5">
      <formula1>L_Notes</formula1>
    </dataValidation>
    <dataValidation allowBlank="1" showInputMessage="1" showErrorMessage="1" promptTitle="Justification" prompt="Mesure et pièce justificative, ex. « DSRA 6 mois, cascade de paiement signée »." sqref="E145"/>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6">
      <formula1>L_Notes</formula1>
    </dataValidation>
    <dataValidation allowBlank="1" showInputMessage="1" showErrorMessage="1" promptTitle="Justification" prompt="Mesure et pièce justificative, ex. « DSRA 6 mois, cascade de paiement signée »." sqref="E146"/>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7">
      <formula1>L_Notes</formula1>
    </dataValidation>
    <dataValidation allowBlank="1" showInputMessage="1" showErrorMessage="1" promptTitle="Justification" prompt="Mesure et pièce justificative, ex. « DSRA 6 mois, cascade de paiement signée »." sqref="E147"/>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50">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51">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52">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53">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54">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55">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56">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57">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58">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59">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60">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61">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62">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63">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64">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65">
      <formula1>L_OuiNon</formula1>
    </dataValidation>
    <dataValidation allowBlank="1" showInputMessage="1" showErrorMessage="1" promptTitle="Commentaire du domaine" prompt="Constats et pièces qui justifient les notes du domaine." sqref="E16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2">
      <formula1>L_Notes</formula1>
    </dataValidation>
    <dataValidation allowBlank="1" showInputMessage="1" showErrorMessage="1" promptTitle="Commentaire du domaine" prompt="Constats et pièces qui justifient les notes du domaine." sqref="E17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6">
      <formula1>L_Notes</formula1>
    </dataValidation>
    <dataValidation allowBlank="1" showInputMessage="1" showErrorMessage="1" promptTitle="Commentaire du domaine" prompt="Constats et pièces qui justifient les notes du domaine." sqref="E17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0">
      <formula1>L_Notes</formula1>
    </dataValidation>
    <dataValidation allowBlank="1" showInputMessage="1" showErrorMessage="1" promptTitle="Commentaire du domaine" prompt="Constats et pièces qui justifient les notes du domaine." sqref="E181"/>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2">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3">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4">
      <formula1>L_Notes</formula1>
    </dataValidation>
    <dataValidation allowBlank="1" showInputMessage="1" showErrorMessage="1" promptTitle="Commentaire du domaine" prompt="Constats et pièces qui justifient les notes du domaine." sqref="E185"/>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6">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7">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8">
      <formula1>L_Notes</formula1>
    </dataValidation>
    <dataValidation allowBlank="1" showInputMessage="1" showErrorMessage="1" promptTitle="Commentaire du domaine" prompt="Constats et pièces qui justifient les notes du domaine." sqref="E18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2">
      <formula1>L_Notes</formula1>
    </dataValidation>
    <dataValidation allowBlank="1" showInputMessage="1" showErrorMessage="1" promptTitle="Commentaire du domaine" prompt="Constats et pièces qui justifient les notes du domaine." sqref="E19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6">
      <formula1>L_Notes</formula1>
    </dataValidation>
    <dataValidation allowBlank="1" showInputMessage="1" showErrorMessage="1" promptTitle="Commentaire du domaine" prompt="Constats et pièces qui justifient les notes du domaine." sqref="E19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1">
      <formula1>L_Notes</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0">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31">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3">
      <formula1>L_OuiNon</formula1>
    </dataValidation>
    <dataValidation allowBlank="1" showInputMessage="1" showErrorMessage="1" promptTitle="Conclusion" prompt="Ce que le dossier enseigne, ou la recommandation de l'analyste au comité." sqref="A259"/>
  </dataValidations>
  <pageMargins left="0.7" right="0.7" top="0.75" bottom="0.75" header="0.3" footer="0.3"/>
  <pageSetup paperSize="9" fitToHeight="0" orientation="landscape"/>
  <legacyDrawing r:id="rId1"/>
</worksheet>
</file>

<file path=xl/worksheets/sheet8.xml><?xml version="1.0" encoding="utf-8"?>
<worksheet xmlns="http://schemas.openxmlformats.org/spreadsheetml/2006/main" xmlns:r="http://schemas.openxmlformats.org/officeDocument/2006/relationships">
  <sheetPr>
    <pageSetUpPr fitToPage="1"/>
  </sheetPr>
  <dimension ref="A1:R259"/>
  <sheetViews>
    <sheetView showGridLines="0" workbookViewId="0">
      <pane ySplit="12" topLeftCell="A13" activePane="bottomLeft" state="frozen"/>
      <selection pane="bottomLeft"/>
    </sheetView>
  </sheetViews>
  <sheetFormatPr defaultRowHeight="15"/>
  <cols>
    <col min="1" max="1" width="46.7109375" customWidth="1"/>
    <col min="2" max="7" width="14.7109375" customWidth="1"/>
    <col min="8" max="8" width="18.7109375" customWidth="1"/>
    <col min="9" max="9" width="3.7109375" customWidth="1"/>
    <col min="10" max="13" width="10.7109375" hidden="1" customWidth="1"/>
    <col min="14" max="14" width="24.7109375" customWidth="1"/>
    <col min="15" max="15" width="3.7109375" customWidth="1"/>
    <col min="16" max="18" width="10.7109375" hidden="1" customWidth="1"/>
  </cols>
  <sheetData>
    <row r="1" spans="1:18">
      <c r="A1" s="30" t="s">
        <v>687</v>
      </c>
      <c r="J1" s="31" t="s">
        <v>278</v>
      </c>
    </row>
    <row r="2" spans="1:18">
      <c r="A2" s="32" t="s">
        <v>661</v>
      </c>
    </row>
    <row r="3" spans="1:18" ht="42" customHeight="1">
      <c r="A3" s="33" t="s">
        <v>688</v>
      </c>
      <c r="B3" s="33"/>
      <c r="C3" s="33"/>
      <c r="D3" s="33"/>
      <c r="E3" s="33"/>
      <c r="F3" s="33"/>
      <c r="G3" s="33"/>
      <c r="H3" s="33"/>
    </row>
    <row r="4" spans="1:18" ht="22" customHeight="1">
      <c r="A4" s="22" t="s">
        <v>282</v>
      </c>
      <c r="B4" s="14">
        <f>COUNTIF($R$14:$R$56,0)</f>
        <v>0</v>
      </c>
      <c r="C4" s="34">
        <f>IF(B4=0,"Saisie complète : lisez la note ci-dessous, puis « Fiche comité ».","Prochaine saisie : "&amp;INDEX($P$14:$P$56,MATCH(0,$R$14:$R$56,0)))</f>
        <v>0</v>
      </c>
      <c r="D4" s="34"/>
      <c r="E4" s="34"/>
      <c r="F4" s="34"/>
      <c r="G4" s="12">
        <f>IF(B4=0,"",HYPERLINK("#"&amp;INDEX($Q$14:$Q$56,MATCH(0,$R$14:$R$56,0)),"→ Aller à la cellule "&amp;INDEX($Q$14:$Q$56,MATCH(0,$R$14:$R$56,0))))</f>
        <v>0</v>
      </c>
      <c r="H4" s="12"/>
    </row>
    <row r="5" spans="1:18">
      <c r="A5" s="3" t="s">
        <v>284</v>
      </c>
      <c r="B5" s="3"/>
      <c r="C5" s="3"/>
      <c r="D5" s="3"/>
      <c r="E5" s="3"/>
      <c r="F5" s="3"/>
      <c r="G5" s="3"/>
      <c r="H5" s="3"/>
    </row>
    <row r="6" spans="1:18" ht="34" customHeight="1">
      <c r="A6" s="22" t="s">
        <v>285</v>
      </c>
      <c r="B6" s="25">
        <f>B255</f>
        <v>0</v>
      </c>
      <c r="C6" s="22" t="s">
        <v>4</v>
      </c>
      <c r="D6" s="34">
        <f>IFERROR(INDEX(P_ConvLib,MATCH(B255,P_ConvNote,0)),"")</f>
        <v>0</v>
      </c>
      <c r="E6" s="22" t="s">
        <v>286</v>
      </c>
      <c r="F6" s="34">
        <f>B256</f>
        <v>0</v>
      </c>
      <c r="G6" s="34"/>
      <c r="H6" s="34"/>
    </row>
    <row r="7" spans="1:18">
      <c r="A7" s="22" t="s">
        <v>287</v>
      </c>
      <c r="B7" s="14">
        <f>B217</f>
        <v>0</v>
      </c>
      <c r="C7" s="22" t="s">
        <v>288</v>
      </c>
      <c r="D7" s="14">
        <f>B218</f>
        <v>0</v>
      </c>
      <c r="E7" s="22" t="s">
        <v>289</v>
      </c>
      <c r="F7" s="34">
        <f>IF(B252&gt;=10,"Aucun (10)",B252)</f>
        <v>0</v>
      </c>
      <c r="G7" s="34"/>
      <c r="H7" s="34"/>
    </row>
    <row r="8" spans="1:18">
      <c r="A8" s="22" t="s">
        <v>290</v>
      </c>
      <c r="B8" s="34">
        <f>IF(TRIM(IF(E237="Oui","C1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",""))="","Aucun",TRIM(IF(E237="Oui","C1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","")))&amp;IF(COUNTIF(E237:E251,"n.r.")&gt;0,"   —   "&amp;COUNTIF(E237:E251,"n.r.")&amp;" plafond(s) non évalué(s) faute de donnée","")</f>
        <v>0</v>
      </c>
      <c r="C8" s="34"/>
      <c r="D8" s="34"/>
      <c r="E8" s="34"/>
      <c r="F8" s="34"/>
      <c r="G8" s="34"/>
      <c r="H8" s="34"/>
    </row>
    <row r="9" spans="1:18">
      <c r="A9" s="22" t="s">
        <v>291</v>
      </c>
      <c r="B9" s="34">
        <f>IF(TRIM(IF(F222="Oui","X1  ","")&amp;IF(F223="Oui","X2  ","")&amp;IF(F224="Oui","X3  ","")&amp;IF(F225="Oui","X4  ","")&amp;IF(F226="Oui","B1  ","")&amp;IF(F227="Oui","B2  ","")&amp;IF(F228="Oui","B3  ","")&amp;IF(F229="Oui","B4  ","")&amp;IF(F230="Oui","B5  ","")&amp;IF(F231="Oui","B6  ","")&amp;IF(F232="Oui","B7  ","")&amp;IF(F233="Oui","B8  ",""))="","Aucun",TRIM(IF(F222="Oui","X1  ","")&amp;IF(F223="Oui","X2  ","")&amp;IF(F224="Oui","X3  ","")&amp;IF(F225="Oui","X4  ","")&amp;IF(F226="Oui","B1  ","")&amp;IF(F227="Oui","B2  ","")&amp;IF(F228="Oui","B3  ","")&amp;IF(F229="Oui","B4  ","")&amp;IF(F230="Oui","B5  ","")&amp;IF(F231="Oui","B6  ","")&amp;IF(F232="Oui","B7  ","")&amp;IF(F233="Oui","B8  ","")))</f>
        <v>0</v>
      </c>
      <c r="C9" s="34"/>
      <c r="D9" s="34"/>
      <c r="E9" s="34"/>
      <c r="F9" s="34"/>
      <c r="G9" s="34"/>
      <c r="H9" s="34"/>
    </row>
    <row r="10" spans="1:18">
      <c r="A10" s="22" t="s">
        <v>292</v>
      </c>
      <c r="B10" s="14">
        <f>B35</f>
        <v>0</v>
      </c>
      <c r="C10" s="22" t="s">
        <v>293</v>
      </c>
      <c r="D10" s="35">
        <f>D133</f>
        <v>0</v>
      </c>
      <c r="E10" s="22" t="s">
        <v>294</v>
      </c>
      <c r="F10" s="35">
        <f>D134</f>
        <v>0</v>
      </c>
    </row>
    <row r="11" spans="1:18">
      <c r="A11" s="22" t="s">
        <v>295</v>
      </c>
      <c r="B11" s="36">
        <f>B204</f>
        <v>0</v>
      </c>
      <c r="C11" s="22" t="s">
        <v>296</v>
      </c>
      <c r="D11" s="14">
        <f>D148</f>
        <v>0</v>
      </c>
      <c r="E11" s="22" t="s">
        <v>109</v>
      </c>
      <c r="F11" s="34">
        <f>IFERROR(INDEX(P_ConvOrient,MATCH(B255,P_ConvNote,0)),"")</f>
        <v>0</v>
      </c>
      <c r="G11" s="34"/>
      <c r="H11" s="34"/>
    </row>
    <row r="12" spans="1:18">
      <c r="A12" s="37" t="s">
        <v>283</v>
      </c>
      <c r="B12" s="38">
        <f>HYPERLINK("#A13","1 · Routage")</f>
        <v>0</v>
      </c>
      <c r="C12" s="38">
        <f>HYPERLINK("#A37","3 · Sources")</f>
        <v>0</v>
      </c>
      <c r="D12" s="38">
        <f>HYPERLINK("#A69","6 · Échéancier")</f>
        <v>0</v>
      </c>
      <c r="E12" s="38">
        <f>HYPERLINK("#A140","7 · Noyau")</f>
        <v>0</v>
      </c>
      <c r="F12" s="38">
        <f>HYPERLINK("#A167","8 · Grille")</f>
        <v>0</v>
      </c>
      <c r="G12" s="38">
        <f>HYPERLINK("#A220","10 · Verrous")</f>
        <v>0</v>
      </c>
      <c r="H12" s="38">
        <f>HYPERLINK("#A235","11 · Plafonds")</f>
        <v>0</v>
      </c>
    </row>
    <row r="13" spans="1:18">
      <c r="A13" s="3" t="s">
        <v>297</v>
      </c>
      <c r="B13" s="3"/>
      <c r="C13" s="3"/>
      <c r="D13" s="3"/>
      <c r="E13" s="3"/>
      <c r="F13" s="3"/>
      <c r="G13" s="3"/>
      <c r="H13" s="3"/>
    </row>
    <row r="14" spans="1:18">
      <c r="A14" s="11" t="s">
        <v>298</v>
      </c>
      <c r="B14" s="11" t="s">
        <v>94</v>
      </c>
      <c r="C14" s="11" t="s">
        <v>4</v>
      </c>
      <c r="D14" s="11"/>
      <c r="E14" s="11"/>
      <c r="F14" s="11"/>
      <c r="G14" s="11"/>
      <c r="H14" s="11"/>
      <c r="P14" s="31" t="s">
        <v>509</v>
      </c>
      <c r="Q14" s="31" t="s">
        <v>510</v>
      </c>
      <c r="R14" s="31">
        <f>IF($B$15&lt;&gt;"",1,0)</f>
        <v>0</v>
      </c>
    </row>
    <row r="15" spans="1:18">
      <c r="A15" s="17" t="s">
        <v>299</v>
      </c>
      <c r="B15" s="5" t="s">
        <v>12</v>
      </c>
      <c r="C15" s="13">
        <f>IFERROR(INDEX(P_RegLib,MATCH(B15,P_Regimes,0)),"")</f>
        <v>0</v>
      </c>
      <c r="D15" s="13"/>
      <c r="E15" s="13"/>
      <c r="F15" s="13"/>
      <c r="G15" s="13"/>
      <c r="H15" s="13"/>
      <c r="P15" s="31" t="s">
        <v>511</v>
      </c>
      <c r="Q15" s="31" t="s">
        <v>512</v>
      </c>
      <c r="R15" s="31">
        <f>IF($B$16&lt;&gt;"",1,0)</f>
        <v>0</v>
      </c>
    </row>
    <row r="16" spans="1:18">
      <c r="A16" s="17" t="s">
        <v>300</v>
      </c>
      <c r="B16" s="5" t="s">
        <v>39</v>
      </c>
      <c r="C16" s="13">
        <f>IFERROR(INDEX(P_SecLib,MATCH(B16,P_SecCodes,0)),"")</f>
        <v>0</v>
      </c>
      <c r="D16" s="13"/>
      <c r="E16" s="13"/>
      <c r="F16" s="13"/>
      <c r="G16" s="13"/>
      <c r="H16" s="13"/>
      <c r="P16" s="31" t="s">
        <v>513</v>
      </c>
      <c r="Q16" s="31" t="s">
        <v>514</v>
      </c>
      <c r="R16" s="31">
        <f>IF($B$17&lt;&gt;"",1,0)</f>
        <v>0</v>
      </c>
    </row>
    <row r="17" spans="1:18">
      <c r="A17" s="17" t="s">
        <v>301</v>
      </c>
      <c r="B17" s="5" t="s">
        <v>52</v>
      </c>
      <c r="C17" s="13">
        <f>IFERROR(INDEX(P_PhaseLib,MATCH(B17,P_PhaseCodes,0)),"")</f>
        <v>0</v>
      </c>
      <c r="D17" s="13"/>
      <c r="E17" s="13"/>
      <c r="F17" s="13"/>
      <c r="G17" s="13"/>
      <c r="H17" s="13"/>
      <c r="P17" s="31" t="s">
        <v>515</v>
      </c>
      <c r="Q17" s="31" t="s">
        <v>516</v>
      </c>
      <c r="R17" s="31">
        <f>IF($B$18&lt;&gt;"",1,0)</f>
        <v>0</v>
      </c>
    </row>
    <row r="18" spans="1:18">
      <c r="A18" s="17" t="s">
        <v>302</v>
      </c>
      <c r="B18" s="5" t="s">
        <v>262</v>
      </c>
      <c r="C18" s="13" t="s">
        <v>303</v>
      </c>
      <c r="D18" s="13"/>
      <c r="E18" s="13"/>
      <c r="F18" s="13"/>
      <c r="G18" s="13"/>
      <c r="H18" s="13"/>
      <c r="P18" s="31" t="s">
        <v>517</v>
      </c>
      <c r="Q18" s="31" t="s">
        <v>518</v>
      </c>
      <c r="R18" s="31">
        <f>IF(ISNUMBER($B$23),1,0)</f>
        <v>0</v>
      </c>
    </row>
    <row r="19" spans="1:18">
      <c r="A19" s="17" t="s">
        <v>304</v>
      </c>
      <c r="B19" s="5" t="s">
        <v>305</v>
      </c>
      <c r="C19" s="13" t="s">
        <v>306</v>
      </c>
      <c r="D19" s="13"/>
      <c r="E19" s="13"/>
      <c r="F19" s="13"/>
      <c r="G19" s="13"/>
      <c r="H19" s="13"/>
      <c r="P19" s="31" t="s">
        <v>519</v>
      </c>
      <c r="Q19" s="31" t="s">
        <v>520</v>
      </c>
      <c r="R19" s="31">
        <f>IF($B$24&lt;&gt;"",1,0)</f>
        <v>0</v>
      </c>
    </row>
    <row r="20" spans="1:18">
      <c r="P20" s="31" t="s">
        <v>521</v>
      </c>
      <c r="Q20" s="31" t="s">
        <v>522</v>
      </c>
      <c r="R20" s="31">
        <f>IF(ISNUMBER($B$25),1,0)</f>
        <v>0</v>
      </c>
    </row>
    <row r="21" spans="1:18">
      <c r="A21" s="3" t="s">
        <v>307</v>
      </c>
      <c r="B21" s="3"/>
      <c r="C21" s="3"/>
      <c r="D21" s="3"/>
      <c r="E21" s="3"/>
      <c r="F21" s="3"/>
      <c r="G21" s="3"/>
      <c r="H21" s="3"/>
      <c r="P21" s="31" t="s">
        <v>523</v>
      </c>
      <c r="Q21" s="31" t="s">
        <v>524</v>
      </c>
      <c r="R21" s="31">
        <f>IF($B$26&lt;&gt;"",1,0)</f>
        <v>0</v>
      </c>
    </row>
    <row r="22" spans="1:18">
      <c r="A22" s="17" t="s">
        <v>308</v>
      </c>
      <c r="B22" s="28">
        <f>B47</f>
        <v>0</v>
      </c>
      <c r="C22" s="13" t="s">
        <v>309</v>
      </c>
      <c r="D22" s="13"/>
      <c r="E22" s="13"/>
      <c r="F22" s="13"/>
      <c r="G22" s="13"/>
      <c r="H22" s="13"/>
      <c r="P22" s="31" t="s">
        <v>525</v>
      </c>
      <c r="Q22" s="31" t="s">
        <v>526</v>
      </c>
      <c r="R22" s="31">
        <f>IF(OR(NOT($B$17="P1"),$B$27&lt;&gt;""),1,0)</f>
        <v>0</v>
      </c>
    </row>
    <row r="23" spans="1:18">
      <c r="A23" s="17" t="s">
        <v>310</v>
      </c>
      <c r="B23" s="39">
        <v>210</v>
      </c>
      <c r="P23" s="31" t="s">
        <v>527</v>
      </c>
      <c r="Q23" s="31" t="s">
        <v>528</v>
      </c>
      <c r="R23" s="31">
        <f>IF($B$28&lt;&gt;"",1,0)</f>
        <v>0</v>
      </c>
    </row>
    <row r="24" spans="1:18">
      <c r="A24" s="17" t="s">
        <v>311</v>
      </c>
      <c r="B24" s="5" t="s">
        <v>258</v>
      </c>
      <c r="P24" s="31" t="s">
        <v>529</v>
      </c>
      <c r="Q24" s="31" t="s">
        <v>530</v>
      </c>
      <c r="R24" s="31">
        <f>IF($B$29&lt;&gt;"",1,0)</f>
        <v>0</v>
      </c>
    </row>
    <row r="25" spans="1:18">
      <c r="A25" s="17" t="s">
        <v>312</v>
      </c>
      <c r="B25" s="40">
        <v>10</v>
      </c>
      <c r="P25" s="31" t="s">
        <v>531</v>
      </c>
      <c r="Q25" s="31" t="s">
        <v>532</v>
      </c>
      <c r="R25" s="31">
        <f>IF($B$30&lt;&gt;"",1,0)</f>
        <v>0</v>
      </c>
    </row>
    <row r="26" spans="1:18">
      <c r="A26" s="17" t="s">
        <v>313</v>
      </c>
      <c r="B26" s="5" t="s">
        <v>257</v>
      </c>
      <c r="P26" s="31" t="s">
        <v>533</v>
      </c>
      <c r="Q26" s="31" t="s">
        <v>534</v>
      </c>
      <c r="R26" s="31">
        <f>IF($B$31&lt;&gt;"",1,0)</f>
        <v>0</v>
      </c>
    </row>
    <row r="27" spans="1:18">
      <c r="A27" s="17" t="s">
        <v>314</v>
      </c>
      <c r="B27" s="5" t="s">
        <v>258</v>
      </c>
      <c r="P27" s="31" t="s">
        <v>535</v>
      </c>
      <c r="Q27" s="31" t="s">
        <v>536</v>
      </c>
      <c r="R27" s="31">
        <f>IF($B$32&lt;&gt;"",1,0)</f>
        <v>0</v>
      </c>
    </row>
    <row r="28" spans="1:18">
      <c r="A28" s="17" t="s">
        <v>315</v>
      </c>
      <c r="B28" s="5" t="s">
        <v>258</v>
      </c>
      <c r="P28" s="31" t="s">
        <v>537</v>
      </c>
      <c r="Q28" s="31" t="s">
        <v>538</v>
      </c>
      <c r="R28" s="31">
        <f>IF(ISNUMBER($B$33),1,0)</f>
        <v>0</v>
      </c>
    </row>
    <row r="29" spans="1:18">
      <c r="A29" s="17" t="s">
        <v>316</v>
      </c>
      <c r="B29" s="5" t="s">
        <v>258</v>
      </c>
      <c r="P29" s="31" t="s">
        <v>539</v>
      </c>
      <c r="Q29" s="31" t="s">
        <v>540</v>
      </c>
      <c r="R29" s="31">
        <f>IF(N($B$47)&gt;0,1,0)</f>
        <v>0</v>
      </c>
    </row>
    <row r="30" spans="1:18">
      <c r="A30" s="17" t="s">
        <v>317</v>
      </c>
      <c r="B30" s="5" t="s">
        <v>258</v>
      </c>
      <c r="P30" s="31" t="s">
        <v>541</v>
      </c>
      <c r="Q30" s="31" t="s">
        <v>542</v>
      </c>
      <c r="R30" s="31">
        <f>IF(N($E$47)&gt;0,1,0)</f>
        <v>0</v>
      </c>
    </row>
    <row r="31" spans="1:18">
      <c r="A31" s="17" t="s">
        <v>318</v>
      </c>
      <c r="B31" s="5" t="s">
        <v>258</v>
      </c>
      <c r="P31" s="31" t="s">
        <v>543</v>
      </c>
      <c r="Q31" s="31" t="s">
        <v>544</v>
      </c>
      <c r="R31" s="31">
        <f>IF(SUMPRODUCT(ISNUMBER($E$39:$E$46)*($F$39:$F$46=""))=0,1,0)</f>
        <v>0</v>
      </c>
    </row>
    <row r="32" spans="1:18">
      <c r="A32" s="17" t="s">
        <v>319</v>
      </c>
      <c r="B32" s="5" t="s">
        <v>258</v>
      </c>
      <c r="P32" s="31" t="s">
        <v>545</v>
      </c>
      <c r="Q32" s="31" t="s">
        <v>546</v>
      </c>
      <c r="R32" s="31">
        <f>IF(OR(NOT(AND($B$17="P1",ISNUMBER($B$48),N($B$48)&gt;=P_N3_V,N($B$48)&lt;P_N3_F)),$B$50&lt;&gt;""),1,0)</f>
        <v>0</v>
      </c>
    </row>
    <row r="33" spans="1:18">
      <c r="A33" s="17" t="s">
        <v>320</v>
      </c>
      <c r="B33" s="40"/>
      <c r="P33" s="31" t="s">
        <v>547</v>
      </c>
      <c r="Q33" s="31" t="s">
        <v>548</v>
      </c>
      <c r="R33" s="31">
        <f>IF(ISNUMBER($B$70),1,0)</f>
        <v>0</v>
      </c>
    </row>
    <row r="34" spans="1:18" ht="30" customHeight="1">
      <c r="A34" s="21" t="s">
        <v>321</v>
      </c>
      <c r="B34" s="14">
        <f>IF(OR(B22="",B22=0,B15=""),"",IF(OR(B22&gt;P_L_CAPEX,N(B23)&gt;P_L_EXPO,B15="R4",B29="Oui",N(B153)&gt;0,B30="Oui",B31="Oui",B32="Oui",N(B33)&gt;P_L_NBCP),"L",IF(AND(B22&lt;=P_S_CAPEX,B23&lt;&gt;"",N(B23)&lt;=P_S_EXPO,OR(B15="R1",B15="R2"),B26="Oui",B24="Oui",B25&lt;&gt;"",N(B25)&lt;=P_S_DUREE,OR(B17&lt;&gt;"P1",B27="Oui"),B28="Oui",COUNTIF($F$222:$F$233,"Oui")=0),"S","M")))</f>
        <v>0</v>
      </c>
      <c r="C34" s="13">
        <f>IF(B34="","",IF(B34="L","Escalade : "&amp;IF(B22&gt;P_L_CAPEX,"CAPEX &gt; "&amp;P_L_CAPEX&amp;" MMAD ; ","")&amp;IF(N(B23)&gt;P_L_EXPO,"exposition &gt; "&amp;P_L_EXPO&amp;" MMAD ; ","")&amp;IF(B15="R4","régime de revenus R4 ; ","")&amp;IF(B29="Oui","première référence technologique ; ","")&amp;IF(N(B153)&gt;0,"devises non intégralement couvertes ; ","")&amp;IF(B30="Oui","opération consortiale ; ","")&amp;IF(B31="Oui","contrat de revenus &gt; 20 ans ; ","")&amp;IF(B32="Oui","risque climatique élevé ; ","")&amp;IF(N(B33)&gt;P_L_NBCP,"plus de "&amp;P_L_NBCP&amp;" contreparties clés ; ",""),IF(B34="S","Toutes les conditions du régime simplifié sont réunies.","Régime standard par défaut : une condition du régime S manque, aucune condition d'escalade.")))</f>
        <v>0</v>
      </c>
      <c r="D34" s="13"/>
      <c r="E34" s="13"/>
      <c r="F34" s="13"/>
      <c r="G34" s="13"/>
      <c r="H34" s="13"/>
      <c r="P34" s="31" t="s">
        <v>549</v>
      </c>
      <c r="Q34" s="31" t="s">
        <v>550</v>
      </c>
      <c r="R34" s="31">
        <f>IF(COUNT($B$72:$B$131)&gt;=2,1,0)</f>
        <v>0</v>
      </c>
    </row>
    <row r="35" spans="1:18">
      <c r="A35" s="21" t="s">
        <v>322</v>
      </c>
      <c r="B35" s="14">
        <f>IF(B34="","",IF(AND(IF(AND(B34="S",COUNTIF($F$222:$F$233,"Oui")&gt;0),"M",B34)="M",COUNTIF($E$237:$E$251,"Oui")&gt;0),"L",IF(AND(B34="S",COUNTIF($F$222:$F$233,"Oui")&gt;0),"M",B34)))</f>
        <v>0</v>
      </c>
      <c r="C35" s="13">
        <f>IF(B35=B34,"Aucune escalade.",IF(B35="L","Escalade : un plafond de note est actif (M passe en L).","Escalade : un verrou est actif (S passe en M)."))</f>
        <v>0</v>
      </c>
      <c r="D35" s="13"/>
      <c r="E35" s="13"/>
      <c r="F35" s="13"/>
      <c r="G35" s="13"/>
      <c r="H35" s="13"/>
      <c r="P35" s="31" t="s">
        <v>551</v>
      </c>
      <c r="Q35" s="31" t="s">
        <v>552</v>
      </c>
      <c r="R35" s="31">
        <f>IF(SUMPRODUCT(ISNUMBER($B$72:$B$131)*(1-ISNUMBER($C$72:$C$131)))=0,1,0)</f>
        <v>0</v>
      </c>
    </row>
    <row r="36" spans="1:18">
      <c r="P36" s="31" t="s">
        <v>553</v>
      </c>
      <c r="Q36" s="31" t="s">
        <v>554</v>
      </c>
      <c r="R36" s="31">
        <f>IF($B$145&lt;&gt;"",1,0)</f>
        <v>0</v>
      </c>
    </row>
    <row r="37" spans="1:18">
      <c r="A37" s="3" t="s">
        <v>323</v>
      </c>
      <c r="B37" s="3"/>
      <c r="C37" s="3"/>
      <c r="D37" s="3"/>
      <c r="E37" s="3"/>
      <c r="F37" s="3"/>
      <c r="G37" s="3"/>
      <c r="H37" s="3"/>
      <c r="P37" s="31" t="s">
        <v>555</v>
      </c>
      <c r="Q37" s="31" t="s">
        <v>556</v>
      </c>
      <c r="R37" s="31">
        <f>IF($B$146&lt;&gt;"",1,0)</f>
        <v>0</v>
      </c>
    </row>
    <row r="38" spans="1:18">
      <c r="A38" s="11" t="s">
        <v>324</v>
      </c>
      <c r="B38" s="11" t="s">
        <v>325</v>
      </c>
      <c r="C38" s="11"/>
      <c r="D38" s="11" t="s">
        <v>326</v>
      </c>
      <c r="E38" s="11" t="s">
        <v>325</v>
      </c>
      <c r="F38" s="11" t="s">
        <v>327</v>
      </c>
      <c r="P38" s="31" t="s">
        <v>557</v>
      </c>
      <c r="Q38" s="31" t="s">
        <v>558</v>
      </c>
      <c r="R38" s="31">
        <f>IF($B$147&lt;&gt;"",1,0)</f>
        <v>0</v>
      </c>
    </row>
    <row r="39" spans="1:18">
      <c r="A39" s="41" t="s">
        <v>663</v>
      </c>
      <c r="B39" s="39">
        <v>300</v>
      </c>
      <c r="D39" s="41" t="s">
        <v>689</v>
      </c>
      <c r="E39" s="39">
        <v>210</v>
      </c>
      <c r="F39" s="41" t="s">
        <v>266</v>
      </c>
      <c r="P39" s="31" t="s">
        <v>559</v>
      </c>
      <c r="Q39" s="31" t="s">
        <v>560</v>
      </c>
      <c r="R39" s="31">
        <f>IF(OR($B$17="P1",$B$150&lt;&gt;""),1,0)</f>
        <v>0</v>
      </c>
    </row>
    <row r="40" spans="1:18">
      <c r="A40" s="41" t="s">
        <v>665</v>
      </c>
      <c r="B40" s="39">
        <v>70</v>
      </c>
      <c r="D40" s="41" t="s">
        <v>268</v>
      </c>
      <c r="E40" s="39">
        <v>210</v>
      </c>
      <c r="F40" s="41" t="s">
        <v>268</v>
      </c>
      <c r="P40" s="31" t="s">
        <v>561</v>
      </c>
      <c r="Q40" s="31" t="s">
        <v>562</v>
      </c>
      <c r="R40" s="31">
        <f>IF(ISNUMBER($B$151),1,0)</f>
        <v>0</v>
      </c>
    </row>
    <row r="41" spans="1:18">
      <c r="A41" s="41" t="s">
        <v>666</v>
      </c>
      <c r="B41" s="39">
        <v>25</v>
      </c>
      <c r="D41" s="41" t="s">
        <v>690</v>
      </c>
      <c r="E41" s="39">
        <v>25</v>
      </c>
      <c r="F41" s="41" t="s">
        <v>271</v>
      </c>
      <c r="P41" s="31" t="s">
        <v>563</v>
      </c>
      <c r="Q41" s="31" t="s">
        <v>564</v>
      </c>
      <c r="R41" s="31">
        <f>IF(ISNUMBER($B$152),1,0)</f>
        <v>0</v>
      </c>
    </row>
    <row r="42" spans="1:18">
      <c r="A42" s="41" t="s">
        <v>667</v>
      </c>
      <c r="B42" s="39">
        <v>17</v>
      </c>
      <c r="D42" s="41"/>
      <c r="E42" s="39"/>
      <c r="F42" s="41"/>
      <c r="P42" s="31" t="s">
        <v>565</v>
      </c>
      <c r="Q42" s="31" t="s">
        <v>566</v>
      </c>
      <c r="R42" s="31">
        <f>IF(ISNUMBER($B$153),1,0)</f>
        <v>0</v>
      </c>
    </row>
    <row r="43" spans="1:18">
      <c r="A43" s="41" t="s">
        <v>668</v>
      </c>
      <c r="B43" s="39">
        <v>8</v>
      </c>
      <c r="D43" s="41"/>
      <c r="E43" s="39"/>
      <c r="F43" s="41"/>
      <c r="P43" s="31" t="s">
        <v>567</v>
      </c>
      <c r="Q43" s="31" t="s">
        <v>568</v>
      </c>
      <c r="R43" s="31">
        <f>IF(ISNUMBER($B$154),1,0)</f>
        <v>0</v>
      </c>
    </row>
    <row r="44" spans="1:18">
      <c r="A44" s="41"/>
      <c r="B44" s="39"/>
      <c r="D44" s="41"/>
      <c r="E44" s="39"/>
      <c r="F44" s="41"/>
      <c r="P44" s="31" t="s">
        <v>569</v>
      </c>
      <c r="Q44" s="31" t="s">
        <v>570</v>
      </c>
      <c r="R44" s="31">
        <f>IF(OR(N($B$154)&lt;=P_C8,$B$155&lt;&gt;""),1,0)</f>
        <v>0</v>
      </c>
    </row>
    <row r="45" spans="1:18">
      <c r="A45" s="41"/>
      <c r="B45" s="39"/>
      <c r="D45" s="41"/>
      <c r="E45" s="39"/>
      <c r="F45" s="41"/>
      <c r="P45" s="31" t="s">
        <v>571</v>
      </c>
      <c r="Q45" s="31" t="s">
        <v>572</v>
      </c>
      <c r="R45" s="31">
        <f>IF(ISNUMBER($B$156),1,0)</f>
        <v>0</v>
      </c>
    </row>
    <row r="46" spans="1:18">
      <c r="A46" s="41"/>
      <c r="B46" s="39"/>
      <c r="D46" s="41"/>
      <c r="E46" s="39"/>
      <c r="F46" s="41"/>
      <c r="P46" s="31" t="s">
        <v>573</v>
      </c>
      <c r="Q46" s="31" t="s">
        <v>574</v>
      </c>
      <c r="R46" s="31">
        <f>IF($B$157&lt;&gt;"",1,0)</f>
        <v>0</v>
      </c>
    </row>
    <row r="47" spans="1:18">
      <c r="A47" s="21" t="s">
        <v>338</v>
      </c>
      <c r="B47" s="42">
        <f>SUM(B39:B46)</f>
        <v>0</v>
      </c>
      <c r="D47" s="21" t="s">
        <v>339</v>
      </c>
      <c r="E47" s="42">
        <f>SUM(E39:E46)</f>
        <v>0</v>
      </c>
      <c r="P47" s="31" t="s">
        <v>575</v>
      </c>
      <c r="Q47" s="31" t="s">
        <v>576</v>
      </c>
      <c r="R47" s="31">
        <f>IF(OR($B$15="R4",ISNUMBER($B$158)),1,0)</f>
        <v>0</v>
      </c>
    </row>
    <row r="48" spans="1:18">
      <c r="A48" s="17" t="s">
        <v>340</v>
      </c>
      <c r="B48" s="27">
        <f>IF(N(B47)=0,"",E47/B47)</f>
        <v>0</v>
      </c>
      <c r="P48" s="31" t="s">
        <v>577</v>
      </c>
      <c r="Q48" s="31" t="s">
        <v>578</v>
      </c>
      <c r="R48" s="31">
        <f>IF(ISNUMBER($B$159),1,0)</f>
        <v>0</v>
      </c>
    </row>
    <row r="49" spans="1:18">
      <c r="A49" s="17" t="s">
        <v>341</v>
      </c>
      <c r="B49" s="27">
        <f>IF(N(B47)=0,"",(SUMIF(F39:F46,"Dette senior",E39:E46)+SUMIF(F39:F46,"Dette subordonnée",E39:E46))/B47)</f>
        <v>0</v>
      </c>
      <c r="P49" s="31" t="s">
        <v>579</v>
      </c>
      <c r="Q49" s="31" t="s">
        <v>580</v>
      </c>
      <c r="R49" s="31">
        <f>IF(OR(NOT(AND(ISNUMBER($B$158),ISNUMBER($B$159))),N($B$158)&gt;=N($B$159),$B$160&lt;&gt;""),1,0)</f>
        <v>0</v>
      </c>
    </row>
    <row r="50" spans="1:18">
      <c r="A50" s="17" t="s">
        <v>342</v>
      </c>
      <c r="B50" s="5" t="s">
        <v>258</v>
      </c>
      <c r="P50" s="31" t="s">
        <v>581</v>
      </c>
      <c r="Q50" s="31" t="s">
        <v>582</v>
      </c>
      <c r="R50" s="31">
        <f>IF(OR($B$32&lt;&gt;"Oui",$B$161&lt;&gt;""),1,0)</f>
        <v>0</v>
      </c>
    </row>
    <row r="51" spans="1:18">
      <c r="P51" s="31" t="s">
        <v>583</v>
      </c>
      <c r="Q51" s="31" t="s">
        <v>584</v>
      </c>
      <c r="R51" s="31">
        <f>IF($B$162&lt;&gt;"",1,0)</f>
        <v>0</v>
      </c>
    </row>
    <row r="52" spans="1:18">
      <c r="A52" s="3" t="s">
        <v>343</v>
      </c>
      <c r="B52" s="3"/>
      <c r="C52" s="3"/>
      <c r="D52" s="3"/>
      <c r="E52" s="3"/>
      <c r="F52" s="3"/>
      <c r="G52" s="3"/>
      <c r="H52" s="3"/>
      <c r="P52" s="31" t="s">
        <v>585</v>
      </c>
      <c r="Q52" s="31" t="s">
        <v>586</v>
      </c>
      <c r="R52" s="31">
        <f>IF($B$163&lt;&gt;"",1,0)</f>
        <v>0</v>
      </c>
    </row>
    <row r="53" spans="1:18">
      <c r="A53" s="41" t="s">
        <v>637</v>
      </c>
      <c r="B53" s="41" t="s">
        <v>691</v>
      </c>
      <c r="C53" s="41"/>
      <c r="D53" s="41"/>
      <c r="E53" s="41"/>
      <c r="F53" s="41"/>
      <c r="G53" s="41"/>
      <c r="H53" s="41"/>
      <c r="P53" s="31" t="s">
        <v>587</v>
      </c>
      <c r="Q53" s="31" t="s">
        <v>588</v>
      </c>
      <c r="R53" s="31">
        <f>IF(OR($B$163&lt;&gt;"Non",ISNUMBER($B$164)),1,0)</f>
        <v>0</v>
      </c>
    </row>
    <row r="54" spans="1:18">
      <c r="A54" s="41" t="s">
        <v>642</v>
      </c>
      <c r="B54" s="41" t="s">
        <v>692</v>
      </c>
      <c r="C54" s="41"/>
      <c r="D54" s="41"/>
      <c r="E54" s="41"/>
      <c r="F54" s="41"/>
      <c r="G54" s="41"/>
      <c r="H54" s="41"/>
      <c r="P54" s="31" t="s">
        <v>589</v>
      </c>
      <c r="Q54" s="31" t="s">
        <v>590</v>
      </c>
      <c r="R54" s="31">
        <f>IF($B$165&lt;&gt;"",1,0)</f>
        <v>0</v>
      </c>
    </row>
    <row r="55" spans="1:18">
      <c r="A55" s="41" t="s">
        <v>693</v>
      </c>
      <c r="B55" s="41" t="s">
        <v>694</v>
      </c>
      <c r="C55" s="41"/>
      <c r="D55" s="41"/>
      <c r="E55" s="41"/>
      <c r="F55" s="41"/>
      <c r="G55" s="41"/>
      <c r="H55" s="41"/>
      <c r="P55" s="31" t="s">
        <v>591</v>
      </c>
      <c r="Q55" s="31">
        <f>"B"&amp;IF(COUNT($P$169:$P$201)=0,169,MIN($P$169:$P$201))</f>
        <v>0</v>
      </c>
      <c r="R55" s="31">
        <f>IF(COUNT($P$169:$P$201)=0,1,0)</f>
        <v>0</v>
      </c>
    </row>
    <row r="56" spans="1:18">
      <c r="A56" s="41" t="s">
        <v>695</v>
      </c>
      <c r="B56" s="41" t="s">
        <v>696</v>
      </c>
      <c r="C56" s="41"/>
      <c r="D56" s="41"/>
      <c r="E56" s="41"/>
      <c r="F56" s="41"/>
      <c r="G56" s="41"/>
      <c r="H56" s="41"/>
      <c r="P56" s="31" t="s">
        <v>592</v>
      </c>
      <c r="Q56" s="31" t="s">
        <v>593</v>
      </c>
      <c r="R56" s="31">
        <f>IF(COUNTBLANK($E$222:$E$233)=0,1,0)</f>
        <v>0</v>
      </c>
    </row>
    <row r="57" spans="1:18">
      <c r="A57" s="41" t="s">
        <v>697</v>
      </c>
      <c r="B57" s="41" t="s">
        <v>698</v>
      </c>
      <c r="C57" s="41"/>
      <c r="D57" s="41"/>
      <c r="E57" s="41"/>
      <c r="F57" s="41"/>
      <c r="G57" s="41"/>
      <c r="H57" s="41"/>
    </row>
    <row r="58" spans="1:18">
      <c r="A58" s="41"/>
      <c r="B58" s="41"/>
      <c r="C58" s="41"/>
      <c r="D58" s="41"/>
      <c r="E58" s="41"/>
      <c r="F58" s="41"/>
      <c r="G58" s="41"/>
      <c r="H58" s="41"/>
    </row>
    <row r="59" spans="1:18">
      <c r="A59" s="41"/>
      <c r="B59" s="41"/>
      <c r="C59" s="41"/>
      <c r="D59" s="41"/>
      <c r="E59" s="41"/>
      <c r="F59" s="41"/>
      <c r="G59" s="41"/>
      <c r="H59" s="41"/>
    </row>
    <row r="60" spans="1:18">
      <c r="A60" s="41"/>
      <c r="B60" s="41"/>
      <c r="C60" s="41"/>
      <c r="D60" s="41"/>
      <c r="E60" s="41"/>
      <c r="F60" s="41"/>
      <c r="G60" s="41"/>
      <c r="H60" s="41"/>
    </row>
    <row r="62" spans="1:18">
      <c r="A62" s="3" t="s">
        <v>358</v>
      </c>
      <c r="B62" s="3"/>
      <c r="C62" s="3"/>
      <c r="D62" s="3"/>
      <c r="E62" s="3"/>
      <c r="F62" s="3"/>
      <c r="G62" s="3"/>
      <c r="H62" s="3"/>
    </row>
    <row r="63" spans="1:18">
      <c r="A63" s="17" t="s">
        <v>359</v>
      </c>
      <c r="B63" s="18">
        <f>IFERROR(INDEX(P_Crit,MATCH($B$15,P_Regimes,0)),"")</f>
        <v>0</v>
      </c>
    </row>
    <row r="64" spans="1:18">
      <c r="A64" s="17" t="s">
        <v>360</v>
      </c>
      <c r="B64" s="18">
        <f>IFERROR(INDEX(P_SecDelta,MATCH($B$16,P_SecCodes,0)),"")</f>
        <v>0</v>
      </c>
    </row>
    <row r="65" spans="1:8">
      <c r="A65" s="17" t="s">
        <v>361</v>
      </c>
      <c r="B65" s="18">
        <f>IFERROR(INDEX(P_PhaseMaj,MATCH($B$17,P_PhaseCodes,0)),"")</f>
        <v>0</v>
      </c>
    </row>
    <row r="66" spans="1:8">
      <c r="A66" s="11" t="s">
        <v>362</v>
      </c>
      <c r="B66" s="11" t="s">
        <v>5</v>
      </c>
      <c r="C66" s="11" t="s">
        <v>6</v>
      </c>
      <c r="D66" s="11" t="s">
        <v>7</v>
      </c>
      <c r="E66" s="11" t="s">
        <v>363</v>
      </c>
    </row>
    <row r="67" spans="1:8">
      <c r="A67" s="21" t="s">
        <v>364</v>
      </c>
      <c r="B67" s="18">
        <f>IFERROR(INDEX(P_Crit,MATCH($B$15,P_Regimes,0))+$B$64+$B$65,"")</f>
        <v>0</v>
      </c>
      <c r="C67" s="18">
        <f>IFERROR(INDEX(P_Vig,MATCH($B$15,P_Regimes,0))+$B$64+$B$65,"")</f>
        <v>0</v>
      </c>
      <c r="D67" s="18">
        <f>IFERROR(INDEX(P_Fav,MATCH($B$15,P_Regimes,0))+$B$64+$B$65,"")</f>
        <v>0</v>
      </c>
      <c r="E67" s="18">
        <f>D67</f>
        <v>0</v>
      </c>
    </row>
    <row r="69" spans="1:8">
      <c r="A69" s="3" t="s">
        <v>365</v>
      </c>
      <c r="B69" s="3"/>
      <c r="C69" s="3"/>
      <c r="D69" s="3"/>
      <c r="E69" s="3"/>
      <c r="F69" s="3"/>
      <c r="G69" s="3"/>
      <c r="H69" s="3"/>
    </row>
    <row r="70" spans="1:8">
      <c r="A70" s="17" t="s">
        <v>366</v>
      </c>
      <c r="B70" s="43">
        <v>0.32619</v>
      </c>
      <c r="C70" s="44" t="s">
        <v>699</v>
      </c>
      <c r="D70" s="44"/>
      <c r="E70" s="44"/>
      <c r="F70" s="44"/>
      <c r="G70" s="44"/>
      <c r="H70" s="44"/>
    </row>
    <row r="71" spans="1:8" ht="30" customHeight="1">
      <c r="A71" s="11" t="s">
        <v>368</v>
      </c>
      <c r="B71" s="11" t="s">
        <v>369</v>
      </c>
      <c r="C71" s="11" t="s">
        <v>356</v>
      </c>
      <c r="D71" s="11" t="s">
        <v>370</v>
      </c>
      <c r="E71" s="11" t="s">
        <v>371</v>
      </c>
      <c r="F71" s="11" t="s">
        <v>372</v>
      </c>
      <c r="G71" s="11" t="s">
        <v>373</v>
      </c>
      <c r="H71" s="11" t="s">
        <v>374</v>
      </c>
    </row>
    <row r="72" spans="1:8">
      <c r="A72" s="41" t="s">
        <v>677</v>
      </c>
      <c r="B72" s="39">
        <v>42</v>
      </c>
      <c r="C72" s="45">
        <v>25</v>
      </c>
      <c r="D72" s="19">
        <f>IF(OR(B72="",C72=""),"",IF(C72=0,"",B72/C72))</f>
        <v>0</v>
      </c>
      <c r="E72" s="7">
        <f>IF(B72="","",IF(C72=0,"Différé",IF(B72&lt;0,"Critique",IF(D72&lt;$B$67,"Critique",IF(D72&lt;$C$67,"Vigilance",IF(D72&lt;$D$67,"Favorable","Très favorable"))))))</f>
        <v>0</v>
      </c>
      <c r="F72" s="39"/>
      <c r="G72" s="19">
        <f>IF(OR(B72="",C72="",C72=0),"",IF(F72&lt;&gt;"",F72,B72*(1-$B$70))/C72)</f>
        <v>0</v>
      </c>
      <c r="H72" s="19"/>
    </row>
    <row r="73" spans="1:8">
      <c r="A73" s="41" t="s">
        <v>678</v>
      </c>
      <c r="B73" s="39">
        <v>10</v>
      </c>
      <c r="C73" s="45">
        <v>3.5</v>
      </c>
      <c r="D73" s="19">
        <f>IF(OR(B73="",C73=""),"",IF(C73=0,"",B73/C73))</f>
        <v>0</v>
      </c>
      <c r="E73" s="7">
        <f>IF(B73="","",IF(C73=0,"Différé",IF(B73&lt;0,"Critique",IF(D73&lt;$B$67,"Critique",IF(D73&lt;$C$67,"Vigilance",IF(D73&lt;$D$67,"Favorable","Très favorable"))))))</f>
        <v>0</v>
      </c>
      <c r="F73" s="39"/>
      <c r="G73" s="19">
        <f>IF(OR(B73="",C73="",C73=0),"",IF(F73&lt;&gt;"",F73,B73*(1-$B$70))/C73)</f>
        <v>0</v>
      </c>
      <c r="H73" s="19">
        <f>IF(AND($B$18="Semestrielle",B73&lt;&gt;"",B72&lt;&gt;"",N(C73)+N(C72)&gt;0),(B73+B72)/(C73+C72),"")</f>
        <v>0</v>
      </c>
    </row>
    <row r="74" spans="1:8">
      <c r="A74" s="41" t="s">
        <v>679</v>
      </c>
      <c r="B74" s="39">
        <v>43</v>
      </c>
      <c r="C74" s="45">
        <v>25</v>
      </c>
      <c r="D74" s="19">
        <f>IF(OR(B74="",C74=""),"",IF(C74=0,"",B74/C74))</f>
        <v>0</v>
      </c>
      <c r="E74" s="7">
        <f>IF(B74="","",IF(C74=0,"Différé",IF(B74&lt;0,"Critique",IF(D74&lt;$B$67,"Critique",IF(D74&lt;$C$67,"Vigilance",IF(D74&lt;$D$67,"Favorable","Très favorable"))))))</f>
        <v>0</v>
      </c>
      <c r="F74" s="39"/>
      <c r="G74" s="19">
        <f>IF(OR(B74="",C74="",C74=0),"",IF(F74&lt;&gt;"",F74,B74*(1-$B$70))/C74)</f>
        <v>0</v>
      </c>
      <c r="H74" s="19"/>
    </row>
    <row r="75" spans="1:8">
      <c r="A75" s="41" t="s">
        <v>680</v>
      </c>
      <c r="B75" s="39">
        <v>10.5</v>
      </c>
      <c r="C75" s="45">
        <v>3.5</v>
      </c>
      <c r="D75" s="19">
        <f>IF(OR(B75="",C75=""),"",IF(C75=0,"",B75/C75))</f>
        <v>0</v>
      </c>
      <c r="E75" s="7">
        <f>IF(B75="","",IF(C75=0,"Différé",IF(B75&lt;0,"Critique",IF(D75&lt;$B$67,"Critique",IF(D75&lt;$C$67,"Vigilance",IF(D75&lt;$D$67,"Favorable","Très favorable"))))))</f>
        <v>0</v>
      </c>
      <c r="F75" s="39"/>
      <c r="G75" s="19">
        <f>IF(OR(B75="",C75="",C75=0),"",IF(F75&lt;&gt;"",F75,B75*(1-$B$70))/C75)</f>
        <v>0</v>
      </c>
      <c r="H75" s="19">
        <f>IF(AND($B$18="Semestrielle",B75&lt;&gt;"",B74&lt;&gt;"",N(C75)+N(C74)&gt;0),(B75+B74)/(C75+C74),"")</f>
        <v>0</v>
      </c>
    </row>
    <row r="76" spans="1:8">
      <c r="A76" s="41"/>
      <c r="B76" s="39"/>
      <c r="C76" s="45"/>
      <c r="D76" s="19">
        <f>IF(OR(B76="",C76=""),"",IF(C76=0,"",B76/C76))</f>
        <v>0</v>
      </c>
      <c r="E76" s="7">
        <f>IF(B76="","",IF(C76=0,"Différé",IF(B76&lt;0,"Critique",IF(D76&lt;$B$67,"Critique",IF(D76&lt;$C$67,"Vigilance",IF(D76&lt;$D$67,"Favorable","Très favorable"))))))</f>
        <v>0</v>
      </c>
      <c r="F76" s="39"/>
      <c r="G76" s="19">
        <f>IF(OR(B76="",C76="",C76=0),"",IF(F76&lt;&gt;"",F76,B76*(1-$B$70))/C76)</f>
        <v>0</v>
      </c>
      <c r="H76" s="19"/>
    </row>
    <row r="77" spans="1:8">
      <c r="A77" s="41"/>
      <c r="B77" s="39"/>
      <c r="C77" s="45"/>
      <c r="D77" s="19">
        <f>IF(OR(B77="",C77=""),"",IF(C77=0,"",B77/C77))</f>
        <v>0</v>
      </c>
      <c r="E77" s="7">
        <f>IF(B77="","",IF(C77=0,"Différé",IF(B77&lt;0,"Critique",IF(D77&lt;$B$67,"Critique",IF(D77&lt;$C$67,"Vigilance",IF(D77&lt;$D$67,"Favorable","Très favorable"))))))</f>
        <v>0</v>
      </c>
      <c r="F77" s="39"/>
      <c r="G77" s="19">
        <f>IF(OR(B77="",C77="",C77=0),"",IF(F77&lt;&gt;"",F77,B77*(1-$B$70))/C77)</f>
        <v>0</v>
      </c>
      <c r="H77" s="19">
        <f>IF(AND($B$18="Semestrielle",B77&lt;&gt;"",B76&lt;&gt;"",N(C77)+N(C76)&gt;0),(B77+B76)/(C77+C76),"")</f>
        <v>0</v>
      </c>
    </row>
    <row r="78" spans="1:8">
      <c r="A78" s="41"/>
      <c r="B78" s="39"/>
      <c r="C78" s="45"/>
      <c r="D78" s="19">
        <f>IF(OR(B78="",C78=""),"",IF(C78=0,"",B78/C78))</f>
        <v>0</v>
      </c>
      <c r="E78" s="7">
        <f>IF(B78="","",IF(C78=0,"Différé",IF(B78&lt;0,"Critique",IF(D78&lt;$B$67,"Critique",IF(D78&lt;$C$67,"Vigilance",IF(D78&lt;$D$67,"Favorable","Très favorable"))))))</f>
        <v>0</v>
      </c>
      <c r="F78" s="39"/>
      <c r="G78" s="19">
        <f>IF(OR(B78="",C78="",C78=0),"",IF(F78&lt;&gt;"",F78,B78*(1-$B$70))/C78)</f>
        <v>0</v>
      </c>
      <c r="H78" s="19"/>
    </row>
    <row r="79" spans="1:8">
      <c r="A79" s="41"/>
      <c r="B79" s="39"/>
      <c r="C79" s="45"/>
      <c r="D79" s="19">
        <f>IF(OR(B79="",C79=""),"",IF(C79=0,"",B79/C79))</f>
        <v>0</v>
      </c>
      <c r="E79" s="7">
        <f>IF(B79="","",IF(C79=0,"Différé",IF(B79&lt;0,"Critique",IF(D79&lt;$B$67,"Critique",IF(D79&lt;$C$67,"Vigilance",IF(D79&lt;$D$67,"Favorable","Très favorable"))))))</f>
        <v>0</v>
      </c>
      <c r="F79" s="39"/>
      <c r="G79" s="19">
        <f>IF(OR(B79="",C79="",C79=0),"",IF(F79&lt;&gt;"",F79,B79*(1-$B$70))/C79)</f>
        <v>0</v>
      </c>
      <c r="H79" s="19">
        <f>IF(AND($B$18="Semestrielle",B79&lt;&gt;"",B78&lt;&gt;"",N(C79)+N(C78)&gt;0),(B79+B78)/(C79+C78),"")</f>
        <v>0</v>
      </c>
    </row>
    <row r="80" spans="1:8">
      <c r="A80" s="41"/>
      <c r="B80" s="39"/>
      <c r="C80" s="45"/>
      <c r="D80" s="19">
        <f>IF(OR(B80="",C80=""),"",IF(C80=0,"",B80/C80))</f>
        <v>0</v>
      </c>
      <c r="E80" s="7">
        <f>IF(B80="","",IF(C80=0,"Différé",IF(B80&lt;0,"Critique",IF(D80&lt;$B$67,"Critique",IF(D80&lt;$C$67,"Vigilance",IF(D80&lt;$D$67,"Favorable","Très favorable"))))))</f>
        <v>0</v>
      </c>
      <c r="F80" s="39"/>
      <c r="G80" s="19">
        <f>IF(OR(B80="",C80="",C80=0),"",IF(F80&lt;&gt;"",F80,B80*(1-$B$70))/C80)</f>
        <v>0</v>
      </c>
      <c r="H80" s="19"/>
    </row>
    <row r="81" spans="1:8">
      <c r="A81" s="41"/>
      <c r="B81" s="39"/>
      <c r="C81" s="45"/>
      <c r="D81" s="19">
        <f>IF(OR(B81="",C81=""),"",IF(C81=0,"",B81/C81))</f>
        <v>0</v>
      </c>
      <c r="E81" s="7">
        <f>IF(B81="","",IF(C81=0,"Différé",IF(B81&lt;0,"Critique",IF(D81&lt;$B$67,"Critique",IF(D81&lt;$C$67,"Vigilance",IF(D81&lt;$D$67,"Favorable","Très favorable"))))))</f>
        <v>0</v>
      </c>
      <c r="F81" s="39"/>
      <c r="G81" s="19">
        <f>IF(OR(B81="",C81="",C81=0),"",IF(F81&lt;&gt;"",F81,B81*(1-$B$70))/C81)</f>
        <v>0</v>
      </c>
      <c r="H81" s="19">
        <f>IF(AND($B$18="Semestrielle",B81&lt;&gt;"",B80&lt;&gt;"",N(C81)+N(C80)&gt;0),(B81+B80)/(C81+C80),"")</f>
        <v>0</v>
      </c>
    </row>
    <row r="82" spans="1:8">
      <c r="A82" s="41"/>
      <c r="B82" s="39"/>
      <c r="C82" s="45"/>
      <c r="D82" s="19">
        <f>IF(OR(B82="",C82=""),"",IF(C82=0,"",B82/C82))</f>
        <v>0</v>
      </c>
      <c r="E82" s="7">
        <f>IF(B82="","",IF(C82=0,"Différé",IF(B82&lt;0,"Critique",IF(D82&lt;$B$67,"Critique",IF(D82&lt;$C$67,"Vigilance",IF(D82&lt;$D$67,"Favorable","Très favorable"))))))</f>
        <v>0</v>
      </c>
      <c r="F82" s="39"/>
      <c r="G82" s="19">
        <f>IF(OR(B82="",C82="",C82=0),"",IF(F82&lt;&gt;"",F82,B82*(1-$B$70))/C82)</f>
        <v>0</v>
      </c>
      <c r="H82" s="19"/>
    </row>
    <row r="83" spans="1:8">
      <c r="A83" s="41"/>
      <c r="B83" s="39"/>
      <c r="C83" s="45"/>
      <c r="D83" s="19">
        <f>IF(OR(B83="",C83=""),"",IF(C83=0,"",B83/C83))</f>
        <v>0</v>
      </c>
      <c r="E83" s="7">
        <f>IF(B83="","",IF(C83=0,"Différé",IF(B83&lt;0,"Critique",IF(D83&lt;$B$67,"Critique",IF(D83&lt;$C$67,"Vigilance",IF(D83&lt;$D$67,"Favorable","Très favorable"))))))</f>
        <v>0</v>
      </c>
      <c r="F83" s="39"/>
      <c r="G83" s="19">
        <f>IF(OR(B83="",C83="",C83=0),"",IF(F83&lt;&gt;"",F83,B83*(1-$B$70))/C83)</f>
        <v>0</v>
      </c>
      <c r="H83" s="19">
        <f>IF(AND($B$18="Semestrielle",B83&lt;&gt;"",B82&lt;&gt;"",N(C83)+N(C82)&gt;0),(B83+B82)/(C83+C82),"")</f>
        <v>0</v>
      </c>
    </row>
    <row r="84" spans="1:8">
      <c r="A84" s="41"/>
      <c r="B84" s="39"/>
      <c r="C84" s="45"/>
      <c r="D84" s="19">
        <f>IF(OR(B84="",C84=""),"",IF(C84=0,"",B84/C84))</f>
        <v>0</v>
      </c>
      <c r="E84" s="7">
        <f>IF(B84="","",IF(C84=0,"Différé",IF(B84&lt;0,"Critique",IF(D84&lt;$B$67,"Critique",IF(D84&lt;$C$67,"Vigilance",IF(D84&lt;$D$67,"Favorable","Très favorable"))))))</f>
        <v>0</v>
      </c>
      <c r="F84" s="39"/>
      <c r="G84" s="19">
        <f>IF(OR(B84="",C84="",C84=0),"",IF(F84&lt;&gt;"",F84,B84*(1-$B$70))/C84)</f>
        <v>0</v>
      </c>
      <c r="H84" s="19"/>
    </row>
    <row r="85" spans="1:8">
      <c r="A85" s="41"/>
      <c r="B85" s="39"/>
      <c r="C85" s="45"/>
      <c r="D85" s="19">
        <f>IF(OR(B85="",C85=""),"",IF(C85=0,"",B85/C85))</f>
        <v>0</v>
      </c>
      <c r="E85" s="7">
        <f>IF(B85="","",IF(C85=0,"Différé",IF(B85&lt;0,"Critique",IF(D85&lt;$B$67,"Critique",IF(D85&lt;$C$67,"Vigilance",IF(D85&lt;$D$67,"Favorable","Très favorable"))))))</f>
        <v>0</v>
      </c>
      <c r="F85" s="39"/>
      <c r="G85" s="19">
        <f>IF(OR(B85="",C85="",C85=0),"",IF(F85&lt;&gt;"",F85,B85*(1-$B$70))/C85)</f>
        <v>0</v>
      </c>
      <c r="H85" s="19">
        <f>IF(AND($B$18="Semestrielle",B85&lt;&gt;"",B84&lt;&gt;"",N(C85)+N(C84)&gt;0),(B85+B84)/(C85+C84),"")</f>
        <v>0</v>
      </c>
    </row>
    <row r="86" spans="1:8">
      <c r="A86" s="41"/>
      <c r="B86" s="39"/>
      <c r="C86" s="45"/>
      <c r="D86" s="19">
        <f>IF(OR(B86="",C86=""),"",IF(C86=0,"",B86/C86))</f>
        <v>0</v>
      </c>
      <c r="E86" s="7">
        <f>IF(B86="","",IF(C86=0,"Différé",IF(B86&lt;0,"Critique",IF(D86&lt;$B$67,"Critique",IF(D86&lt;$C$67,"Vigilance",IF(D86&lt;$D$67,"Favorable","Très favorable"))))))</f>
        <v>0</v>
      </c>
      <c r="F86" s="39"/>
      <c r="G86" s="19">
        <f>IF(OR(B86="",C86="",C86=0),"",IF(F86&lt;&gt;"",F86,B86*(1-$B$70))/C86)</f>
        <v>0</v>
      </c>
      <c r="H86" s="19"/>
    </row>
    <row r="87" spans="1:8">
      <c r="A87" s="41"/>
      <c r="B87" s="39"/>
      <c r="C87" s="45"/>
      <c r="D87" s="19">
        <f>IF(OR(B87="",C87=""),"",IF(C87=0,"",B87/C87))</f>
        <v>0</v>
      </c>
      <c r="E87" s="7">
        <f>IF(B87="","",IF(C87=0,"Différé",IF(B87&lt;0,"Critique",IF(D87&lt;$B$67,"Critique",IF(D87&lt;$C$67,"Vigilance",IF(D87&lt;$D$67,"Favorable","Très favorable"))))))</f>
        <v>0</v>
      </c>
      <c r="F87" s="39"/>
      <c r="G87" s="19">
        <f>IF(OR(B87="",C87="",C87=0),"",IF(F87&lt;&gt;"",F87,B87*(1-$B$70))/C87)</f>
        <v>0</v>
      </c>
      <c r="H87" s="19">
        <f>IF(AND($B$18="Semestrielle",B87&lt;&gt;"",B86&lt;&gt;"",N(C87)+N(C86)&gt;0),(B87+B86)/(C87+C86),"")</f>
        <v>0</v>
      </c>
    </row>
    <row r="88" spans="1:8">
      <c r="A88" s="41"/>
      <c r="B88" s="39"/>
      <c r="C88" s="45"/>
      <c r="D88" s="19">
        <f>IF(OR(B88="",C88=""),"",IF(C88=0,"",B88/C88))</f>
        <v>0</v>
      </c>
      <c r="E88" s="7">
        <f>IF(B88="","",IF(C88=0,"Différé",IF(B88&lt;0,"Critique",IF(D88&lt;$B$67,"Critique",IF(D88&lt;$C$67,"Vigilance",IF(D88&lt;$D$67,"Favorable","Très favorable"))))))</f>
        <v>0</v>
      </c>
      <c r="F88" s="39"/>
      <c r="G88" s="19">
        <f>IF(OR(B88="",C88="",C88=0),"",IF(F88&lt;&gt;"",F88,B88*(1-$B$70))/C88)</f>
        <v>0</v>
      </c>
      <c r="H88" s="19"/>
    </row>
    <row r="89" spans="1:8">
      <c r="A89" s="41"/>
      <c r="B89" s="39"/>
      <c r="C89" s="45"/>
      <c r="D89" s="19">
        <f>IF(OR(B89="",C89=""),"",IF(C89=0,"",B89/C89))</f>
        <v>0</v>
      </c>
      <c r="E89" s="7">
        <f>IF(B89="","",IF(C89=0,"Différé",IF(B89&lt;0,"Critique",IF(D89&lt;$B$67,"Critique",IF(D89&lt;$C$67,"Vigilance",IF(D89&lt;$D$67,"Favorable","Très favorable"))))))</f>
        <v>0</v>
      </c>
      <c r="F89" s="39"/>
      <c r="G89" s="19">
        <f>IF(OR(B89="",C89="",C89=0),"",IF(F89&lt;&gt;"",F89,B89*(1-$B$70))/C89)</f>
        <v>0</v>
      </c>
      <c r="H89" s="19">
        <f>IF(AND($B$18="Semestrielle",B89&lt;&gt;"",B88&lt;&gt;"",N(C89)+N(C88)&gt;0),(B89+B88)/(C89+C88),"")</f>
        <v>0</v>
      </c>
    </row>
    <row r="90" spans="1:8">
      <c r="A90" s="41"/>
      <c r="B90" s="39"/>
      <c r="C90" s="45"/>
      <c r="D90" s="19">
        <f>IF(OR(B90="",C90=""),"",IF(C90=0,"",B90/C90))</f>
        <v>0</v>
      </c>
      <c r="E90" s="7">
        <f>IF(B90="","",IF(C90=0,"Différé",IF(B90&lt;0,"Critique",IF(D90&lt;$B$67,"Critique",IF(D90&lt;$C$67,"Vigilance",IF(D90&lt;$D$67,"Favorable","Très favorable"))))))</f>
        <v>0</v>
      </c>
      <c r="F90" s="39"/>
      <c r="G90" s="19">
        <f>IF(OR(B90="",C90="",C90=0),"",IF(F90&lt;&gt;"",F90,B90*(1-$B$70))/C90)</f>
        <v>0</v>
      </c>
      <c r="H90" s="19"/>
    </row>
    <row r="91" spans="1:8">
      <c r="A91" s="41"/>
      <c r="B91" s="39"/>
      <c r="C91" s="45"/>
      <c r="D91" s="19">
        <f>IF(OR(B91="",C91=""),"",IF(C91=0,"",B91/C91))</f>
        <v>0</v>
      </c>
      <c r="E91" s="7">
        <f>IF(B91="","",IF(C91=0,"Différé",IF(B91&lt;0,"Critique",IF(D91&lt;$B$67,"Critique",IF(D91&lt;$C$67,"Vigilance",IF(D91&lt;$D$67,"Favorable","Très favorable"))))))</f>
        <v>0</v>
      </c>
      <c r="F91" s="39"/>
      <c r="G91" s="19">
        <f>IF(OR(B91="",C91="",C91=0),"",IF(F91&lt;&gt;"",F91,B91*(1-$B$70))/C91)</f>
        <v>0</v>
      </c>
      <c r="H91" s="19">
        <f>IF(AND($B$18="Semestrielle",B91&lt;&gt;"",B90&lt;&gt;"",N(C91)+N(C90)&gt;0),(B91+B90)/(C91+C90),"")</f>
        <v>0</v>
      </c>
    </row>
    <row r="92" spans="1:8">
      <c r="A92" s="41"/>
      <c r="B92" s="39"/>
      <c r="C92" s="45"/>
      <c r="D92" s="19">
        <f>IF(OR(B92="",C92=""),"",IF(C92=0,"",B92/C92))</f>
        <v>0</v>
      </c>
      <c r="E92" s="7">
        <f>IF(B92="","",IF(C92=0,"Différé",IF(B92&lt;0,"Critique",IF(D92&lt;$B$67,"Critique",IF(D92&lt;$C$67,"Vigilance",IF(D92&lt;$D$67,"Favorable","Très favorable"))))))</f>
        <v>0</v>
      </c>
      <c r="F92" s="39"/>
      <c r="G92" s="19">
        <f>IF(OR(B92="",C92="",C92=0),"",IF(F92&lt;&gt;"",F92,B92*(1-$B$70))/C92)</f>
        <v>0</v>
      </c>
      <c r="H92" s="19"/>
    </row>
    <row r="93" spans="1:8">
      <c r="A93" s="41"/>
      <c r="B93" s="39"/>
      <c r="C93" s="45"/>
      <c r="D93" s="19">
        <f>IF(OR(B93="",C93=""),"",IF(C93=0,"",B93/C93))</f>
        <v>0</v>
      </c>
      <c r="E93" s="7">
        <f>IF(B93="","",IF(C93=0,"Différé",IF(B93&lt;0,"Critique",IF(D93&lt;$B$67,"Critique",IF(D93&lt;$C$67,"Vigilance",IF(D93&lt;$D$67,"Favorable","Très favorable"))))))</f>
        <v>0</v>
      </c>
      <c r="F93" s="39"/>
      <c r="G93" s="19">
        <f>IF(OR(B93="",C93="",C93=0),"",IF(F93&lt;&gt;"",F93,B93*(1-$B$70))/C93)</f>
        <v>0</v>
      </c>
      <c r="H93" s="19">
        <f>IF(AND($B$18="Semestrielle",B93&lt;&gt;"",B92&lt;&gt;"",N(C93)+N(C92)&gt;0),(B93+B92)/(C93+C92),"")</f>
        <v>0</v>
      </c>
    </row>
    <row r="94" spans="1:8">
      <c r="A94" s="41"/>
      <c r="B94" s="39"/>
      <c r="C94" s="45"/>
      <c r="D94" s="19">
        <f>IF(OR(B94="",C94=""),"",IF(C94=0,"",B94/C94))</f>
        <v>0</v>
      </c>
      <c r="E94" s="7">
        <f>IF(B94="","",IF(C94=0,"Différé",IF(B94&lt;0,"Critique",IF(D94&lt;$B$67,"Critique",IF(D94&lt;$C$67,"Vigilance",IF(D94&lt;$D$67,"Favorable","Très favorable"))))))</f>
        <v>0</v>
      </c>
      <c r="F94" s="39"/>
      <c r="G94" s="19">
        <f>IF(OR(B94="",C94="",C94=0),"",IF(F94&lt;&gt;"",F94,B94*(1-$B$70))/C94)</f>
        <v>0</v>
      </c>
      <c r="H94" s="19"/>
    </row>
    <row r="95" spans="1:8">
      <c r="A95" s="41"/>
      <c r="B95" s="39"/>
      <c r="C95" s="45"/>
      <c r="D95" s="19">
        <f>IF(OR(B95="",C95=""),"",IF(C95=0,"",B95/C95))</f>
        <v>0</v>
      </c>
      <c r="E95" s="7">
        <f>IF(B95="","",IF(C95=0,"Différé",IF(B95&lt;0,"Critique",IF(D95&lt;$B$67,"Critique",IF(D95&lt;$C$67,"Vigilance",IF(D95&lt;$D$67,"Favorable","Très favorable"))))))</f>
        <v>0</v>
      </c>
      <c r="F95" s="39"/>
      <c r="G95" s="19">
        <f>IF(OR(B95="",C95="",C95=0),"",IF(F95&lt;&gt;"",F95,B95*(1-$B$70))/C95)</f>
        <v>0</v>
      </c>
      <c r="H95" s="19">
        <f>IF(AND($B$18="Semestrielle",B95&lt;&gt;"",B94&lt;&gt;"",N(C95)+N(C94)&gt;0),(B95+B94)/(C95+C94),"")</f>
        <v>0</v>
      </c>
    </row>
    <row r="96" spans="1:8">
      <c r="A96" s="41"/>
      <c r="B96" s="39"/>
      <c r="C96" s="45"/>
      <c r="D96" s="19">
        <f>IF(OR(B96="",C96=""),"",IF(C96=0,"",B96/C96))</f>
        <v>0</v>
      </c>
      <c r="E96" s="7">
        <f>IF(B96="","",IF(C96=0,"Différé",IF(B96&lt;0,"Critique",IF(D96&lt;$B$67,"Critique",IF(D96&lt;$C$67,"Vigilance",IF(D96&lt;$D$67,"Favorable","Très favorable"))))))</f>
        <v>0</v>
      </c>
      <c r="F96" s="39"/>
      <c r="G96" s="19">
        <f>IF(OR(B96="",C96="",C96=0),"",IF(F96&lt;&gt;"",F96,B96*(1-$B$70))/C96)</f>
        <v>0</v>
      </c>
      <c r="H96" s="19"/>
    </row>
    <row r="97" spans="1:8">
      <c r="A97" s="41"/>
      <c r="B97" s="39"/>
      <c r="C97" s="45"/>
      <c r="D97" s="19">
        <f>IF(OR(B97="",C97=""),"",IF(C97=0,"",B97/C97))</f>
        <v>0</v>
      </c>
      <c r="E97" s="7">
        <f>IF(B97="","",IF(C97=0,"Différé",IF(B97&lt;0,"Critique",IF(D97&lt;$B$67,"Critique",IF(D97&lt;$C$67,"Vigilance",IF(D97&lt;$D$67,"Favorable","Très favorable"))))))</f>
        <v>0</v>
      </c>
      <c r="F97" s="39"/>
      <c r="G97" s="19">
        <f>IF(OR(B97="",C97="",C97=0),"",IF(F97&lt;&gt;"",F97,B97*(1-$B$70))/C97)</f>
        <v>0</v>
      </c>
      <c r="H97" s="19">
        <f>IF(AND($B$18="Semestrielle",B97&lt;&gt;"",B96&lt;&gt;"",N(C97)+N(C96)&gt;0),(B97+B96)/(C97+C96),"")</f>
        <v>0</v>
      </c>
    </row>
    <row r="98" spans="1:8">
      <c r="A98" s="41"/>
      <c r="B98" s="39"/>
      <c r="C98" s="45"/>
      <c r="D98" s="19">
        <f>IF(OR(B98="",C98=""),"",IF(C98=0,"",B98/C98))</f>
        <v>0</v>
      </c>
      <c r="E98" s="7">
        <f>IF(B98="","",IF(C98=0,"Différé",IF(B98&lt;0,"Critique",IF(D98&lt;$B$67,"Critique",IF(D98&lt;$C$67,"Vigilance",IF(D98&lt;$D$67,"Favorable","Très favorable"))))))</f>
        <v>0</v>
      </c>
      <c r="F98" s="39"/>
      <c r="G98" s="19">
        <f>IF(OR(B98="",C98="",C98=0),"",IF(F98&lt;&gt;"",F98,B98*(1-$B$70))/C98)</f>
        <v>0</v>
      </c>
      <c r="H98" s="19"/>
    </row>
    <row r="99" spans="1:8">
      <c r="A99" s="41"/>
      <c r="B99" s="39"/>
      <c r="C99" s="45"/>
      <c r="D99" s="19">
        <f>IF(OR(B99="",C99=""),"",IF(C99=0,"",B99/C99))</f>
        <v>0</v>
      </c>
      <c r="E99" s="7">
        <f>IF(B99="","",IF(C99=0,"Différé",IF(B99&lt;0,"Critique",IF(D99&lt;$B$67,"Critique",IF(D99&lt;$C$67,"Vigilance",IF(D99&lt;$D$67,"Favorable","Très favorable"))))))</f>
        <v>0</v>
      </c>
      <c r="F99" s="39"/>
      <c r="G99" s="19">
        <f>IF(OR(B99="",C99="",C99=0),"",IF(F99&lt;&gt;"",F99,B99*(1-$B$70))/C99)</f>
        <v>0</v>
      </c>
      <c r="H99" s="19">
        <f>IF(AND($B$18="Semestrielle",B99&lt;&gt;"",B98&lt;&gt;"",N(C99)+N(C98)&gt;0),(B99+B98)/(C99+C98),"")</f>
        <v>0</v>
      </c>
    </row>
    <row r="100" spans="1:8">
      <c r="A100" s="41"/>
      <c r="B100" s="39"/>
      <c r="C100" s="45"/>
      <c r="D100" s="19">
        <f>IF(OR(B100="",C100=""),"",IF(C100=0,"",B100/C100))</f>
        <v>0</v>
      </c>
      <c r="E100" s="7">
        <f>IF(B100="","",IF(C100=0,"Différé",IF(B100&lt;0,"Critique",IF(D100&lt;$B$67,"Critique",IF(D100&lt;$C$67,"Vigilance",IF(D100&lt;$D$67,"Favorable","Très favorable"))))))</f>
        <v>0</v>
      </c>
      <c r="F100" s="39"/>
      <c r="G100" s="19">
        <f>IF(OR(B100="",C100="",C100=0),"",IF(F100&lt;&gt;"",F100,B100*(1-$B$70))/C100)</f>
        <v>0</v>
      </c>
      <c r="H100" s="19"/>
    </row>
    <row r="101" spans="1:8">
      <c r="A101" s="41"/>
      <c r="B101" s="39"/>
      <c r="C101" s="45"/>
      <c r="D101" s="19">
        <f>IF(OR(B101="",C101=""),"",IF(C101=0,"",B101/C101))</f>
        <v>0</v>
      </c>
      <c r="E101" s="7">
        <f>IF(B101="","",IF(C101=0,"Différé",IF(B101&lt;0,"Critique",IF(D101&lt;$B$67,"Critique",IF(D101&lt;$C$67,"Vigilance",IF(D101&lt;$D$67,"Favorable","Très favorable"))))))</f>
        <v>0</v>
      </c>
      <c r="F101" s="39"/>
      <c r="G101" s="19">
        <f>IF(OR(B101="",C101="",C101=0),"",IF(F101&lt;&gt;"",F101,B101*(1-$B$70))/C101)</f>
        <v>0</v>
      </c>
      <c r="H101" s="19">
        <f>IF(AND($B$18="Semestrielle",B101&lt;&gt;"",B100&lt;&gt;"",N(C101)+N(C100)&gt;0),(B101+B100)/(C101+C100),"")</f>
        <v>0</v>
      </c>
    </row>
    <row r="102" spans="1:8">
      <c r="A102" s="41"/>
      <c r="B102" s="39"/>
      <c r="C102" s="45"/>
      <c r="D102" s="19">
        <f>IF(OR(B102="",C102=""),"",IF(C102=0,"",B102/C102))</f>
        <v>0</v>
      </c>
      <c r="E102" s="7">
        <f>IF(B102="","",IF(C102=0,"Différé",IF(B102&lt;0,"Critique",IF(D102&lt;$B$67,"Critique",IF(D102&lt;$C$67,"Vigilance",IF(D102&lt;$D$67,"Favorable","Très favorable"))))))</f>
        <v>0</v>
      </c>
      <c r="F102" s="39"/>
      <c r="G102" s="19">
        <f>IF(OR(B102="",C102="",C102=0),"",IF(F102&lt;&gt;"",F102,B102*(1-$B$70))/C102)</f>
        <v>0</v>
      </c>
      <c r="H102" s="19"/>
    </row>
    <row r="103" spans="1:8">
      <c r="A103" s="41"/>
      <c r="B103" s="39"/>
      <c r="C103" s="45"/>
      <c r="D103" s="19">
        <f>IF(OR(B103="",C103=""),"",IF(C103=0,"",B103/C103))</f>
        <v>0</v>
      </c>
      <c r="E103" s="7">
        <f>IF(B103="","",IF(C103=0,"Différé",IF(B103&lt;0,"Critique",IF(D103&lt;$B$67,"Critique",IF(D103&lt;$C$67,"Vigilance",IF(D103&lt;$D$67,"Favorable","Très favorable"))))))</f>
        <v>0</v>
      </c>
      <c r="F103" s="39"/>
      <c r="G103" s="19">
        <f>IF(OR(B103="",C103="",C103=0),"",IF(F103&lt;&gt;"",F103,B103*(1-$B$70))/C103)</f>
        <v>0</v>
      </c>
      <c r="H103" s="19">
        <f>IF(AND($B$18="Semestrielle",B103&lt;&gt;"",B102&lt;&gt;"",N(C103)+N(C102)&gt;0),(B103+B102)/(C103+C102),"")</f>
        <v>0</v>
      </c>
    </row>
    <row r="104" spans="1:8">
      <c r="A104" s="41"/>
      <c r="B104" s="39"/>
      <c r="C104" s="45"/>
      <c r="D104" s="19">
        <f>IF(OR(B104="",C104=""),"",IF(C104=0,"",B104/C104))</f>
        <v>0</v>
      </c>
      <c r="E104" s="7">
        <f>IF(B104="","",IF(C104=0,"Différé",IF(B104&lt;0,"Critique",IF(D104&lt;$B$67,"Critique",IF(D104&lt;$C$67,"Vigilance",IF(D104&lt;$D$67,"Favorable","Très favorable"))))))</f>
        <v>0</v>
      </c>
      <c r="F104" s="39"/>
      <c r="G104" s="19">
        <f>IF(OR(B104="",C104="",C104=0),"",IF(F104&lt;&gt;"",F104,B104*(1-$B$70))/C104)</f>
        <v>0</v>
      </c>
      <c r="H104" s="19"/>
    </row>
    <row r="105" spans="1:8">
      <c r="A105" s="41"/>
      <c r="B105" s="39"/>
      <c r="C105" s="45"/>
      <c r="D105" s="19">
        <f>IF(OR(B105="",C105=""),"",IF(C105=0,"",B105/C105))</f>
        <v>0</v>
      </c>
      <c r="E105" s="7">
        <f>IF(B105="","",IF(C105=0,"Différé",IF(B105&lt;0,"Critique",IF(D105&lt;$B$67,"Critique",IF(D105&lt;$C$67,"Vigilance",IF(D105&lt;$D$67,"Favorable","Très favorable"))))))</f>
        <v>0</v>
      </c>
      <c r="F105" s="39"/>
      <c r="G105" s="19">
        <f>IF(OR(B105="",C105="",C105=0),"",IF(F105&lt;&gt;"",F105,B105*(1-$B$70))/C105)</f>
        <v>0</v>
      </c>
      <c r="H105" s="19">
        <f>IF(AND($B$18="Semestrielle",B105&lt;&gt;"",B104&lt;&gt;"",N(C105)+N(C104)&gt;0),(B105+B104)/(C105+C104),"")</f>
        <v>0</v>
      </c>
    </row>
    <row r="106" spans="1:8">
      <c r="A106" s="41"/>
      <c r="B106" s="39"/>
      <c r="C106" s="45"/>
      <c r="D106" s="19">
        <f>IF(OR(B106="",C106=""),"",IF(C106=0,"",B106/C106))</f>
        <v>0</v>
      </c>
      <c r="E106" s="7">
        <f>IF(B106="","",IF(C106=0,"Différé",IF(B106&lt;0,"Critique",IF(D106&lt;$B$67,"Critique",IF(D106&lt;$C$67,"Vigilance",IF(D106&lt;$D$67,"Favorable","Très favorable"))))))</f>
        <v>0</v>
      </c>
      <c r="F106" s="39"/>
      <c r="G106" s="19">
        <f>IF(OR(B106="",C106="",C106=0),"",IF(F106&lt;&gt;"",F106,B106*(1-$B$70))/C106)</f>
        <v>0</v>
      </c>
      <c r="H106" s="19"/>
    </row>
    <row r="107" spans="1:8">
      <c r="A107" s="41"/>
      <c r="B107" s="39"/>
      <c r="C107" s="45"/>
      <c r="D107" s="19">
        <f>IF(OR(B107="",C107=""),"",IF(C107=0,"",B107/C107))</f>
        <v>0</v>
      </c>
      <c r="E107" s="7">
        <f>IF(B107="","",IF(C107=0,"Différé",IF(B107&lt;0,"Critique",IF(D107&lt;$B$67,"Critique",IF(D107&lt;$C$67,"Vigilance",IF(D107&lt;$D$67,"Favorable","Très favorable"))))))</f>
        <v>0</v>
      </c>
      <c r="F107" s="39"/>
      <c r="G107" s="19">
        <f>IF(OR(B107="",C107="",C107=0),"",IF(F107&lt;&gt;"",F107,B107*(1-$B$70))/C107)</f>
        <v>0</v>
      </c>
      <c r="H107" s="19">
        <f>IF(AND($B$18="Semestrielle",B107&lt;&gt;"",B106&lt;&gt;"",N(C107)+N(C106)&gt;0),(B107+B106)/(C107+C106),"")</f>
        <v>0</v>
      </c>
    </row>
    <row r="108" spans="1:8">
      <c r="A108" s="41"/>
      <c r="B108" s="39"/>
      <c r="C108" s="45"/>
      <c r="D108" s="19">
        <f>IF(OR(B108="",C108=""),"",IF(C108=0,"",B108/C108))</f>
        <v>0</v>
      </c>
      <c r="E108" s="7">
        <f>IF(B108="","",IF(C108=0,"Différé",IF(B108&lt;0,"Critique",IF(D108&lt;$B$67,"Critique",IF(D108&lt;$C$67,"Vigilance",IF(D108&lt;$D$67,"Favorable","Très favorable"))))))</f>
        <v>0</v>
      </c>
      <c r="F108" s="39"/>
      <c r="G108" s="19">
        <f>IF(OR(B108="",C108="",C108=0),"",IF(F108&lt;&gt;"",F108,B108*(1-$B$70))/C108)</f>
        <v>0</v>
      </c>
      <c r="H108" s="19"/>
    </row>
    <row r="109" spans="1:8">
      <c r="A109" s="41"/>
      <c r="B109" s="39"/>
      <c r="C109" s="45"/>
      <c r="D109" s="19">
        <f>IF(OR(B109="",C109=""),"",IF(C109=0,"",B109/C109))</f>
        <v>0</v>
      </c>
      <c r="E109" s="7">
        <f>IF(B109="","",IF(C109=0,"Différé",IF(B109&lt;0,"Critique",IF(D109&lt;$B$67,"Critique",IF(D109&lt;$C$67,"Vigilance",IF(D109&lt;$D$67,"Favorable","Très favorable"))))))</f>
        <v>0</v>
      </c>
      <c r="F109" s="39"/>
      <c r="G109" s="19">
        <f>IF(OR(B109="",C109="",C109=0),"",IF(F109&lt;&gt;"",F109,B109*(1-$B$70))/C109)</f>
        <v>0</v>
      </c>
      <c r="H109" s="19">
        <f>IF(AND($B$18="Semestrielle",B109&lt;&gt;"",B108&lt;&gt;"",N(C109)+N(C108)&gt;0),(B109+B108)/(C109+C108),"")</f>
        <v>0</v>
      </c>
    </row>
    <row r="110" spans="1:8">
      <c r="A110" s="41"/>
      <c r="B110" s="39"/>
      <c r="C110" s="45"/>
      <c r="D110" s="19">
        <f>IF(OR(B110="",C110=""),"",IF(C110=0,"",B110/C110))</f>
        <v>0</v>
      </c>
      <c r="E110" s="7">
        <f>IF(B110="","",IF(C110=0,"Différé",IF(B110&lt;0,"Critique",IF(D110&lt;$B$67,"Critique",IF(D110&lt;$C$67,"Vigilance",IF(D110&lt;$D$67,"Favorable","Très favorable"))))))</f>
        <v>0</v>
      </c>
      <c r="F110" s="39"/>
      <c r="G110" s="19">
        <f>IF(OR(B110="",C110="",C110=0),"",IF(F110&lt;&gt;"",F110,B110*(1-$B$70))/C110)</f>
        <v>0</v>
      </c>
      <c r="H110" s="19"/>
    </row>
    <row r="111" spans="1:8">
      <c r="A111" s="41"/>
      <c r="B111" s="39"/>
      <c r="C111" s="45"/>
      <c r="D111" s="19">
        <f>IF(OR(B111="",C111=""),"",IF(C111=0,"",B111/C111))</f>
        <v>0</v>
      </c>
      <c r="E111" s="7">
        <f>IF(B111="","",IF(C111=0,"Différé",IF(B111&lt;0,"Critique",IF(D111&lt;$B$67,"Critique",IF(D111&lt;$C$67,"Vigilance",IF(D111&lt;$D$67,"Favorable","Très favorable"))))))</f>
        <v>0</v>
      </c>
      <c r="F111" s="39"/>
      <c r="G111" s="19">
        <f>IF(OR(B111="",C111="",C111=0),"",IF(F111&lt;&gt;"",F111,B111*(1-$B$70))/C111)</f>
        <v>0</v>
      </c>
      <c r="H111" s="19">
        <f>IF(AND($B$18="Semestrielle",B111&lt;&gt;"",B110&lt;&gt;"",N(C111)+N(C110)&gt;0),(B111+B110)/(C111+C110),"")</f>
        <v>0</v>
      </c>
    </row>
    <row r="112" spans="1:8">
      <c r="A112" s="41"/>
      <c r="B112" s="39"/>
      <c r="C112" s="45"/>
      <c r="D112" s="19">
        <f>IF(OR(B112="",C112=""),"",IF(C112=0,"",B112/C112))</f>
        <v>0</v>
      </c>
      <c r="E112" s="7">
        <f>IF(B112="","",IF(C112=0,"Différé",IF(B112&lt;0,"Critique",IF(D112&lt;$B$67,"Critique",IF(D112&lt;$C$67,"Vigilance",IF(D112&lt;$D$67,"Favorable","Très favorable"))))))</f>
        <v>0</v>
      </c>
      <c r="F112" s="39"/>
      <c r="G112" s="19">
        <f>IF(OR(B112="",C112="",C112=0),"",IF(F112&lt;&gt;"",F112,B112*(1-$B$70))/C112)</f>
        <v>0</v>
      </c>
      <c r="H112" s="19"/>
    </row>
    <row r="113" spans="1:8">
      <c r="A113" s="41"/>
      <c r="B113" s="39"/>
      <c r="C113" s="45"/>
      <c r="D113" s="19">
        <f>IF(OR(B113="",C113=""),"",IF(C113=0,"",B113/C113))</f>
        <v>0</v>
      </c>
      <c r="E113" s="7">
        <f>IF(B113="","",IF(C113=0,"Différé",IF(B113&lt;0,"Critique",IF(D113&lt;$B$67,"Critique",IF(D113&lt;$C$67,"Vigilance",IF(D113&lt;$D$67,"Favorable","Très favorable"))))))</f>
        <v>0</v>
      </c>
      <c r="F113" s="39"/>
      <c r="G113" s="19">
        <f>IF(OR(B113="",C113="",C113=0),"",IF(F113&lt;&gt;"",F113,B113*(1-$B$70))/C113)</f>
        <v>0</v>
      </c>
      <c r="H113" s="19">
        <f>IF(AND($B$18="Semestrielle",B113&lt;&gt;"",B112&lt;&gt;"",N(C113)+N(C112)&gt;0),(B113+B112)/(C113+C112),"")</f>
        <v>0</v>
      </c>
    </row>
    <row r="114" spans="1:8">
      <c r="A114" s="41"/>
      <c r="B114" s="39"/>
      <c r="C114" s="45"/>
      <c r="D114" s="19">
        <f>IF(OR(B114="",C114=""),"",IF(C114=0,"",B114/C114))</f>
        <v>0</v>
      </c>
      <c r="E114" s="7">
        <f>IF(B114="","",IF(C114=0,"Différé",IF(B114&lt;0,"Critique",IF(D114&lt;$B$67,"Critique",IF(D114&lt;$C$67,"Vigilance",IF(D114&lt;$D$67,"Favorable","Très favorable"))))))</f>
        <v>0</v>
      </c>
      <c r="F114" s="39"/>
      <c r="G114" s="19">
        <f>IF(OR(B114="",C114="",C114=0),"",IF(F114&lt;&gt;"",F114,B114*(1-$B$70))/C114)</f>
        <v>0</v>
      </c>
      <c r="H114" s="19"/>
    </row>
    <row r="115" spans="1:8">
      <c r="A115" s="41"/>
      <c r="B115" s="39"/>
      <c r="C115" s="45"/>
      <c r="D115" s="19">
        <f>IF(OR(B115="",C115=""),"",IF(C115=0,"",B115/C115))</f>
        <v>0</v>
      </c>
      <c r="E115" s="7">
        <f>IF(B115="","",IF(C115=0,"Différé",IF(B115&lt;0,"Critique",IF(D115&lt;$B$67,"Critique",IF(D115&lt;$C$67,"Vigilance",IF(D115&lt;$D$67,"Favorable","Très favorable"))))))</f>
        <v>0</v>
      </c>
      <c r="F115" s="39"/>
      <c r="G115" s="19">
        <f>IF(OR(B115="",C115="",C115=0),"",IF(F115&lt;&gt;"",F115,B115*(1-$B$70))/C115)</f>
        <v>0</v>
      </c>
      <c r="H115" s="19">
        <f>IF(AND($B$18="Semestrielle",B115&lt;&gt;"",B114&lt;&gt;"",N(C115)+N(C114)&gt;0),(B115+B114)/(C115+C114),"")</f>
        <v>0</v>
      </c>
    </row>
    <row r="116" spans="1:8">
      <c r="A116" s="41"/>
      <c r="B116" s="39"/>
      <c r="C116" s="45"/>
      <c r="D116" s="19">
        <f>IF(OR(B116="",C116=""),"",IF(C116=0,"",B116/C116))</f>
        <v>0</v>
      </c>
      <c r="E116" s="7">
        <f>IF(B116="","",IF(C116=0,"Différé",IF(B116&lt;0,"Critique",IF(D116&lt;$B$67,"Critique",IF(D116&lt;$C$67,"Vigilance",IF(D116&lt;$D$67,"Favorable","Très favorable"))))))</f>
        <v>0</v>
      </c>
      <c r="F116" s="39"/>
      <c r="G116" s="19">
        <f>IF(OR(B116="",C116="",C116=0),"",IF(F116&lt;&gt;"",F116,B116*(1-$B$70))/C116)</f>
        <v>0</v>
      </c>
      <c r="H116" s="19"/>
    </row>
    <row r="117" spans="1:8">
      <c r="A117" s="41"/>
      <c r="B117" s="39"/>
      <c r="C117" s="45"/>
      <c r="D117" s="19">
        <f>IF(OR(B117="",C117=""),"",IF(C117=0,"",B117/C117))</f>
        <v>0</v>
      </c>
      <c r="E117" s="7">
        <f>IF(B117="","",IF(C117=0,"Différé",IF(B117&lt;0,"Critique",IF(D117&lt;$B$67,"Critique",IF(D117&lt;$C$67,"Vigilance",IF(D117&lt;$D$67,"Favorable","Très favorable"))))))</f>
        <v>0</v>
      </c>
      <c r="F117" s="39"/>
      <c r="G117" s="19">
        <f>IF(OR(B117="",C117="",C117=0),"",IF(F117&lt;&gt;"",F117,B117*(1-$B$70))/C117)</f>
        <v>0</v>
      </c>
      <c r="H117" s="19">
        <f>IF(AND($B$18="Semestrielle",B117&lt;&gt;"",B116&lt;&gt;"",N(C117)+N(C116)&gt;0),(B117+B116)/(C117+C116),"")</f>
        <v>0</v>
      </c>
    </row>
    <row r="118" spans="1:8">
      <c r="A118" s="41"/>
      <c r="B118" s="39"/>
      <c r="C118" s="45"/>
      <c r="D118" s="19">
        <f>IF(OR(B118="",C118=""),"",IF(C118=0,"",B118/C118))</f>
        <v>0</v>
      </c>
      <c r="E118" s="7">
        <f>IF(B118="","",IF(C118=0,"Différé",IF(B118&lt;0,"Critique",IF(D118&lt;$B$67,"Critique",IF(D118&lt;$C$67,"Vigilance",IF(D118&lt;$D$67,"Favorable","Très favorable"))))))</f>
        <v>0</v>
      </c>
      <c r="F118" s="39"/>
      <c r="G118" s="19">
        <f>IF(OR(B118="",C118="",C118=0),"",IF(F118&lt;&gt;"",F118,B118*(1-$B$70))/C118)</f>
        <v>0</v>
      </c>
      <c r="H118" s="19"/>
    </row>
    <row r="119" spans="1:8">
      <c r="A119" s="41"/>
      <c r="B119" s="39"/>
      <c r="C119" s="45"/>
      <c r="D119" s="19">
        <f>IF(OR(B119="",C119=""),"",IF(C119=0,"",B119/C119))</f>
        <v>0</v>
      </c>
      <c r="E119" s="7">
        <f>IF(B119="","",IF(C119=0,"Différé",IF(B119&lt;0,"Critique",IF(D119&lt;$B$67,"Critique",IF(D119&lt;$C$67,"Vigilance",IF(D119&lt;$D$67,"Favorable","Très favorable"))))))</f>
        <v>0</v>
      </c>
      <c r="F119" s="39"/>
      <c r="G119" s="19">
        <f>IF(OR(B119="",C119="",C119=0),"",IF(F119&lt;&gt;"",F119,B119*(1-$B$70))/C119)</f>
        <v>0</v>
      </c>
      <c r="H119" s="19">
        <f>IF(AND($B$18="Semestrielle",B119&lt;&gt;"",B118&lt;&gt;"",N(C119)+N(C118)&gt;0),(B119+B118)/(C119+C118),"")</f>
        <v>0</v>
      </c>
    </row>
    <row r="120" spans="1:8">
      <c r="A120" s="41"/>
      <c r="B120" s="39"/>
      <c r="C120" s="45"/>
      <c r="D120" s="19">
        <f>IF(OR(B120="",C120=""),"",IF(C120=0,"",B120/C120))</f>
        <v>0</v>
      </c>
      <c r="E120" s="7">
        <f>IF(B120="","",IF(C120=0,"Différé",IF(B120&lt;0,"Critique",IF(D120&lt;$B$67,"Critique",IF(D120&lt;$C$67,"Vigilance",IF(D120&lt;$D$67,"Favorable","Très favorable"))))))</f>
        <v>0</v>
      </c>
      <c r="F120" s="39"/>
      <c r="G120" s="19">
        <f>IF(OR(B120="",C120="",C120=0),"",IF(F120&lt;&gt;"",F120,B120*(1-$B$70))/C120)</f>
        <v>0</v>
      </c>
      <c r="H120" s="19"/>
    </row>
    <row r="121" spans="1:8">
      <c r="A121" s="41"/>
      <c r="B121" s="39"/>
      <c r="C121" s="45"/>
      <c r="D121" s="19">
        <f>IF(OR(B121="",C121=""),"",IF(C121=0,"",B121/C121))</f>
        <v>0</v>
      </c>
      <c r="E121" s="7">
        <f>IF(B121="","",IF(C121=0,"Différé",IF(B121&lt;0,"Critique",IF(D121&lt;$B$67,"Critique",IF(D121&lt;$C$67,"Vigilance",IF(D121&lt;$D$67,"Favorable","Très favorable"))))))</f>
        <v>0</v>
      </c>
      <c r="F121" s="39"/>
      <c r="G121" s="19">
        <f>IF(OR(B121="",C121="",C121=0),"",IF(F121&lt;&gt;"",F121,B121*(1-$B$70))/C121)</f>
        <v>0</v>
      </c>
      <c r="H121" s="19">
        <f>IF(AND($B$18="Semestrielle",B121&lt;&gt;"",B120&lt;&gt;"",N(C121)+N(C120)&gt;0),(B121+B120)/(C121+C120),"")</f>
        <v>0</v>
      </c>
    </row>
    <row r="122" spans="1:8">
      <c r="A122" s="41"/>
      <c r="B122" s="39"/>
      <c r="C122" s="45"/>
      <c r="D122" s="19">
        <f>IF(OR(B122="",C122=""),"",IF(C122=0,"",B122/C122))</f>
        <v>0</v>
      </c>
      <c r="E122" s="7">
        <f>IF(B122="","",IF(C122=0,"Différé",IF(B122&lt;0,"Critique",IF(D122&lt;$B$67,"Critique",IF(D122&lt;$C$67,"Vigilance",IF(D122&lt;$D$67,"Favorable","Très favorable"))))))</f>
        <v>0</v>
      </c>
      <c r="F122" s="39"/>
      <c r="G122" s="19">
        <f>IF(OR(B122="",C122="",C122=0),"",IF(F122&lt;&gt;"",F122,B122*(1-$B$70))/C122)</f>
        <v>0</v>
      </c>
      <c r="H122" s="19"/>
    </row>
    <row r="123" spans="1:8">
      <c r="A123" s="41"/>
      <c r="B123" s="39"/>
      <c r="C123" s="45"/>
      <c r="D123" s="19">
        <f>IF(OR(B123="",C123=""),"",IF(C123=0,"",B123/C123))</f>
        <v>0</v>
      </c>
      <c r="E123" s="7">
        <f>IF(B123="","",IF(C123=0,"Différé",IF(B123&lt;0,"Critique",IF(D123&lt;$B$67,"Critique",IF(D123&lt;$C$67,"Vigilance",IF(D123&lt;$D$67,"Favorable","Très favorable"))))))</f>
        <v>0</v>
      </c>
      <c r="F123" s="39"/>
      <c r="G123" s="19">
        <f>IF(OR(B123="",C123="",C123=0),"",IF(F123&lt;&gt;"",F123,B123*(1-$B$70))/C123)</f>
        <v>0</v>
      </c>
      <c r="H123" s="19">
        <f>IF(AND($B$18="Semestrielle",B123&lt;&gt;"",B122&lt;&gt;"",N(C123)+N(C122)&gt;0),(B123+B122)/(C123+C122),"")</f>
        <v>0</v>
      </c>
    </row>
    <row r="124" spans="1:8">
      <c r="A124" s="41"/>
      <c r="B124" s="39"/>
      <c r="C124" s="45"/>
      <c r="D124" s="19">
        <f>IF(OR(B124="",C124=""),"",IF(C124=0,"",B124/C124))</f>
        <v>0</v>
      </c>
      <c r="E124" s="7">
        <f>IF(B124="","",IF(C124=0,"Différé",IF(B124&lt;0,"Critique",IF(D124&lt;$B$67,"Critique",IF(D124&lt;$C$67,"Vigilance",IF(D124&lt;$D$67,"Favorable","Très favorable"))))))</f>
        <v>0</v>
      </c>
      <c r="F124" s="39"/>
      <c r="G124" s="19">
        <f>IF(OR(B124="",C124="",C124=0),"",IF(F124&lt;&gt;"",F124,B124*(1-$B$70))/C124)</f>
        <v>0</v>
      </c>
      <c r="H124" s="19"/>
    </row>
    <row r="125" spans="1:8">
      <c r="A125" s="41"/>
      <c r="B125" s="39"/>
      <c r="C125" s="45"/>
      <c r="D125" s="19">
        <f>IF(OR(B125="",C125=""),"",IF(C125=0,"",B125/C125))</f>
        <v>0</v>
      </c>
      <c r="E125" s="7">
        <f>IF(B125="","",IF(C125=0,"Différé",IF(B125&lt;0,"Critique",IF(D125&lt;$B$67,"Critique",IF(D125&lt;$C$67,"Vigilance",IF(D125&lt;$D$67,"Favorable","Très favorable"))))))</f>
        <v>0</v>
      </c>
      <c r="F125" s="39"/>
      <c r="G125" s="19">
        <f>IF(OR(B125="",C125="",C125=0),"",IF(F125&lt;&gt;"",F125,B125*(1-$B$70))/C125)</f>
        <v>0</v>
      </c>
      <c r="H125" s="19">
        <f>IF(AND($B$18="Semestrielle",B125&lt;&gt;"",B124&lt;&gt;"",N(C125)+N(C124)&gt;0),(B125+B124)/(C125+C124),"")</f>
        <v>0</v>
      </c>
    </row>
    <row r="126" spans="1:8">
      <c r="A126" s="41"/>
      <c r="B126" s="39"/>
      <c r="C126" s="45"/>
      <c r="D126" s="19">
        <f>IF(OR(B126="",C126=""),"",IF(C126=0,"",B126/C126))</f>
        <v>0</v>
      </c>
      <c r="E126" s="7">
        <f>IF(B126="","",IF(C126=0,"Différé",IF(B126&lt;0,"Critique",IF(D126&lt;$B$67,"Critique",IF(D126&lt;$C$67,"Vigilance",IF(D126&lt;$D$67,"Favorable","Très favorable"))))))</f>
        <v>0</v>
      </c>
      <c r="F126" s="39"/>
      <c r="G126" s="19">
        <f>IF(OR(B126="",C126="",C126=0),"",IF(F126&lt;&gt;"",F126,B126*(1-$B$70))/C126)</f>
        <v>0</v>
      </c>
      <c r="H126" s="19"/>
    </row>
    <row r="127" spans="1:8">
      <c r="A127" s="41"/>
      <c r="B127" s="39"/>
      <c r="C127" s="45"/>
      <c r="D127" s="19">
        <f>IF(OR(B127="",C127=""),"",IF(C127=0,"",B127/C127))</f>
        <v>0</v>
      </c>
      <c r="E127" s="7">
        <f>IF(B127="","",IF(C127=0,"Différé",IF(B127&lt;0,"Critique",IF(D127&lt;$B$67,"Critique",IF(D127&lt;$C$67,"Vigilance",IF(D127&lt;$D$67,"Favorable","Très favorable"))))))</f>
        <v>0</v>
      </c>
      <c r="F127" s="39"/>
      <c r="G127" s="19">
        <f>IF(OR(B127="",C127="",C127=0),"",IF(F127&lt;&gt;"",F127,B127*(1-$B$70))/C127)</f>
        <v>0</v>
      </c>
      <c r="H127" s="19">
        <f>IF(AND($B$18="Semestrielle",B127&lt;&gt;"",B126&lt;&gt;"",N(C127)+N(C126)&gt;0),(B127+B126)/(C127+C126),"")</f>
        <v>0</v>
      </c>
    </row>
    <row r="128" spans="1:8">
      <c r="A128" s="41"/>
      <c r="B128" s="39"/>
      <c r="C128" s="45"/>
      <c r="D128" s="19">
        <f>IF(OR(B128="",C128=""),"",IF(C128=0,"",B128/C128))</f>
        <v>0</v>
      </c>
      <c r="E128" s="7">
        <f>IF(B128="","",IF(C128=0,"Différé",IF(B128&lt;0,"Critique",IF(D128&lt;$B$67,"Critique",IF(D128&lt;$C$67,"Vigilance",IF(D128&lt;$D$67,"Favorable","Très favorable"))))))</f>
        <v>0</v>
      </c>
      <c r="F128" s="39"/>
      <c r="G128" s="19">
        <f>IF(OR(B128="",C128="",C128=0),"",IF(F128&lt;&gt;"",F128,B128*(1-$B$70))/C128)</f>
        <v>0</v>
      </c>
      <c r="H128" s="19"/>
    </row>
    <row r="129" spans="1:8">
      <c r="A129" s="41"/>
      <c r="B129" s="39"/>
      <c r="C129" s="45"/>
      <c r="D129" s="19">
        <f>IF(OR(B129="",C129=""),"",IF(C129=0,"",B129/C129))</f>
        <v>0</v>
      </c>
      <c r="E129" s="7">
        <f>IF(B129="","",IF(C129=0,"Différé",IF(B129&lt;0,"Critique",IF(D129&lt;$B$67,"Critique",IF(D129&lt;$C$67,"Vigilance",IF(D129&lt;$D$67,"Favorable","Très favorable"))))))</f>
        <v>0</v>
      </c>
      <c r="F129" s="39"/>
      <c r="G129" s="19">
        <f>IF(OR(B129="",C129="",C129=0),"",IF(F129&lt;&gt;"",F129,B129*(1-$B$70))/C129)</f>
        <v>0</v>
      </c>
      <c r="H129" s="19">
        <f>IF(AND($B$18="Semestrielle",B129&lt;&gt;"",B128&lt;&gt;"",N(C129)+N(C128)&gt;0),(B129+B128)/(C129+C128),"")</f>
        <v>0</v>
      </c>
    </row>
    <row r="130" spans="1:8">
      <c r="A130" s="41"/>
      <c r="B130" s="39"/>
      <c r="C130" s="45"/>
      <c r="D130" s="19">
        <f>IF(OR(B130="",C130=""),"",IF(C130=0,"",B130/C130))</f>
        <v>0</v>
      </c>
      <c r="E130" s="7">
        <f>IF(B130="","",IF(C130=0,"Différé",IF(B130&lt;0,"Critique",IF(D130&lt;$B$67,"Critique",IF(D130&lt;$C$67,"Vigilance",IF(D130&lt;$D$67,"Favorable","Très favorable"))))))</f>
        <v>0</v>
      </c>
      <c r="F130" s="39"/>
      <c r="G130" s="19">
        <f>IF(OR(B130="",C130="",C130=0),"",IF(F130&lt;&gt;"",F130,B130*(1-$B$70))/C130)</f>
        <v>0</v>
      </c>
      <c r="H130" s="19"/>
    </row>
    <row r="131" spans="1:8">
      <c r="A131" s="41"/>
      <c r="B131" s="39"/>
      <c r="C131" s="45"/>
      <c r="D131" s="19">
        <f>IF(OR(B131="",C131=""),"",IF(C131=0,"",B131/C131))</f>
        <v>0</v>
      </c>
      <c r="E131" s="7">
        <f>IF(B131="","",IF(C131=0,"Différé",IF(B131&lt;0,"Critique",IF(D131&lt;$B$67,"Critique",IF(D131&lt;$C$67,"Vigilance",IF(D131&lt;$D$67,"Favorable","Très favorable"))))))</f>
        <v>0</v>
      </c>
      <c r="F131" s="39"/>
      <c r="G131" s="19">
        <f>IF(OR(B131="",C131="",C131=0),"",IF(F131&lt;&gt;"",F131,B131*(1-$B$70))/C131)</f>
        <v>0</v>
      </c>
      <c r="H131" s="19">
        <f>IF(AND($B$18="Semestrielle",B131&lt;&gt;"",B130&lt;&gt;"",N(C131)+N(C130)&gt;0),(B131+B130)/(C131+C130),"")</f>
        <v>0</v>
      </c>
    </row>
    <row r="133" spans="1:8">
      <c r="A133" s="21" t="s">
        <v>381</v>
      </c>
      <c r="D133" s="35">
        <f>IF(COUNT(D72:D131)=0,"",MIN(D72:D131))</f>
        <v>0</v>
      </c>
      <c r="E133" s="7">
        <f>IF(D133="","",IF(F133&gt;0,"Critique",IF(D133&lt;$B$67,"Critique",IF(D133&lt;$C$67,"Vigilance",IF(D133&lt;$D$67,"Favorable","Très favorable")))))</f>
        <v>0</v>
      </c>
      <c r="F133" s="31">
        <f>COUNTIF(B72:B131,"&lt;0")</f>
        <v>0</v>
      </c>
    </row>
    <row r="134" spans="1:8">
      <c r="A134" s="21" t="s">
        <v>382</v>
      </c>
      <c r="D134" s="35">
        <f>IF(COUNT(G72:G131)=0,"",MIN(G72:G131))</f>
        <v>0</v>
      </c>
      <c r="E134" s="7">
        <f>IF(D134="","",IF(D134&lt;$B$67,"Critique",IF(D134&lt;$C$67,"Vigilance",IF(D134&lt;$D$67,"Favorable","Très favorable"))))</f>
        <v>0</v>
      </c>
    </row>
    <row r="135" spans="1:8">
      <c r="A135" s="17" t="s">
        <v>383</v>
      </c>
      <c r="D135" s="19">
        <f>IF(SUM(C72:C131)=0,"",SUM(B72:B131)/SUM(C72:C131))</f>
        <v>0</v>
      </c>
    </row>
    <row r="136" spans="1:8">
      <c r="A136" s="17" t="s">
        <v>384</v>
      </c>
      <c r="D136" s="19">
        <f>IF(COUNT(H72:H131)=0,"",MIN(H72:H131))</f>
        <v>0</v>
      </c>
    </row>
    <row r="137" spans="1:8">
      <c r="A137" s="17" t="s">
        <v>385</v>
      </c>
      <c r="D137" s="15">
        <f>COUNT(B72:B131)</f>
        <v>0</v>
      </c>
    </row>
    <row r="140" spans="1:8">
      <c r="A140" s="3" t="s">
        <v>386</v>
      </c>
      <c r="B140" s="3"/>
      <c r="C140" s="3"/>
      <c r="D140" s="3"/>
      <c r="E140" s="3"/>
      <c r="F140" s="3"/>
      <c r="G140" s="3"/>
      <c r="H140" s="3"/>
    </row>
    <row r="141" spans="1:8">
      <c r="A141" s="11" t="s">
        <v>76</v>
      </c>
      <c r="B141" s="11" t="s">
        <v>108</v>
      </c>
      <c r="C141" s="11" t="s">
        <v>77</v>
      </c>
      <c r="D141" s="11" t="s">
        <v>387</v>
      </c>
      <c r="E141" s="11" t="s">
        <v>388</v>
      </c>
      <c r="F141" s="11"/>
      <c r="G141" s="11"/>
      <c r="H141" s="11"/>
    </row>
    <row r="142" spans="1:8">
      <c r="A142" s="17" t="s">
        <v>389</v>
      </c>
      <c r="B142" s="7">
        <f>IF($D$133="","",IF($F$133&gt;0,P_Ancre_C,IF($D$133&lt;$B$67,P_Ancre_C,IF($D$133&lt;$C$67,P_Ancre_V,IF($D$133&lt;$D$67,P_Ancre_F,P_Ancre_TF)))))</f>
        <v>0</v>
      </c>
      <c r="C142" s="27">
        <f>INDEX(P_PoidsN,1)</f>
        <v>0</v>
      </c>
      <c r="D142" s="20">
        <f>IF(ISNUMBER(B142),B142,P_InfoInsuff)*C142</f>
        <v>0</v>
      </c>
      <c r="E142" s="13">
        <f>IF($D$133="","",IF($F$133&gt;0,"CFADS négatif sur au moins une période : Critique d'office","DSCR minimum "&amp;FIXED($D$133,3)&amp;" face au seuil critique "&amp;FIXED($B$67,2)&amp;" du couple "&amp;$B$15&amp;" × "&amp;$B$16))</f>
        <v>0</v>
      </c>
      <c r="F142" s="13"/>
      <c r="G142" s="13"/>
      <c r="H142" s="13"/>
    </row>
    <row r="143" spans="1:8">
      <c r="A143" s="17" t="s">
        <v>390</v>
      </c>
      <c r="B143" s="7">
        <f>IF($D$134="","",IF($D$134&lt;$B$67,P_Ancre_C,IF($D$134&lt;$C$67,P_Ancre_V,IF($D$134&lt;$D$67,P_Ancre_F,P_Ancre_TF))))</f>
        <v>0</v>
      </c>
      <c r="C143" s="27">
        <f>INDEX(P_PoidsN,2)</f>
        <v>0</v>
      </c>
      <c r="D143" s="20">
        <f>IF(ISNUMBER(B143),B143,P_InfoInsuff)*C143</f>
        <v>0</v>
      </c>
      <c r="E143" s="13">
        <f>IF($D$134="","","DSCR stressé minimum "&amp;FIXED($D$134,3)&amp;" — "&amp;$C$70)</f>
        <v>0</v>
      </c>
      <c r="F143" s="13"/>
      <c r="G143" s="13"/>
      <c r="H143" s="13"/>
    </row>
    <row r="144" spans="1:8">
      <c r="A144" s="17" t="s">
        <v>391</v>
      </c>
      <c r="B144" s="7">
        <f>IF($B$17="P1",IF($B$48="","",IF($B$48&gt;=P_N3_TF,P_Ancre_TF,IF($B$48&gt;=P_N3_F,P_Ancre_F,IF(AND($B$48&gt;=P_N3_V,$B$50="Oui"),P_Ancre_V,P_Ancre_C)))),IF($B$150="","",$B$150))</f>
        <v>0</v>
      </c>
      <c r="C144" s="27">
        <f>INDEX(P_PoidsN,3)</f>
        <v>0</v>
      </c>
      <c r="D144" s="20">
        <f>IF(ISNUMBER(B144),B144,P_InfoInsuff)*C144</f>
        <v>0</v>
      </c>
      <c r="E144" s="13">
        <f>IF($B$17="P1",IF($B$48="","","Phase P1 : test de financement à terminaison, couverture "&amp;FIXED($B$48*100,1)&amp;" %"),"LLCR "&amp;IF($B$151="","non renseigné",FIXED($B$151,2))&amp;" — note N3 saisie ligne 150")</f>
        <v>0</v>
      </c>
      <c r="F144" s="13"/>
      <c r="G144" s="13"/>
      <c r="H144" s="13"/>
    </row>
    <row r="145" spans="1:8">
      <c r="A145" s="17" t="s">
        <v>392</v>
      </c>
      <c r="B145" s="5">
        <v>100</v>
      </c>
      <c r="C145" s="27">
        <f>INDEX(P_PoidsN,4)</f>
        <v>0</v>
      </c>
      <c r="D145" s="20">
        <f>IF(ISNUMBER(B145),B145,P_InfoInsuff)*C145</f>
        <v>0</v>
      </c>
      <c r="E145" s="44" t="s">
        <v>700</v>
      </c>
      <c r="F145" s="44"/>
      <c r="G145" s="44"/>
      <c r="H145" s="44"/>
    </row>
    <row r="146" spans="1:8">
      <c r="A146" s="17" t="s">
        <v>394</v>
      </c>
      <c r="B146" s="5">
        <v>100</v>
      </c>
      <c r="C146" s="27">
        <f>INDEX(P_PoidsN,5)</f>
        <v>0</v>
      </c>
      <c r="D146" s="20">
        <f>IF(ISNUMBER(B146),B146,P_InfoInsuff)*C146</f>
        <v>0</v>
      </c>
      <c r="E146" s="44" t="s">
        <v>701</v>
      </c>
      <c r="F146" s="44"/>
      <c r="G146" s="44"/>
      <c r="H146" s="44"/>
    </row>
    <row r="147" spans="1:8">
      <c r="A147" s="17" t="s">
        <v>396</v>
      </c>
      <c r="B147" s="5">
        <v>80</v>
      </c>
      <c r="C147" s="27">
        <f>INDEX(P_PoidsN,6)</f>
        <v>0</v>
      </c>
      <c r="D147" s="20">
        <f>IF(ISNUMBER(B147),B147,P_InfoInsuff)*C147</f>
        <v>0</v>
      </c>
      <c r="E147" s="44" t="s">
        <v>702</v>
      </c>
      <c r="F147" s="44"/>
      <c r="G147" s="44"/>
      <c r="H147" s="44"/>
    </row>
    <row r="148" spans="1:8">
      <c r="A148" s="21" t="s">
        <v>398</v>
      </c>
      <c r="D148" s="14">
        <f>SUM(D142:D147)</f>
        <v>0</v>
      </c>
    </row>
    <row r="149" spans="1:8">
      <c r="A149" s="11" t="s">
        <v>399</v>
      </c>
      <c r="B149" s="11"/>
      <c r="C149" s="11"/>
      <c r="D149" s="11"/>
      <c r="E149" s="11"/>
      <c r="F149" s="11"/>
      <c r="G149" s="11"/>
      <c r="H149" s="11"/>
    </row>
    <row r="150" spans="1:8">
      <c r="A150" s="17" t="s">
        <v>400</v>
      </c>
      <c r="B150" s="5">
        <v>100</v>
      </c>
    </row>
    <row r="151" spans="1:8">
      <c r="A151" s="17" t="s">
        <v>401</v>
      </c>
      <c r="B151" s="45">
        <v>1.82</v>
      </c>
    </row>
    <row r="152" spans="1:8">
      <c r="A152" s="17" t="s">
        <v>402</v>
      </c>
      <c r="B152" s="39">
        <v>6</v>
      </c>
    </row>
    <row r="153" spans="1:8">
      <c r="A153" s="17" t="s">
        <v>403</v>
      </c>
      <c r="B153" s="43">
        <v>0.16</v>
      </c>
    </row>
    <row r="154" spans="1:8">
      <c r="A154" s="17" t="s">
        <v>404</v>
      </c>
      <c r="B154" s="43">
        <v>0</v>
      </c>
    </row>
    <row r="155" spans="1:8">
      <c r="A155" s="17" t="s">
        <v>405</v>
      </c>
      <c r="B155" s="5"/>
    </row>
    <row r="156" spans="1:8">
      <c r="A156" s="17" t="s">
        <v>406</v>
      </c>
      <c r="B156" s="43">
        <v>0.4</v>
      </c>
    </row>
    <row r="157" spans="1:8">
      <c r="A157" s="17" t="s">
        <v>407</v>
      </c>
      <c r="B157" s="5" t="s">
        <v>277</v>
      </c>
    </row>
    <row r="158" spans="1:8">
      <c r="A158" s="17" t="s">
        <v>408</v>
      </c>
      <c r="B158" s="39"/>
    </row>
    <row r="159" spans="1:8">
      <c r="A159" s="17" t="s">
        <v>409</v>
      </c>
      <c r="B159" s="39">
        <v>10</v>
      </c>
    </row>
    <row r="160" spans="1:8">
      <c r="A160" s="17" t="s">
        <v>410</v>
      </c>
      <c r="B160" s="5"/>
    </row>
    <row r="161" spans="1:16">
      <c r="A161" s="17" t="s">
        <v>411</v>
      </c>
      <c r="B161" s="5"/>
    </row>
    <row r="162" spans="1:16">
      <c r="A162" s="17" t="s">
        <v>412</v>
      </c>
      <c r="B162" s="5" t="s">
        <v>257</v>
      </c>
    </row>
    <row r="163" spans="1:16">
      <c r="A163" s="17" t="s">
        <v>413</v>
      </c>
      <c r="B163" s="5" t="s">
        <v>257</v>
      </c>
    </row>
    <row r="164" spans="1:16">
      <c r="A164" s="17" t="s">
        <v>414</v>
      </c>
      <c r="B164" s="39"/>
    </row>
    <row r="165" spans="1:16">
      <c r="A165" s="17" t="s">
        <v>415</v>
      </c>
      <c r="B165" s="5" t="s">
        <v>258</v>
      </c>
    </row>
    <row r="167" spans="1:16">
      <c r="A167" s="3" t="s">
        <v>416</v>
      </c>
      <c r="B167" s="3"/>
      <c r="C167" s="3"/>
      <c r="D167" s="3"/>
      <c r="E167" s="3"/>
      <c r="F167" s="3"/>
      <c r="G167" s="3"/>
      <c r="H167" s="3"/>
    </row>
    <row r="168" spans="1:16">
      <c r="A168" s="11" t="s">
        <v>417</v>
      </c>
      <c r="B168" s="11" t="s">
        <v>108</v>
      </c>
      <c r="C168" s="11" t="s">
        <v>77</v>
      </c>
      <c r="D168" s="11" t="s">
        <v>418</v>
      </c>
      <c r="E168" s="11" t="s">
        <v>419</v>
      </c>
      <c r="F168" s="11"/>
      <c r="G168" s="11"/>
      <c r="H168" s="11"/>
    </row>
    <row r="169" spans="1:16">
      <c r="A169" s="21" t="s">
        <v>420</v>
      </c>
      <c r="B169" s="17"/>
      <c r="C169" s="27">
        <f>IFERROR(INDEX(P_PoidsDom,1,MATCH($B$17,P_PoidsHdr,0)),"")</f>
        <v>0</v>
      </c>
      <c r="D169" s="14">
        <f>IF(N(C169)=0,"",SUMPRODUCT(B170:B172,C170:C172)+P_InfoInsuff*SUMPRODUCT((1-ISNUMBER(B170:B172))*C170:C172))</f>
        <v>0</v>
      </c>
      <c r="E169" s="44"/>
      <c r="F169" s="44"/>
      <c r="G169" s="44"/>
      <c r="H169" s="44"/>
      <c r="J169" s="31" t="s">
        <v>422</v>
      </c>
      <c r="K169" s="31">
        <f>IF(N(C169)&gt;0,1,0)</f>
        <v>0</v>
      </c>
      <c r="M169" s="31">
        <f>N(C169)*SUMPRODUCT(ISNUMBER(B170:B172)*C170:C172)</f>
        <v>0</v>
      </c>
    </row>
    <row r="170" spans="1:16">
      <c r="A170" s="17" t="s">
        <v>423</v>
      </c>
      <c r="B170" s="5">
        <v>80</v>
      </c>
      <c r="C170" s="27">
        <f>INDEX(P_SCPoids,MATCH(L170,P_SCCle,0))</f>
        <v>0</v>
      </c>
      <c r="J170" s="31" t="s">
        <v>424</v>
      </c>
      <c r="K170" s="31">
        <f>K169</f>
        <v>0</v>
      </c>
      <c r="L170" s="31" t="s">
        <v>205</v>
      </c>
      <c r="P170" s="31">
        <f>IF(AND(K170=1,B170=""),ROW(),"")</f>
        <v>0</v>
      </c>
    </row>
    <row r="171" spans="1:16">
      <c r="A171" s="17" t="s">
        <v>425</v>
      </c>
      <c r="B171" s="5">
        <v>50</v>
      </c>
      <c r="C171" s="27">
        <f>INDEX(P_SCPoids,MATCH(L171,P_SCCle,0))</f>
        <v>0</v>
      </c>
      <c r="J171" s="31" t="s">
        <v>424</v>
      </c>
      <c r="K171" s="31">
        <f>K169</f>
        <v>0</v>
      </c>
      <c r="L171" s="31" t="s">
        <v>207</v>
      </c>
      <c r="P171" s="31">
        <f>IF(AND(K171=1,B171=""),ROW(),"")</f>
        <v>0</v>
      </c>
    </row>
    <row r="172" spans="1:16">
      <c r="A172" s="17" t="s">
        <v>426</v>
      </c>
      <c r="B172" s="5">
        <v>80</v>
      </c>
      <c r="C172" s="27">
        <f>INDEX(P_SCPoids,MATCH(L172,P_SCCle,0))</f>
        <v>0</v>
      </c>
      <c r="J172" s="31" t="s">
        <v>424</v>
      </c>
      <c r="K172" s="31">
        <f>K169</f>
        <v>0</v>
      </c>
      <c r="L172" s="31" t="s">
        <v>209</v>
      </c>
      <c r="P172" s="31">
        <f>IF(AND(K172=1,B172=""),ROW(),"")</f>
        <v>0</v>
      </c>
    </row>
    <row r="173" spans="1:16">
      <c r="A173" s="21" t="s">
        <v>427</v>
      </c>
      <c r="B173" s="17"/>
      <c r="C173" s="27">
        <f>IFERROR(INDEX(P_PoidsDom,2,MATCH($B$17,P_PoidsHdr,0)),"")</f>
        <v>0</v>
      </c>
      <c r="D173" s="14">
        <f>IF(N(C173)=0,"",SUMPRODUCT(B174:B176,C174:C176)+P_InfoInsuff*SUMPRODUCT((1-ISNUMBER(B174:B176))*C174:C176))</f>
        <v>0</v>
      </c>
      <c r="E173" s="44"/>
      <c r="F173" s="44"/>
      <c r="G173" s="44"/>
      <c r="H173" s="44"/>
      <c r="J173" s="31" t="s">
        <v>422</v>
      </c>
      <c r="K173" s="31">
        <f>IF(N(C173)&gt;0,1,0)</f>
        <v>0</v>
      </c>
      <c r="M173" s="31">
        <f>N(C173)*SUMPRODUCT(ISNUMBER(B174:B176)*C174:C176)</f>
        <v>0</v>
      </c>
    </row>
    <row r="174" spans="1:16">
      <c r="A174" s="17" t="s">
        <v>428</v>
      </c>
      <c r="B174" s="5">
        <v>80</v>
      </c>
      <c r="C174" s="27">
        <f>INDEX(P_SCPoids,MATCH(L174,P_SCCle,0))</f>
        <v>0</v>
      </c>
      <c r="J174" s="31" t="s">
        <v>424</v>
      </c>
      <c r="K174" s="31">
        <f>K173</f>
        <v>0</v>
      </c>
      <c r="L174" s="31" t="s">
        <v>211</v>
      </c>
      <c r="P174" s="31">
        <f>IF(AND(K174=1,B174=""),ROW(),"")</f>
        <v>0</v>
      </c>
    </row>
    <row r="175" spans="1:16">
      <c r="A175" s="17" t="s">
        <v>429</v>
      </c>
      <c r="B175" s="5">
        <v>50</v>
      </c>
      <c r="C175" s="27">
        <f>INDEX(P_SCPoids,MATCH(L175,P_SCCle,0))</f>
        <v>0</v>
      </c>
      <c r="J175" s="31" t="s">
        <v>424</v>
      </c>
      <c r="K175" s="31">
        <f>K173</f>
        <v>0</v>
      </c>
      <c r="L175" s="31" t="s">
        <v>213</v>
      </c>
      <c r="P175" s="31">
        <f>IF(AND(K175=1,B175=""),ROW(),"")</f>
        <v>0</v>
      </c>
    </row>
    <row r="176" spans="1:16">
      <c r="A176" s="17" t="s">
        <v>430</v>
      </c>
      <c r="B176" s="5">
        <v>80</v>
      </c>
      <c r="C176" s="27">
        <f>INDEX(P_SCPoids,MATCH(L176,P_SCCle,0))</f>
        <v>0</v>
      </c>
      <c r="J176" s="31" t="s">
        <v>424</v>
      </c>
      <c r="K176" s="31">
        <f>K173</f>
        <v>0</v>
      </c>
      <c r="L176" s="31" t="s">
        <v>215</v>
      </c>
      <c r="P176" s="31">
        <f>IF(AND(K176=1,B176=""),ROW(),"")</f>
        <v>0</v>
      </c>
    </row>
    <row r="177" spans="1:16">
      <c r="A177" s="21" t="s">
        <v>431</v>
      </c>
      <c r="B177" s="17"/>
      <c r="C177" s="27">
        <f>IFERROR(INDEX(P_PoidsDom,3,MATCH($B$17,P_PoidsHdr,0)),"")</f>
        <v>0</v>
      </c>
      <c r="D177" s="14">
        <f>IF(N(C177)=0,"",SUMPRODUCT(B178:B180,C178:C180)+P_InfoInsuff*SUMPRODUCT((1-ISNUMBER(B178:B180))*C178:C180))</f>
        <v>0</v>
      </c>
      <c r="E177" s="44"/>
      <c r="F177" s="44"/>
      <c r="G177" s="44"/>
      <c r="H177" s="44"/>
      <c r="J177" s="31" t="s">
        <v>422</v>
      </c>
      <c r="K177" s="31">
        <f>IF(N(C177)&gt;0,1,0)</f>
        <v>0</v>
      </c>
      <c r="M177" s="31">
        <f>N(C177)*SUMPRODUCT(ISNUMBER(B178:B180)*C178:C180)</f>
        <v>0</v>
      </c>
    </row>
    <row r="178" spans="1:16">
      <c r="A178" s="17" t="s">
        <v>433</v>
      </c>
      <c r="B178" s="5"/>
      <c r="C178" s="27">
        <f>INDEX(P_SCPoids,MATCH(L178,P_SCCle,0))</f>
        <v>0</v>
      </c>
      <c r="J178" s="31" t="s">
        <v>424</v>
      </c>
      <c r="K178" s="31">
        <f>K177</f>
        <v>0</v>
      </c>
      <c r="L178" s="31" t="s">
        <v>217</v>
      </c>
      <c r="P178" s="31">
        <f>IF(AND(K178=1,B178=""),ROW(),"")</f>
        <v>0</v>
      </c>
    </row>
    <row r="179" spans="1:16">
      <c r="A179" s="17" t="s">
        <v>434</v>
      </c>
      <c r="B179" s="5"/>
      <c r="C179" s="27">
        <f>INDEX(P_SCPoids,MATCH(L179,P_SCCle,0))</f>
        <v>0</v>
      </c>
      <c r="J179" s="31" t="s">
        <v>424</v>
      </c>
      <c r="K179" s="31">
        <f>K177</f>
        <v>0</v>
      </c>
      <c r="L179" s="31" t="s">
        <v>219</v>
      </c>
      <c r="P179" s="31">
        <f>IF(AND(K179=1,B179=""),ROW(),"")</f>
        <v>0</v>
      </c>
    </row>
    <row r="180" spans="1:16">
      <c r="A180" s="17" t="s">
        <v>435</v>
      </c>
      <c r="B180" s="5"/>
      <c r="C180" s="27">
        <f>INDEX(P_SCPoids,MATCH(L180,P_SCCle,0))</f>
        <v>0</v>
      </c>
      <c r="J180" s="31" t="s">
        <v>424</v>
      </c>
      <c r="K180" s="31">
        <f>K177</f>
        <v>0</v>
      </c>
      <c r="L180" s="31" t="s">
        <v>221</v>
      </c>
      <c r="P180" s="31">
        <f>IF(AND(K180=1,B180=""),ROW(),"")</f>
        <v>0</v>
      </c>
    </row>
    <row r="181" spans="1:16">
      <c r="A181" s="21" t="s">
        <v>436</v>
      </c>
      <c r="B181" s="17"/>
      <c r="C181" s="27">
        <f>IFERROR(INDEX(P_PoidsDom,4,MATCH($B$17,P_PoidsHdr,0)),"")</f>
        <v>0</v>
      </c>
      <c r="D181" s="14">
        <f>IF(N(C181)=0,"",SUMPRODUCT(B182:B184,C182:C184)+P_InfoInsuff*SUMPRODUCT((1-ISNUMBER(B182:B184))*C182:C184))</f>
        <v>0</v>
      </c>
      <c r="E181" s="44"/>
      <c r="F181" s="44"/>
      <c r="G181" s="44"/>
      <c r="H181" s="44"/>
      <c r="J181" s="31" t="s">
        <v>422</v>
      </c>
      <c r="K181" s="31">
        <f>IF(N(C181)&gt;0,1,0)</f>
        <v>0</v>
      </c>
      <c r="M181" s="31">
        <f>N(C181)*SUMPRODUCT(ISNUMBER(B182:B184)*C182:C184)</f>
        <v>0</v>
      </c>
    </row>
    <row r="182" spans="1:16">
      <c r="A182" s="17" t="s">
        <v>438</v>
      </c>
      <c r="B182" s="5">
        <v>50</v>
      </c>
      <c r="C182" s="27">
        <f>INDEX(P_SCPoids,MATCH(L182,P_SCCle,0))</f>
        <v>0</v>
      </c>
      <c r="J182" s="31" t="s">
        <v>424</v>
      </c>
      <c r="K182" s="31">
        <f>K181</f>
        <v>0</v>
      </c>
      <c r="L182" s="31" t="s">
        <v>223</v>
      </c>
      <c r="P182" s="31">
        <f>IF(AND(K182=1,B182=""),ROW(),"")</f>
        <v>0</v>
      </c>
    </row>
    <row r="183" spans="1:16">
      <c r="A183" s="17" t="s">
        <v>439</v>
      </c>
      <c r="B183" s="5">
        <v>50</v>
      </c>
      <c r="C183" s="27">
        <f>INDEX(P_SCPoids,MATCH(L183,P_SCCle,0))</f>
        <v>0</v>
      </c>
      <c r="J183" s="31" t="s">
        <v>424</v>
      </c>
      <c r="K183" s="31">
        <f>K181</f>
        <v>0</v>
      </c>
      <c r="L183" s="31" t="s">
        <v>225</v>
      </c>
      <c r="P183" s="31">
        <f>IF(AND(K183=1,B183=""),ROW(),"")</f>
        <v>0</v>
      </c>
    </row>
    <row r="184" spans="1:16">
      <c r="A184" s="17" t="s">
        <v>440</v>
      </c>
      <c r="B184" s="5">
        <v>50</v>
      </c>
      <c r="C184" s="27">
        <f>INDEX(P_SCPoids,MATCH(L184,P_SCCle,0))</f>
        <v>0</v>
      </c>
      <c r="J184" s="31" t="s">
        <v>424</v>
      </c>
      <c r="K184" s="31">
        <f>K181</f>
        <v>0</v>
      </c>
      <c r="L184" s="31" t="s">
        <v>227</v>
      </c>
      <c r="P184" s="31">
        <f>IF(AND(K184=1,B184=""),ROW(),"")</f>
        <v>0</v>
      </c>
    </row>
    <row r="185" spans="1:16">
      <c r="A185" s="21" t="s">
        <v>441</v>
      </c>
      <c r="B185" s="17"/>
      <c r="C185" s="27">
        <f>IFERROR(INDEX(P_PoidsDom,5,MATCH($B$17,P_PoidsHdr,0)),"")</f>
        <v>0</v>
      </c>
      <c r="D185" s="14">
        <f>IF(N(C185)=0,"",SUMPRODUCT(B186:B188,C186:C188)+P_InfoInsuff*SUMPRODUCT((1-ISNUMBER(B186:B188))*C186:C188))</f>
        <v>0</v>
      </c>
      <c r="E185" s="44"/>
      <c r="F185" s="44"/>
      <c r="G185" s="44"/>
      <c r="H185" s="44"/>
      <c r="J185" s="31" t="s">
        <v>422</v>
      </c>
      <c r="K185" s="31">
        <f>IF(N(C185)&gt;0,1,0)</f>
        <v>0</v>
      </c>
      <c r="M185" s="31">
        <f>N(C185)*SUMPRODUCT(ISNUMBER(B186:B188)*C186:C188)</f>
        <v>0</v>
      </c>
    </row>
    <row r="186" spans="1:16">
      <c r="A186" s="17" t="s">
        <v>442</v>
      </c>
      <c r="B186" s="5">
        <v>80</v>
      </c>
      <c r="C186" s="27">
        <f>INDEX(P_SCPoids,MATCH(L186,P_SCCle,0))</f>
        <v>0</v>
      </c>
      <c r="J186" s="31" t="s">
        <v>424</v>
      </c>
      <c r="K186" s="31">
        <f>K185</f>
        <v>0</v>
      </c>
      <c r="L186" s="31" t="s">
        <v>229</v>
      </c>
      <c r="P186" s="31">
        <f>IF(AND(K186=1,B186=""),ROW(),"")</f>
        <v>0</v>
      </c>
    </row>
    <row r="187" spans="1:16">
      <c r="A187" s="17" t="s">
        <v>443</v>
      </c>
      <c r="B187" s="5">
        <v>80</v>
      </c>
      <c r="C187" s="27">
        <f>INDEX(P_SCPoids,MATCH(L187,P_SCCle,0))</f>
        <v>0</v>
      </c>
      <c r="J187" s="31" t="s">
        <v>424</v>
      </c>
      <c r="K187" s="31">
        <f>K185</f>
        <v>0</v>
      </c>
      <c r="L187" s="31" t="s">
        <v>231</v>
      </c>
      <c r="P187" s="31">
        <f>IF(AND(K187=1,B187=""),ROW(),"")</f>
        <v>0</v>
      </c>
    </row>
    <row r="188" spans="1:16">
      <c r="A188" s="17" t="s">
        <v>444</v>
      </c>
      <c r="B188" s="5">
        <v>50</v>
      </c>
      <c r="C188" s="27">
        <f>INDEX(P_SCPoids,MATCH(L188,P_SCCle,0))</f>
        <v>0</v>
      </c>
      <c r="J188" s="31" t="s">
        <v>424</v>
      </c>
      <c r="K188" s="31">
        <f>K185</f>
        <v>0</v>
      </c>
      <c r="L188" s="31" t="s">
        <v>233</v>
      </c>
      <c r="P188" s="31">
        <f>IF(AND(K188=1,B188=""),ROW(),"")</f>
        <v>0</v>
      </c>
    </row>
    <row r="189" spans="1:16">
      <c r="A189" s="21" t="s">
        <v>445</v>
      </c>
      <c r="B189" s="17"/>
      <c r="C189" s="27">
        <f>IFERROR(INDEX(P_PoidsDom,6,MATCH($B$17,P_PoidsHdr,0)),"")</f>
        <v>0</v>
      </c>
      <c r="D189" s="14">
        <f>IF(N(C189)=0,"",SUMPRODUCT(B190:B192,C190:C192)+P_InfoInsuff*SUMPRODUCT((1-ISNUMBER(B190:B192))*C190:C192))</f>
        <v>0</v>
      </c>
      <c r="E189" s="44"/>
      <c r="F189" s="44"/>
      <c r="G189" s="44"/>
      <c r="H189" s="44"/>
      <c r="J189" s="31" t="s">
        <v>422</v>
      </c>
      <c r="K189" s="31">
        <f>IF(N(C189)&gt;0,1,0)</f>
        <v>0</v>
      </c>
      <c r="M189" s="31">
        <f>N(C189)*SUMPRODUCT(ISNUMBER(B190:B192)*C190:C192)</f>
        <v>0</v>
      </c>
    </row>
    <row r="190" spans="1:16">
      <c r="A190" s="17" t="s">
        <v>447</v>
      </c>
      <c r="B190" s="5">
        <v>50</v>
      </c>
      <c r="C190" s="27">
        <f>INDEX(P_SCPoids,MATCH(L190,P_SCCle,0))</f>
        <v>0</v>
      </c>
      <c r="J190" s="31" t="s">
        <v>424</v>
      </c>
      <c r="K190" s="31">
        <f>K189</f>
        <v>0</v>
      </c>
      <c r="L190" s="31" t="s">
        <v>235</v>
      </c>
      <c r="P190" s="31">
        <f>IF(AND(K190=1,B190=""),ROW(),"")</f>
        <v>0</v>
      </c>
    </row>
    <row r="191" spans="1:16">
      <c r="A191" s="17" t="s">
        <v>448</v>
      </c>
      <c r="B191" s="5">
        <v>50</v>
      </c>
      <c r="C191" s="27">
        <f>INDEX(P_SCPoids,MATCH(L191,P_SCCle,0))</f>
        <v>0</v>
      </c>
      <c r="J191" s="31" t="s">
        <v>424</v>
      </c>
      <c r="K191" s="31">
        <f>K189</f>
        <v>0</v>
      </c>
      <c r="L191" s="31" t="s">
        <v>237</v>
      </c>
      <c r="P191" s="31">
        <f>IF(AND(K191=1,B191=""),ROW(),"")</f>
        <v>0</v>
      </c>
    </row>
    <row r="192" spans="1:16">
      <c r="A192" s="17" t="s">
        <v>449</v>
      </c>
      <c r="B192" s="5">
        <v>80</v>
      </c>
      <c r="C192" s="27">
        <f>INDEX(P_SCPoids,MATCH(L192,P_SCCle,0))</f>
        <v>0</v>
      </c>
      <c r="J192" s="31" t="s">
        <v>424</v>
      </c>
      <c r="K192" s="31">
        <f>K189</f>
        <v>0</v>
      </c>
      <c r="L192" s="31" t="s">
        <v>239</v>
      </c>
      <c r="P192" s="31">
        <f>IF(AND(K192=1,B192=""),ROW(),"")</f>
        <v>0</v>
      </c>
    </row>
    <row r="193" spans="1:16">
      <c r="A193" s="21" t="s">
        <v>450</v>
      </c>
      <c r="B193" s="17"/>
      <c r="C193" s="27">
        <f>IFERROR(INDEX(P_PoidsDom,8,MATCH($B$17,P_PoidsHdr,0)),"")</f>
        <v>0</v>
      </c>
      <c r="D193" s="14">
        <f>IF(N(C193)=0,"",SUMPRODUCT(B194:B196,C194:C196)+P_InfoInsuff*SUMPRODUCT((1-ISNUMBER(B194:B196))*C194:C196))</f>
        <v>0</v>
      </c>
      <c r="E193" s="44"/>
      <c r="F193" s="44"/>
      <c r="G193" s="44"/>
      <c r="H193" s="44"/>
      <c r="J193" s="31" t="s">
        <v>422</v>
      </c>
      <c r="K193" s="31">
        <f>IF(N(C193)&gt;0,1,0)</f>
        <v>0</v>
      </c>
      <c r="M193" s="31">
        <f>N(C193)*SUMPRODUCT(ISNUMBER(B194:B196)*C194:C196)</f>
        <v>0</v>
      </c>
    </row>
    <row r="194" spans="1:16">
      <c r="A194" s="17" t="s">
        <v>451</v>
      </c>
      <c r="B194" s="5">
        <v>80</v>
      </c>
      <c r="C194" s="27">
        <f>INDEX(P_SCPoids,MATCH(L194,P_SCCle,0))</f>
        <v>0</v>
      </c>
      <c r="J194" s="31" t="s">
        <v>424</v>
      </c>
      <c r="K194" s="31">
        <f>K193</f>
        <v>0</v>
      </c>
      <c r="L194" s="31" t="s">
        <v>241</v>
      </c>
      <c r="P194" s="31">
        <f>IF(AND(K194=1,B194=""),ROW(),"")</f>
        <v>0</v>
      </c>
    </row>
    <row r="195" spans="1:16">
      <c r="A195" s="17" t="s">
        <v>452</v>
      </c>
      <c r="B195" s="5">
        <v>80</v>
      </c>
      <c r="C195" s="27">
        <f>INDEX(P_SCPoids,MATCH(L195,P_SCCle,0))</f>
        <v>0</v>
      </c>
      <c r="J195" s="31" t="s">
        <v>424</v>
      </c>
      <c r="K195" s="31">
        <f>K193</f>
        <v>0</v>
      </c>
      <c r="L195" s="31" t="s">
        <v>243</v>
      </c>
      <c r="P195" s="31">
        <f>IF(AND(K195=1,B195=""),ROW(),"")</f>
        <v>0</v>
      </c>
    </row>
    <row r="196" spans="1:16">
      <c r="A196" s="17" t="s">
        <v>453</v>
      </c>
      <c r="B196" s="5">
        <v>80</v>
      </c>
      <c r="C196" s="27">
        <f>INDEX(P_SCPoids,MATCH(L196,P_SCCle,0))</f>
        <v>0</v>
      </c>
      <c r="J196" s="31" t="s">
        <v>424</v>
      </c>
      <c r="K196" s="31">
        <f>K193</f>
        <v>0</v>
      </c>
      <c r="L196" s="31" t="s">
        <v>245</v>
      </c>
      <c r="P196" s="31">
        <f>IF(AND(K196=1,B196=""),ROW(),"")</f>
        <v>0</v>
      </c>
    </row>
    <row r="197" spans="1:16">
      <c r="A197" s="21" t="s">
        <v>454</v>
      </c>
      <c r="B197" s="17"/>
      <c r="C197" s="27">
        <f>IFERROR(INDEX(P_PoidsDom,9,MATCH($B$17,P_PoidsHdr,0)),"")</f>
        <v>0</v>
      </c>
      <c r="D197" s="14">
        <f>IF(N(C197)=0,"",SUMPRODUCT(B198:B201,C198:C201)+P_InfoInsuff*SUMPRODUCT((1-ISNUMBER(B198:B201))*C198:C201))</f>
        <v>0</v>
      </c>
      <c r="E197" s="44"/>
      <c r="F197" s="44"/>
      <c r="G197" s="44"/>
      <c r="H197" s="44"/>
      <c r="J197" s="31" t="s">
        <v>422</v>
      </c>
      <c r="K197" s="31">
        <f>IF(N(C197)&gt;0,1,0)</f>
        <v>0</v>
      </c>
      <c r="M197" s="31">
        <f>N(C197)*SUMPRODUCT(ISNUMBER(B198:B201)*C198:C201)</f>
        <v>0</v>
      </c>
    </row>
    <row r="198" spans="1:16">
      <c r="A198" s="17" t="s">
        <v>455</v>
      </c>
      <c r="B198" s="5">
        <v>50</v>
      </c>
      <c r="C198" s="27">
        <f>INDEX(P_SCPoids,MATCH(L198,P_SCCle,0))</f>
        <v>0</v>
      </c>
      <c r="J198" s="31" t="s">
        <v>424</v>
      </c>
      <c r="K198" s="31">
        <f>K197</f>
        <v>0</v>
      </c>
      <c r="L198" s="31" t="s">
        <v>247</v>
      </c>
      <c r="P198" s="31">
        <f>IF(AND(K198=1,B198=""),ROW(),"")</f>
        <v>0</v>
      </c>
    </row>
    <row r="199" spans="1:16">
      <c r="A199" s="17" t="s">
        <v>456</v>
      </c>
      <c r="B199" s="5">
        <v>80</v>
      </c>
      <c r="C199" s="27">
        <f>INDEX(P_SCPoids,MATCH(L199,P_SCCle,0))</f>
        <v>0</v>
      </c>
      <c r="J199" s="31" t="s">
        <v>424</v>
      </c>
      <c r="K199" s="31">
        <f>K197</f>
        <v>0</v>
      </c>
      <c r="L199" s="31" t="s">
        <v>249</v>
      </c>
      <c r="P199" s="31">
        <f>IF(AND(K199=1,B199=""),ROW(),"")</f>
        <v>0</v>
      </c>
    </row>
    <row r="200" spans="1:16">
      <c r="A200" s="17" t="s">
        <v>457</v>
      </c>
      <c r="B200" s="5">
        <v>50</v>
      </c>
      <c r="C200" s="27">
        <f>INDEX(P_SCPoids,MATCH(L200,P_SCCle,0))</f>
        <v>0</v>
      </c>
      <c r="J200" s="31" t="s">
        <v>424</v>
      </c>
      <c r="K200" s="31">
        <f>K197</f>
        <v>0</v>
      </c>
      <c r="L200" s="31" t="s">
        <v>251</v>
      </c>
      <c r="P200" s="31">
        <f>IF(AND(K200=1,B200=""),ROW(),"")</f>
        <v>0</v>
      </c>
    </row>
    <row r="201" spans="1:16">
      <c r="A201" s="17" t="s">
        <v>458</v>
      </c>
      <c r="B201" s="5">
        <v>20</v>
      </c>
      <c r="C201" s="27">
        <f>INDEX(P_SCPoids,MATCH(L201,P_SCCle,0))</f>
        <v>0</v>
      </c>
      <c r="J201" s="31" t="s">
        <v>424</v>
      </c>
      <c r="K201" s="31">
        <f>K197</f>
        <v>0</v>
      </c>
      <c r="L201" s="31" t="s">
        <v>253</v>
      </c>
      <c r="P201" s="31">
        <f>IF(AND(K201=1,B201=""),ROW(),"")</f>
        <v>0</v>
      </c>
    </row>
    <row r="203" spans="1:16">
      <c r="A203" s="17" t="s">
        <v>459</v>
      </c>
      <c r="B203" s="27">
        <f>IF(SUMIF(J169:J201,"DOM",C169:C201)=0,"",SUM(M169:M201)/SUMIF(J169:J201,"DOM",C169:C201))</f>
        <v>0</v>
      </c>
    </row>
    <row r="204" spans="1:16">
      <c r="A204" s="17" t="s">
        <v>460</v>
      </c>
      <c r="B204" s="27">
        <f>IF(SUMIF(J169:J201,"SC",K169:K201)=0,"",(COUNT(B142:B147)+SUMPRODUCT((J169:J201="SC")*(K169:K201=1)*ISNUMBER(B169:B201)))/(6+SUMIF(J169:J201,"SC",K169:K201)))</f>
        <v>0</v>
      </c>
    </row>
    <row r="206" spans="1:16">
      <c r="A206" s="3" t="s">
        <v>461</v>
      </c>
      <c r="B206" s="3"/>
      <c r="C206" s="3"/>
      <c r="D206" s="3"/>
      <c r="E206" s="3"/>
      <c r="F206" s="3"/>
      <c r="G206" s="3"/>
      <c r="H206" s="3"/>
    </row>
    <row r="207" spans="1:16">
      <c r="A207" s="11" t="s">
        <v>55</v>
      </c>
      <c r="B207" s="11" t="s">
        <v>462</v>
      </c>
      <c r="C207" s="11" t="s">
        <v>463</v>
      </c>
      <c r="D207" s="11" t="s">
        <v>387</v>
      </c>
    </row>
    <row r="208" spans="1:16">
      <c r="A208" s="17" t="s">
        <v>420</v>
      </c>
      <c r="B208" s="20">
        <f>D169</f>
        <v>0</v>
      </c>
      <c r="C208" s="27">
        <f>IFERROR(INDEX(P_PoidsDom,1,MATCH($B$17,P_PoidsHdr,0)),"")</f>
        <v>0</v>
      </c>
      <c r="D208" s="20">
        <f>IF(ISNUMBER(B208),B208,0)*N(C208)</f>
        <v>0</v>
      </c>
    </row>
    <row r="209" spans="1:8">
      <c r="A209" s="17" t="s">
        <v>427</v>
      </c>
      <c r="B209" s="20">
        <f>D173</f>
        <v>0</v>
      </c>
      <c r="C209" s="27">
        <f>IFERROR(INDEX(P_PoidsDom,2,MATCH($B$17,P_PoidsHdr,0)),"")</f>
        <v>0</v>
      </c>
      <c r="D209" s="20">
        <f>IF(ISNUMBER(B209),B209,0)*N(C209)</f>
        <v>0</v>
      </c>
    </row>
    <row r="210" spans="1:8">
      <c r="A210" s="17" t="s">
        <v>431</v>
      </c>
      <c r="B210" s="20">
        <f>D177</f>
        <v>0</v>
      </c>
      <c r="C210" s="27">
        <f>IFERROR(INDEX(P_PoidsDom,3,MATCH($B$17,P_PoidsHdr,0)),"")</f>
        <v>0</v>
      </c>
      <c r="D210" s="20">
        <f>IF(ISNUMBER(B210),B210,0)*N(C210)</f>
        <v>0</v>
      </c>
    </row>
    <row r="211" spans="1:8">
      <c r="A211" s="17" t="s">
        <v>436</v>
      </c>
      <c r="B211" s="20">
        <f>D181</f>
        <v>0</v>
      </c>
      <c r="C211" s="27">
        <f>IFERROR(INDEX(P_PoidsDom,4,MATCH($B$17,P_PoidsHdr,0)),"")</f>
        <v>0</v>
      </c>
      <c r="D211" s="20">
        <f>IF(ISNUMBER(B211),B211,0)*N(C211)</f>
        <v>0</v>
      </c>
    </row>
    <row r="212" spans="1:8">
      <c r="A212" s="17" t="s">
        <v>441</v>
      </c>
      <c r="B212" s="20">
        <f>D185</f>
        <v>0</v>
      </c>
      <c r="C212" s="27">
        <f>IFERROR(INDEX(P_PoidsDom,5,MATCH($B$17,P_PoidsHdr,0)),"")</f>
        <v>0</v>
      </c>
      <c r="D212" s="20">
        <f>IF(ISNUMBER(B212),B212,0)*N(C212)</f>
        <v>0</v>
      </c>
    </row>
    <row r="213" spans="1:8">
      <c r="A213" s="17" t="s">
        <v>445</v>
      </c>
      <c r="B213" s="20">
        <f>D189</f>
        <v>0</v>
      </c>
      <c r="C213" s="27">
        <f>IFERROR(INDEX(P_PoidsDom,6,MATCH($B$17,P_PoidsHdr,0)),"")</f>
        <v>0</v>
      </c>
      <c r="D213" s="20">
        <f>IF(ISNUMBER(B213),B213,0)*N(C213)</f>
        <v>0</v>
      </c>
    </row>
    <row r="214" spans="1:8">
      <c r="A214" s="17" t="s">
        <v>464</v>
      </c>
      <c r="B214" s="20">
        <f>D148</f>
        <v>0</v>
      </c>
      <c r="C214" s="27">
        <f>IFERROR(INDEX(P_PoidsDom,7,MATCH($B$17,P_PoidsHdr,0)),"")</f>
        <v>0</v>
      </c>
      <c r="D214" s="20">
        <f>IF(ISNUMBER(B214),B214,0)*N(C214)</f>
        <v>0</v>
      </c>
    </row>
    <row r="215" spans="1:8">
      <c r="A215" s="17" t="s">
        <v>450</v>
      </c>
      <c r="B215" s="20">
        <f>D193</f>
        <v>0</v>
      </c>
      <c r="C215" s="27">
        <f>IFERROR(INDEX(P_PoidsDom,8,MATCH($B$17,P_PoidsHdr,0)),"")</f>
        <v>0</v>
      </c>
      <c r="D215" s="20">
        <f>IF(ISNUMBER(B215),B215,0)*N(C215)</f>
        <v>0</v>
      </c>
    </row>
    <row r="216" spans="1:8">
      <c r="A216" s="17" t="s">
        <v>454</v>
      </c>
      <c r="B216" s="20">
        <f>D197</f>
        <v>0</v>
      </c>
      <c r="C216" s="27">
        <f>IFERROR(INDEX(P_PoidsDom,9,MATCH($B$17,P_PoidsHdr,0)),"")</f>
        <v>0</v>
      </c>
      <c r="D216" s="20">
        <f>IF(ISNUMBER(B216),B216,0)*N(C216)</f>
        <v>0</v>
      </c>
    </row>
    <row r="217" spans="1:8">
      <c r="A217" s="21" t="s">
        <v>465</v>
      </c>
      <c r="B217" s="14">
        <f>IF(N(C208)+N(C216)=0,"",SUM(D208:D216))</f>
        <v>0</v>
      </c>
    </row>
    <row r="218" spans="1:8">
      <c r="A218" s="21" t="s">
        <v>466</v>
      </c>
      <c r="B218" s="14">
        <f>IF(B217="","",INDEX(P_ConvNote,MATCH(B217,P_ConvSeuil,1)))</f>
        <v>0</v>
      </c>
      <c r="C218" s="7">
        <f>IF(B217="","",INDEX(P_ConvLib,MATCH(B217,P_ConvSeuil,1)))</f>
        <v>0</v>
      </c>
    </row>
    <row r="220" spans="1:8">
      <c r="A220" s="3" t="s">
        <v>467</v>
      </c>
      <c r="B220" s="3"/>
      <c r="C220" s="3"/>
      <c r="D220" s="3"/>
      <c r="E220" s="3"/>
      <c r="F220" s="3"/>
      <c r="G220" s="3"/>
      <c r="H220" s="3"/>
    </row>
    <row r="221" spans="1:8">
      <c r="A221" s="11" t="s">
        <v>18</v>
      </c>
      <c r="B221" s="11" t="s">
        <v>130</v>
      </c>
      <c r="C221" s="11"/>
      <c r="D221" s="11"/>
      <c r="E221" s="11" t="s">
        <v>468</v>
      </c>
      <c r="F221" s="11" t="s">
        <v>469</v>
      </c>
      <c r="G221" s="11" t="s">
        <v>470</v>
      </c>
      <c r="H221" s="11" t="s">
        <v>471</v>
      </c>
    </row>
    <row r="222" spans="1:8">
      <c r="A222" s="21" t="s">
        <v>472</v>
      </c>
      <c r="B222" s="13" t="s">
        <v>473</v>
      </c>
      <c r="C222" s="13"/>
      <c r="D222" s="13"/>
      <c r="E222" s="5" t="s">
        <v>258</v>
      </c>
      <c r="F222" s="7">
        <f>IF(OR(E222="Oui",H222="Oui"),"Oui","Non")</f>
        <v>0</v>
      </c>
      <c r="G222" s="17" t="s">
        <v>474</v>
      </c>
      <c r="H222" s="7"/>
    </row>
    <row r="223" spans="1:8">
      <c r="A223" s="21" t="s">
        <v>475</v>
      </c>
      <c r="B223" s="13" t="s">
        <v>476</v>
      </c>
      <c r="C223" s="13"/>
      <c r="D223" s="13"/>
      <c r="E223" s="5" t="s">
        <v>258</v>
      </c>
      <c r="F223" s="7">
        <f>IF(OR(E223="Oui",H223="Oui"),"Oui","Non")</f>
        <v>0</v>
      </c>
      <c r="G223" s="17" t="s">
        <v>474</v>
      </c>
      <c r="H223" s="7"/>
    </row>
    <row r="224" spans="1:8">
      <c r="A224" s="21" t="s">
        <v>477</v>
      </c>
      <c r="B224" s="13" t="s">
        <v>478</v>
      </c>
      <c r="C224" s="13"/>
      <c r="D224" s="13"/>
      <c r="E224" s="5" t="s">
        <v>258</v>
      </c>
      <c r="F224" s="7">
        <f>IF(OR(E224="Oui",H224="Oui"),"Oui","Non")</f>
        <v>0</v>
      </c>
      <c r="G224" s="17" t="s">
        <v>474</v>
      </c>
      <c r="H224" s="7"/>
    </row>
    <row r="225" spans="1:8">
      <c r="A225" s="21" t="s">
        <v>479</v>
      </c>
      <c r="B225" s="13" t="s">
        <v>480</v>
      </c>
      <c r="C225" s="13"/>
      <c r="D225" s="13"/>
      <c r="E225" s="5" t="s">
        <v>258</v>
      </c>
      <c r="F225" s="7">
        <f>IF(OR(E225="Oui",H225="Oui"),"Oui","Non")</f>
        <v>0</v>
      </c>
      <c r="G225" s="17" t="s">
        <v>474</v>
      </c>
      <c r="H225" s="7"/>
    </row>
    <row r="226" spans="1:8">
      <c r="A226" s="21" t="s">
        <v>481</v>
      </c>
      <c r="B226" s="13" t="s">
        <v>482</v>
      </c>
      <c r="C226" s="13"/>
      <c r="D226" s="13"/>
      <c r="E226" s="5" t="s">
        <v>258</v>
      </c>
      <c r="F226" s="7">
        <f>IF(OR(E226="Oui",H226="Oui"),"Oui","Non")</f>
        <v>0</v>
      </c>
      <c r="G226" s="17" t="s">
        <v>483</v>
      </c>
      <c r="H226" s="7"/>
    </row>
    <row r="227" spans="1:8">
      <c r="A227" s="21" t="s">
        <v>484</v>
      </c>
      <c r="B227" s="13" t="s">
        <v>485</v>
      </c>
      <c r="C227" s="13"/>
      <c r="D227" s="13"/>
      <c r="E227" s="5" t="s">
        <v>258</v>
      </c>
      <c r="F227" s="7">
        <f>IF(OR(E227="Oui",H227="Oui"),"Oui","Non")</f>
        <v>0</v>
      </c>
      <c r="G227" s="17" t="s">
        <v>483</v>
      </c>
      <c r="H227" s="7"/>
    </row>
    <row r="228" spans="1:8">
      <c r="A228" s="21" t="s">
        <v>486</v>
      </c>
      <c r="B228" s="13" t="s">
        <v>487</v>
      </c>
      <c r="C228" s="13"/>
      <c r="D228" s="13"/>
      <c r="E228" s="5" t="s">
        <v>258</v>
      </c>
      <c r="F228" s="7">
        <f>IF(OR(E228="Oui",H228="Oui"),"Oui","Non")</f>
        <v>0</v>
      </c>
      <c r="G228" s="17" t="s">
        <v>488</v>
      </c>
      <c r="H228" s="7">
        <f>IF(AND($B$17="P1",ISNUMBER($B$48),$B$48&lt;P_N3_V),"Oui","")</f>
        <v>0</v>
      </c>
    </row>
    <row r="229" spans="1:8">
      <c r="A229" s="21" t="s">
        <v>489</v>
      </c>
      <c r="B229" s="13" t="s">
        <v>490</v>
      </c>
      <c r="C229" s="13"/>
      <c r="D229" s="13"/>
      <c r="E229" s="5" t="s">
        <v>258</v>
      </c>
      <c r="F229" s="7">
        <f>IF(OR(E229="Oui",H229="Oui"),"Oui","Non")</f>
        <v>0</v>
      </c>
      <c r="G229" s="17" t="s">
        <v>483</v>
      </c>
      <c r="H229" s="7"/>
    </row>
    <row r="230" spans="1:8">
      <c r="A230" s="21" t="s">
        <v>491</v>
      </c>
      <c r="B230" s="13" t="s">
        <v>492</v>
      </c>
      <c r="C230" s="13"/>
      <c r="D230" s="13"/>
      <c r="E230" s="5" t="s">
        <v>258</v>
      </c>
      <c r="F230" s="7">
        <f>IF(OR(E230="Oui",H230="Oui"),"Oui","Non")</f>
        <v>0</v>
      </c>
      <c r="G230" s="17" t="s">
        <v>488</v>
      </c>
      <c r="H230" s="7"/>
    </row>
    <row r="231" spans="1:8">
      <c r="A231" s="21" t="s">
        <v>493</v>
      </c>
      <c r="B231" s="13" t="s">
        <v>494</v>
      </c>
      <c r="C231" s="13"/>
      <c r="D231" s="13"/>
      <c r="E231" s="5" t="s">
        <v>257</v>
      </c>
      <c r="F231" s="7">
        <f>IF(H231="Oui","Oui","Non")</f>
        <v>0</v>
      </c>
      <c r="G231" s="17" t="s">
        <v>495</v>
      </c>
      <c r="H231" s="7">
        <f>IF(E231="Non","Oui","")</f>
        <v>0</v>
      </c>
    </row>
    <row r="232" spans="1:8">
      <c r="A232" s="21" t="s">
        <v>496</v>
      </c>
      <c r="B232" s="13" t="s">
        <v>497</v>
      </c>
      <c r="C232" s="13"/>
      <c r="D232" s="13"/>
      <c r="E232" s="5" t="s">
        <v>258</v>
      </c>
      <c r="F232" s="7">
        <f>IF(OR(E232="Oui",H232="Oui"),"Oui","Non")</f>
        <v>0</v>
      </c>
      <c r="G232" s="17" t="s">
        <v>495</v>
      </c>
      <c r="H232" s="7">
        <f>IF(AND(ISNUMBER($B$204),$B$204&lt;1),"Oui","")</f>
        <v>0</v>
      </c>
    </row>
    <row r="233" spans="1:8">
      <c r="A233" s="21" t="s">
        <v>498</v>
      </c>
      <c r="B233" s="13" t="s">
        <v>499</v>
      </c>
      <c r="C233" s="13"/>
      <c r="D233" s="13"/>
      <c r="E233" s="5" t="s">
        <v>258</v>
      </c>
      <c r="F233" s="7">
        <f>IF(OR(E233="Oui",H233="Oui"),"Oui","Non")</f>
        <v>0</v>
      </c>
      <c r="G233" s="17" t="s">
        <v>483</v>
      </c>
      <c r="H233" s="7"/>
    </row>
    <row r="235" spans="1:8">
      <c r="A235" s="3" t="s">
        <v>500</v>
      </c>
      <c r="B235" s="3"/>
      <c r="C235" s="3"/>
      <c r="D235" s="3"/>
      <c r="E235" s="3"/>
      <c r="F235" s="3"/>
      <c r="G235" s="3"/>
      <c r="H235" s="3"/>
    </row>
    <row r="236" spans="1:8">
      <c r="A236" s="11" t="s">
        <v>18</v>
      </c>
      <c r="B236" s="11" t="s">
        <v>130</v>
      </c>
      <c r="C236" s="11" t="s">
        <v>501</v>
      </c>
      <c r="D236" s="11" t="s">
        <v>502</v>
      </c>
      <c r="E236" s="11" t="s">
        <v>469</v>
      </c>
      <c r="F236" s="11" t="s">
        <v>131</v>
      </c>
      <c r="G236" s="11" t="s">
        <v>503</v>
      </c>
    </row>
    <row r="237" spans="1:8" ht="27" customHeight="1">
      <c r="A237" s="21" t="s">
        <v>132</v>
      </c>
      <c r="B237" s="13" t="s">
        <v>133</v>
      </c>
      <c r="C237" s="19">
        <f>$D$133</f>
        <v>0</v>
      </c>
      <c r="D237" s="19">
        <f>P_C1</f>
        <v>0</v>
      </c>
      <c r="E237" s="7">
        <f>IF($D$133="","n.r.",IF($D$133&lt;P_C1,"Oui","Non"))</f>
        <v>0</v>
      </c>
      <c r="F237" s="15">
        <f>INDEX(P_PlafNiv,1)</f>
        <v>0</v>
      </c>
      <c r="G237" s="15">
        <f>IF(E237="Oui",F237,10)</f>
        <v>0</v>
      </c>
    </row>
    <row r="238" spans="1:8" ht="27" customHeight="1">
      <c r="A238" s="21" t="s">
        <v>134</v>
      </c>
      <c r="B238" s="13" t="s">
        <v>135</v>
      </c>
      <c r="C238" s="19">
        <f>$D$133</f>
        <v>0</v>
      </c>
      <c r="D238" s="18">
        <f>$B$67</f>
        <v>0</v>
      </c>
      <c r="E238" s="7">
        <f>IF(OR($D$133="",$B$67=""),"n.r.",IF($D$133&lt;$B$67,"Oui","Non"))</f>
        <v>0</v>
      </c>
      <c r="F238" s="15">
        <f>INDEX(P_PlafNiv,2)</f>
        <v>0</v>
      </c>
      <c r="G238" s="15">
        <f>IF(E238="Oui",F238,10)</f>
        <v>0</v>
      </c>
    </row>
    <row r="239" spans="1:8" ht="27" customHeight="1">
      <c r="A239" s="21" t="s">
        <v>136</v>
      </c>
      <c r="B239" s="13" t="s">
        <v>137</v>
      </c>
      <c r="C239" s="19">
        <f>$D$134</f>
        <v>0</v>
      </c>
      <c r="D239" s="19">
        <f>P_C3</f>
        <v>0</v>
      </c>
      <c r="E239" s="7">
        <f>IF($D$134="","n.r.",IF($D$134&lt;P_C3,"Oui","Non"))</f>
        <v>0</v>
      </c>
      <c r="F239" s="15">
        <f>INDEX(P_PlafNiv,3)</f>
        <v>0</v>
      </c>
      <c r="G239" s="15">
        <f>IF(E239="Oui",F239,10)</f>
        <v>0</v>
      </c>
    </row>
    <row r="240" spans="1:8" ht="27" customHeight="1">
      <c r="A240" s="21" t="s">
        <v>138</v>
      </c>
      <c r="B240" s="13" t="s">
        <v>139</v>
      </c>
      <c r="C240" s="18">
        <f>$B$151</f>
        <v>0</v>
      </c>
      <c r="D240" s="18">
        <f>P_C4</f>
        <v>0</v>
      </c>
      <c r="E240" s="7">
        <f>IF($B$151="","n.r.",IF($B$151&lt;P_C4,"Oui","Non"))</f>
        <v>0</v>
      </c>
      <c r="F240" s="15">
        <f>INDEX(P_PlafNiv,4)</f>
        <v>0</v>
      </c>
      <c r="G240" s="15">
        <f>IF(E240="Oui",F240,10)</f>
        <v>0</v>
      </c>
    </row>
    <row r="241" spans="1:8" ht="27" customHeight="1">
      <c r="A241" s="21" t="s">
        <v>140</v>
      </c>
      <c r="B241" s="13" t="s">
        <v>141</v>
      </c>
      <c r="C241" s="13">
        <f>IF($B$158="","",$B$158&amp;" ans / dette "&amp;$B$159&amp;" ans")</f>
        <v>0</v>
      </c>
      <c r="D241" s="13">
        <f>"contrat &lt; dette"</f>
        <v>0</v>
      </c>
      <c r="E241" s="7">
        <f>IF($B$15="R4","n.a.",IF(OR($B$158="",$B$159=""),"n.r.",IF(AND($B$158&lt;$B$159,$B$160&lt;&gt;"Oui"),"Oui","Non")))</f>
        <v>0</v>
      </c>
      <c r="F241" s="15">
        <f>INDEX(P_PlafNiv,5)</f>
        <v>0</v>
      </c>
      <c r="G241" s="15">
        <f>IF(E241="Oui",F241,10)</f>
        <v>0</v>
      </c>
    </row>
    <row r="242" spans="1:8" ht="27" customHeight="1">
      <c r="A242" s="21" t="s">
        <v>142</v>
      </c>
      <c r="B242" s="13" t="s">
        <v>143</v>
      </c>
      <c r="C242" s="27">
        <f>$B$153</f>
        <v>0</v>
      </c>
      <c r="D242" s="27">
        <f>P_C6</f>
        <v>0</v>
      </c>
      <c r="E242" s="7">
        <f>IF($B$153="","n.r.",IF($B$153&gt;P_C6,"Oui","Non"))</f>
        <v>0</v>
      </c>
      <c r="F242" s="15">
        <f>INDEX(P_PlafNiv,6)</f>
        <v>0</v>
      </c>
      <c r="G242" s="15">
        <f>IF(E242="Oui",F242,10)</f>
        <v>0</v>
      </c>
    </row>
    <row r="243" spans="1:8" ht="27" customHeight="1">
      <c r="A243" s="21" t="s">
        <v>144</v>
      </c>
      <c r="B243" s="13" t="s">
        <v>145</v>
      </c>
      <c r="C243" s="20">
        <f>$B$152</f>
        <v>0</v>
      </c>
      <c r="D243" s="20">
        <f>P_C7</f>
        <v>0</v>
      </c>
      <c r="E243" s="7">
        <f>IF($B$152="","n.r.",IF($B$152&lt;P_C7,"Oui","Non"))</f>
        <v>0</v>
      </c>
      <c r="F243" s="15">
        <f>INDEX(P_PlafNiv,7)</f>
        <v>0</v>
      </c>
      <c r="G243" s="15">
        <f>IF(E243="Oui",F243,10)</f>
        <v>0</v>
      </c>
    </row>
    <row r="244" spans="1:8" ht="27" customHeight="1">
      <c r="A244" s="21" t="s">
        <v>146</v>
      </c>
      <c r="B244" s="13" t="s">
        <v>147</v>
      </c>
      <c r="C244" s="27">
        <f>$B$154</f>
        <v>0</v>
      </c>
      <c r="D244" s="27">
        <f>P_C8</f>
        <v>0</v>
      </c>
      <c r="E244" s="7">
        <f>IF($B$154="","n.r.",IF(AND($B$154&gt;P_C8,$B$155&lt;&gt;"Oui"),"Oui","Non"))</f>
        <v>0</v>
      </c>
      <c r="F244" s="15">
        <f>INDEX(P_PlafNiv,8)</f>
        <v>0</v>
      </c>
      <c r="G244" s="15">
        <f>IF(E244="Oui",F244,10)</f>
        <v>0</v>
      </c>
    </row>
    <row r="245" spans="1:8" ht="27" customHeight="1">
      <c r="A245" s="21" t="s">
        <v>148</v>
      </c>
      <c r="B245" s="13" t="s">
        <v>149</v>
      </c>
      <c r="C245" s="27">
        <f>$B$49</f>
        <v>0</v>
      </c>
      <c r="D245" s="27">
        <f>P_C9</f>
        <v>0</v>
      </c>
      <c r="E245" s="7">
        <f>IF($B$49="","n.r.",IF($B$49&gt;P_C9,"Oui","Non"))</f>
        <v>0</v>
      </c>
      <c r="F245" s="15">
        <f>INDEX(P_PlafNiv,9)</f>
        <v>0</v>
      </c>
      <c r="G245" s="15">
        <f>IF(E245="Oui",F245,10)</f>
        <v>0</v>
      </c>
    </row>
    <row r="246" spans="1:8" ht="27" customHeight="1">
      <c r="A246" s="21" t="s">
        <v>150</v>
      </c>
      <c r="B246" s="13" t="s">
        <v>151</v>
      </c>
      <c r="C246" s="13">
        <f>IF($B$156="","",FIXED($B$156*100,0)&amp;" % — "&amp;$B$157)</f>
        <v>0</v>
      </c>
      <c r="D246" s="13">
        <f>P_C10</f>
        <v>0</v>
      </c>
      <c r="E246" s="7">
        <f>IF(OR($B$156="",$B$157=""),"n.r.",IF(AND($B$156&gt;P_C10,$B$157&lt;&gt;INDEX(L_QualAch,1)),"Oui","Non"))</f>
        <v>0</v>
      </c>
      <c r="F246" s="15">
        <f>INDEX(P_PlafNiv,10)</f>
        <v>0</v>
      </c>
      <c r="G246" s="15">
        <f>IF(E246="Oui",F246,10)</f>
        <v>0</v>
      </c>
    </row>
    <row r="247" spans="1:8" ht="27" customHeight="1">
      <c r="A247" s="21" t="s">
        <v>152</v>
      </c>
      <c r="B247" s="13" t="s">
        <v>153</v>
      </c>
      <c r="C247" s="13">
        <f>$B$32</f>
        <v>0</v>
      </c>
      <c r="D247" s="13">
        <f>"élevé sans plan"</f>
        <v>0</v>
      </c>
      <c r="E247" s="7">
        <f>IF($B$32="","n.r.",IF(AND($B$32="Oui",$B$161&lt;&gt;"Oui"),"Oui","Non"))</f>
        <v>0</v>
      </c>
      <c r="F247" s="15">
        <f>INDEX(P_PlafNiv,11)</f>
        <v>0</v>
      </c>
      <c r="G247" s="15">
        <f>IF(E247="Oui",F247,10)</f>
        <v>0</v>
      </c>
    </row>
    <row r="248" spans="1:8" ht="27" customHeight="1">
      <c r="A248" s="21" t="s">
        <v>154</v>
      </c>
      <c r="B248" s="13" t="s">
        <v>155</v>
      </c>
      <c r="C248" s="13">
        <f>$B$162</f>
        <v>0</v>
      </c>
      <c r="D248" s="13">
        <f>"insuffisante"</f>
        <v>0</v>
      </c>
      <c r="E248" s="7">
        <f>IF($B$162="","n.r.",IF($B$162="Non","Oui","Non"))</f>
        <v>0</v>
      </c>
      <c r="F248" s="15">
        <f>INDEX(P_PlafNiv,12)</f>
        <v>0</v>
      </c>
      <c r="G248" s="15">
        <f>IF(E248="Oui",F248,10)</f>
        <v>0</v>
      </c>
    </row>
    <row r="249" spans="1:8" ht="27" customHeight="1">
      <c r="A249" s="21" t="s">
        <v>156</v>
      </c>
      <c r="B249" s="13" t="s">
        <v>157</v>
      </c>
      <c r="C249" s="13">
        <f>IF($B$163="","",$B$163&amp;IF($B$164="",""," — écart "&amp;$B$164&amp;" ans"))</f>
        <v>0</v>
      </c>
      <c r="D249" s="13">
        <f>P_C13</f>
        <v>0</v>
      </c>
      <c r="E249" s="7">
        <f>IF($B$163="","n.r.",IF(AND($B$163="Non",N($B$164)&gt;P_C13),"Oui","Non"))</f>
        <v>0</v>
      </c>
      <c r="F249" s="15">
        <f>INDEX(P_PlafNiv,13)</f>
        <v>0</v>
      </c>
      <c r="G249" s="15">
        <f>IF(E249="Oui",F249,10)</f>
        <v>0</v>
      </c>
    </row>
    <row r="250" spans="1:8" ht="27" customHeight="1">
      <c r="A250" s="21" t="s">
        <v>158</v>
      </c>
      <c r="B250" s="13" t="s">
        <v>159</v>
      </c>
      <c r="C250" s="13">
        <f>$B$165</f>
        <v>0</v>
      </c>
      <c r="D250" s="13">
        <f>"au-delà limite"</f>
        <v>0</v>
      </c>
      <c r="E250" s="7">
        <f>IF($B$165="","n.r.",IF($B$165="Oui","Oui","Non"))</f>
        <v>0</v>
      </c>
      <c r="F250" s="15">
        <f>INDEX(P_PlafNiv,14)</f>
        <v>0</v>
      </c>
      <c r="G250" s="15">
        <f>IF(E250="Oui",F250,10)</f>
        <v>0</v>
      </c>
    </row>
    <row r="251" spans="1:8" ht="27" customHeight="1">
      <c r="A251" s="21" t="s">
        <v>160</v>
      </c>
      <c r="B251" s="13" t="s">
        <v>161</v>
      </c>
      <c r="C251" s="27">
        <f>$B$203</f>
        <v>0</v>
      </c>
      <c r="D251" s="27">
        <f>P_COUV</f>
        <v>0</v>
      </c>
      <c r="E251" s="7">
        <f>IF(OR($B$203="",$B$204=""),"n.r.",IF(OR($B$203&lt;P_COUV,$B$204&lt;1),"Oui","Non"))</f>
        <v>0</v>
      </c>
      <c r="F251" s="15">
        <f>INDEX(P_PlafNiv,15)</f>
        <v>0</v>
      </c>
      <c r="G251" s="15">
        <f>IF(E251="Oui",F251,10)</f>
        <v>0</v>
      </c>
    </row>
    <row r="252" spans="1:8">
      <c r="A252" s="21" t="s">
        <v>504</v>
      </c>
      <c r="B252" s="14">
        <f>MIN(G237:G251)</f>
        <v>0</v>
      </c>
    </row>
    <row r="254" spans="1:8">
      <c r="A254" s="3" t="s">
        <v>505</v>
      </c>
      <c r="B254" s="3"/>
      <c r="C254" s="3"/>
      <c r="D254" s="3"/>
      <c r="E254" s="3"/>
      <c r="F254" s="3"/>
      <c r="G254" s="3"/>
      <c r="H254" s="3"/>
    </row>
    <row r="255" spans="1:8" ht="30" customHeight="1">
      <c r="A255" s="21" t="s">
        <v>506</v>
      </c>
      <c r="B255" s="25">
        <f>IF(COUNTIF(F222:F225,"Oui")&gt;0,"—",IF(B218="","",MIN(B218,B252)))</f>
        <v>0</v>
      </c>
    </row>
    <row r="256" spans="1:8">
      <c r="A256" s="21" t="s">
        <v>286</v>
      </c>
      <c r="B256" s="34">
        <f>IF(B218="","Dossier incomplet",IF(COUNTIF(F222:F225,"Oui")&gt;0,"Hors périmètre — aucune note produite",IF(COUNTIF(F226:F233,"Oui")&gt;0,"Note provisoire — stade bloqué : "&amp;TRIM(IF(F226="Oui","B1 (Octroi)  ","")&amp;IF(F227="Oui","B2 (Octroi)  ","")&amp;IF(F228="Oui","B3 (Décaissement)  ","")&amp;IF(F229="Oui","B4 (Octroi)  ","")&amp;IF(F230="Oui","B5 (Décaissement)  ","")&amp;IF(F231="Oui","B6 (Notation validée)  ","")&amp;IF(F232="Oui","B7 (Notation validée)  ","")&amp;IF(F233="Oui","B8 (Octroi)  ","")),IF(E251="Oui","Note provisoire — évaluation partielle (C15)","Note validable, à soumettre au comité"))))</f>
        <v>0</v>
      </c>
      <c r="C256" s="34"/>
      <c r="D256" s="34"/>
      <c r="E256" s="34"/>
      <c r="F256" s="34"/>
      <c r="G256" s="34"/>
      <c r="H256" s="34"/>
    </row>
    <row r="258" spans="1:8">
      <c r="A258" s="3" t="s">
        <v>507</v>
      </c>
      <c r="B258" s="3"/>
      <c r="C258" s="3"/>
      <c r="D258" s="3"/>
      <c r="E258" s="3"/>
      <c r="F258" s="3"/>
      <c r="G258" s="3"/>
      <c r="H258" s="3"/>
    </row>
    <row r="259" spans="1:8" ht="60" customHeight="1">
      <c r="A259" s="33" t="s">
        <v>703</v>
      </c>
      <c r="B259" s="33"/>
      <c r="C259" s="33"/>
      <c r="D259" s="33"/>
      <c r="E259" s="33"/>
      <c r="F259" s="33"/>
      <c r="G259" s="33"/>
      <c r="H259" s="33"/>
    </row>
  </sheetData>
  <sheetProtection sheet="1" objects="1" scenarios="1" formatColumns="0" formatRows="0"/>
  <mergeCells count="72">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A21:H21"/>
    <mergeCell ref="C22:H22"/>
    <mergeCell ref="C34:H34"/>
    <mergeCell ref="C35:H35"/>
    <mergeCell ref="A37:H37"/>
    <mergeCell ref="A52:H52"/>
    <mergeCell ref="B53:H53"/>
    <mergeCell ref="B54:H54"/>
    <mergeCell ref="B55:H55"/>
    <mergeCell ref="B56:H56"/>
    <mergeCell ref="B57:H57"/>
    <mergeCell ref="B58:H58"/>
    <mergeCell ref="B59:H59"/>
    <mergeCell ref="B60:H60"/>
    <mergeCell ref="A62:H62"/>
    <mergeCell ref="A69:H69"/>
    <mergeCell ref="C70:H70"/>
    <mergeCell ref="A140:H140"/>
    <mergeCell ref="E141:H141"/>
    <mergeCell ref="E142:H142"/>
    <mergeCell ref="E143:H143"/>
    <mergeCell ref="E144:H144"/>
    <mergeCell ref="E145:H145"/>
    <mergeCell ref="E146:H146"/>
    <mergeCell ref="E147:H147"/>
    <mergeCell ref="A149:H149"/>
    <mergeCell ref="A167:H167"/>
    <mergeCell ref="E168:H168"/>
    <mergeCell ref="E169:H169"/>
    <mergeCell ref="E173:H173"/>
    <mergeCell ref="E177:H177"/>
    <mergeCell ref="E181:H181"/>
    <mergeCell ref="E185:H185"/>
    <mergeCell ref="E189:H189"/>
    <mergeCell ref="E193:H193"/>
    <mergeCell ref="E197:H197"/>
    <mergeCell ref="A206:H206"/>
    <mergeCell ref="A220:H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A235:H235"/>
    <mergeCell ref="A254:H254"/>
    <mergeCell ref="B256:H256"/>
    <mergeCell ref="A258:H258"/>
    <mergeCell ref="A259:H259"/>
  </mergeCells>
  <conditionalFormatting sqref="A170:D170">
    <cfRule type="expression" dxfId="4" priority="20">
      <formula>$K$170=0</formula>
    </cfRule>
  </conditionalFormatting>
  <conditionalFormatting sqref="A171:D171">
    <cfRule type="expression" dxfId="4" priority="22">
      <formula>$K$171=0</formula>
    </cfRule>
  </conditionalFormatting>
  <conditionalFormatting sqref="A172:D172">
    <cfRule type="expression" dxfId="4" priority="24">
      <formula>$K$172=0</formula>
    </cfRule>
  </conditionalFormatting>
  <conditionalFormatting sqref="A174:D174">
    <cfRule type="expression" dxfId="4" priority="26">
      <formula>$K$174=0</formula>
    </cfRule>
  </conditionalFormatting>
  <conditionalFormatting sqref="A175:D175">
    <cfRule type="expression" dxfId="4" priority="28">
      <formula>$K$175=0</formula>
    </cfRule>
  </conditionalFormatting>
  <conditionalFormatting sqref="A176:D176">
    <cfRule type="expression" dxfId="4" priority="30">
      <formula>$K$176=0</formula>
    </cfRule>
  </conditionalFormatting>
  <conditionalFormatting sqref="A178:D178">
    <cfRule type="expression" dxfId="4" priority="32">
      <formula>$K$178=0</formula>
    </cfRule>
  </conditionalFormatting>
  <conditionalFormatting sqref="A179:D179">
    <cfRule type="expression" dxfId="4" priority="34">
      <formula>$K$179=0</formula>
    </cfRule>
  </conditionalFormatting>
  <conditionalFormatting sqref="A180:D180">
    <cfRule type="expression" dxfId="4" priority="36">
      <formula>$K$180=0</formula>
    </cfRule>
  </conditionalFormatting>
  <conditionalFormatting sqref="A182:D182">
    <cfRule type="expression" dxfId="4" priority="38">
      <formula>$K$182=0</formula>
    </cfRule>
  </conditionalFormatting>
  <conditionalFormatting sqref="A183:D183">
    <cfRule type="expression" dxfId="4" priority="40">
      <formula>$K$183=0</formula>
    </cfRule>
  </conditionalFormatting>
  <conditionalFormatting sqref="A184:D184">
    <cfRule type="expression" dxfId="4" priority="42">
      <formula>$K$184=0</formula>
    </cfRule>
  </conditionalFormatting>
  <conditionalFormatting sqref="A186:D186">
    <cfRule type="expression" dxfId="4" priority="44">
      <formula>$K$186=0</formula>
    </cfRule>
  </conditionalFormatting>
  <conditionalFormatting sqref="A187:D187">
    <cfRule type="expression" dxfId="4" priority="46">
      <formula>$K$187=0</formula>
    </cfRule>
  </conditionalFormatting>
  <conditionalFormatting sqref="A188:D188">
    <cfRule type="expression" dxfId="4" priority="48">
      <formula>$K$188=0</formula>
    </cfRule>
  </conditionalFormatting>
  <conditionalFormatting sqref="A190:D190">
    <cfRule type="expression" dxfId="4" priority="50">
      <formula>$K$190=0</formula>
    </cfRule>
  </conditionalFormatting>
  <conditionalFormatting sqref="A191:D191">
    <cfRule type="expression" dxfId="4" priority="52">
      <formula>$K$191=0</formula>
    </cfRule>
  </conditionalFormatting>
  <conditionalFormatting sqref="A192:D192">
    <cfRule type="expression" dxfId="4" priority="54">
      <formula>$K$192=0</formula>
    </cfRule>
  </conditionalFormatting>
  <conditionalFormatting sqref="A194:D194">
    <cfRule type="expression" dxfId="4" priority="56">
      <formula>$K$194=0</formula>
    </cfRule>
  </conditionalFormatting>
  <conditionalFormatting sqref="A195:D195">
    <cfRule type="expression" dxfId="4" priority="58">
      <formula>$K$195=0</formula>
    </cfRule>
  </conditionalFormatting>
  <conditionalFormatting sqref="A196:D196">
    <cfRule type="expression" dxfId="4" priority="60">
      <formula>$K$196=0</formula>
    </cfRule>
  </conditionalFormatting>
  <conditionalFormatting sqref="A198:D198">
    <cfRule type="expression" dxfId="4" priority="62">
      <formula>$K$198=0</formula>
    </cfRule>
  </conditionalFormatting>
  <conditionalFormatting sqref="A199:D199">
    <cfRule type="expression" dxfId="4" priority="64">
      <formula>$K$199=0</formula>
    </cfRule>
  </conditionalFormatting>
  <conditionalFormatting sqref="A200:D200">
    <cfRule type="expression" dxfId="4" priority="66">
      <formula>$K$200=0</formula>
    </cfRule>
  </conditionalFormatting>
  <conditionalFormatting sqref="A201:D201">
    <cfRule type="expression" dxfId="4" priority="68">
      <formula>$K$201=0</formula>
    </cfRule>
  </conditionalFormatting>
  <conditionalFormatting sqref="B145">
    <cfRule type="expression" dxfId="2" priority="143">
      <formula>NOT($B$145&lt;&gt;"")</formula>
    </cfRule>
  </conditionalFormatting>
  <conditionalFormatting sqref="B146">
    <cfRule type="expression" dxfId="2" priority="144">
      <formula>NOT($B$146&lt;&gt;"")</formula>
    </cfRule>
  </conditionalFormatting>
  <conditionalFormatting sqref="B147">
    <cfRule type="expression" dxfId="2" priority="145">
      <formula>NOT($B$147&lt;&gt;"")</formula>
    </cfRule>
  </conditionalFormatting>
  <conditionalFormatting sqref="B15">
    <cfRule type="expression" dxfId="2" priority="124">
      <formula>NOT($B$15&lt;&gt;"")</formula>
    </cfRule>
  </conditionalFormatting>
  <conditionalFormatting sqref="B150">
    <cfRule type="expression" dxfId="2" priority="146">
      <formula>NOT(OR($B$17="P1",$B$150&lt;&gt;""))</formula>
    </cfRule>
  </conditionalFormatting>
  <conditionalFormatting sqref="B151">
    <cfRule type="expression" dxfId="2" priority="147">
      <formula>NOT(ISNUMBER($B$151))</formula>
    </cfRule>
  </conditionalFormatting>
  <conditionalFormatting sqref="B152">
    <cfRule type="expression" dxfId="2" priority="148">
      <formula>NOT(ISNUMBER($B$152))</formula>
    </cfRule>
  </conditionalFormatting>
  <conditionalFormatting sqref="B153">
    <cfRule type="expression" dxfId="2" priority="149">
      <formula>NOT(ISNUMBER($B$153))</formula>
    </cfRule>
  </conditionalFormatting>
  <conditionalFormatting sqref="B154">
    <cfRule type="expression" dxfId="2" priority="150">
      <formula>NOT(ISNUMBER($B$154))</formula>
    </cfRule>
  </conditionalFormatting>
  <conditionalFormatting sqref="B155">
    <cfRule type="expression" dxfId="2" priority="151">
      <formula>NOT(OR(N($B$154)&lt;=P_C8,$B$155&lt;&gt;""))</formula>
    </cfRule>
  </conditionalFormatting>
  <conditionalFormatting sqref="B156">
    <cfRule type="expression" dxfId="2" priority="152">
      <formula>NOT(ISNUMBER($B$156))</formula>
    </cfRule>
  </conditionalFormatting>
  <conditionalFormatting sqref="B157">
    <cfRule type="expression" dxfId="2" priority="153">
      <formula>NOT($B$157&lt;&gt;"")</formula>
    </cfRule>
  </conditionalFormatting>
  <conditionalFormatting sqref="B158">
    <cfRule type="expression" dxfId="2" priority="154">
      <formula>NOT(OR($B$15="R4",ISNUMBER($B$158)))</formula>
    </cfRule>
  </conditionalFormatting>
  <conditionalFormatting sqref="B159">
    <cfRule type="expression" dxfId="2" priority="155">
      <formula>NOT(ISNUMBER($B$159))</formula>
    </cfRule>
  </conditionalFormatting>
  <conditionalFormatting sqref="B16">
    <cfRule type="expression" dxfId="2" priority="125">
      <formula>NOT($B$16&lt;&gt;"")</formula>
    </cfRule>
  </conditionalFormatting>
  <conditionalFormatting sqref="B160">
    <cfRule type="expression" dxfId="2" priority="156">
      <formula>NOT(OR(NOT(AND(ISNUMBER($B$158),ISNUMBER($B$159))),N($B$158)&gt;=N($B$159),$B$160&lt;&gt;""))</formula>
    </cfRule>
  </conditionalFormatting>
  <conditionalFormatting sqref="B161">
    <cfRule type="expression" dxfId="2" priority="157">
      <formula>NOT(OR($B$32&lt;&gt;"Oui",$B$161&lt;&gt;""))</formula>
    </cfRule>
  </conditionalFormatting>
  <conditionalFormatting sqref="B162">
    <cfRule type="expression" dxfId="2" priority="158">
      <formula>NOT($B$162&lt;&gt;"")</formula>
    </cfRule>
  </conditionalFormatting>
  <conditionalFormatting sqref="B163">
    <cfRule type="expression" dxfId="2" priority="159">
      <formula>NOT($B$163&lt;&gt;"")</formula>
    </cfRule>
  </conditionalFormatting>
  <conditionalFormatting sqref="B164">
    <cfRule type="expression" dxfId="2" priority="160">
      <formula>NOT(OR($B$163&lt;&gt;"Non",ISNUMBER($B$164)))</formula>
    </cfRule>
  </conditionalFormatting>
  <conditionalFormatting sqref="B165">
    <cfRule type="expression" dxfId="2" priority="161">
      <formula>NOT($B$165&lt;&gt;"")</formula>
    </cfRule>
  </conditionalFormatting>
  <conditionalFormatting sqref="B17">
    <cfRule type="expression" dxfId="2" priority="126">
      <formula>NOT($B$17&lt;&gt;"")</formula>
    </cfRule>
  </conditionalFormatting>
  <conditionalFormatting sqref="B170">
    <cfRule type="expression" dxfId="2" priority="21">
      <formula>AND($K$170=1,$B$170="")</formula>
    </cfRule>
  </conditionalFormatting>
  <conditionalFormatting sqref="B171">
    <cfRule type="expression" dxfId="2" priority="23">
      <formula>AND($K$171=1,$B$171="")</formula>
    </cfRule>
  </conditionalFormatting>
  <conditionalFormatting sqref="B172">
    <cfRule type="expression" dxfId="2" priority="25">
      <formula>AND($K$172=1,$B$172="")</formula>
    </cfRule>
  </conditionalFormatting>
  <conditionalFormatting sqref="B174">
    <cfRule type="expression" dxfId="2" priority="27">
      <formula>AND($K$174=1,$B$174="")</formula>
    </cfRule>
  </conditionalFormatting>
  <conditionalFormatting sqref="B175">
    <cfRule type="expression" dxfId="2" priority="29">
      <formula>AND($K$175=1,$B$175="")</formula>
    </cfRule>
  </conditionalFormatting>
  <conditionalFormatting sqref="B176">
    <cfRule type="expression" dxfId="2" priority="31">
      <formula>AND($K$176=1,$B$176="")</formula>
    </cfRule>
  </conditionalFormatting>
  <conditionalFormatting sqref="B178">
    <cfRule type="expression" dxfId="2" priority="33">
      <formula>AND($K$178=1,$B$178="")</formula>
    </cfRule>
  </conditionalFormatting>
  <conditionalFormatting sqref="B179">
    <cfRule type="expression" dxfId="2" priority="35">
      <formula>AND($K$179=1,$B$179="")</formula>
    </cfRule>
  </conditionalFormatting>
  <conditionalFormatting sqref="B18">
    <cfRule type="expression" dxfId="2" priority="127">
      <formula>NOT($B$18&lt;&gt;"")</formula>
    </cfRule>
  </conditionalFormatting>
  <conditionalFormatting sqref="B180">
    <cfRule type="expression" dxfId="2" priority="37">
      <formula>AND($K$180=1,$B$180="")</formula>
    </cfRule>
  </conditionalFormatting>
  <conditionalFormatting sqref="B182">
    <cfRule type="expression" dxfId="2" priority="39">
      <formula>AND($K$182=1,$B$182="")</formula>
    </cfRule>
  </conditionalFormatting>
  <conditionalFormatting sqref="B183">
    <cfRule type="expression" dxfId="2" priority="41">
      <formula>AND($K$183=1,$B$183="")</formula>
    </cfRule>
  </conditionalFormatting>
  <conditionalFormatting sqref="B184">
    <cfRule type="expression" dxfId="2" priority="43">
      <formula>AND($K$184=1,$B$184="")</formula>
    </cfRule>
  </conditionalFormatting>
  <conditionalFormatting sqref="B186">
    <cfRule type="expression" dxfId="2" priority="45">
      <formula>AND($K$186=1,$B$186="")</formula>
    </cfRule>
  </conditionalFormatting>
  <conditionalFormatting sqref="B187">
    <cfRule type="expression" dxfId="2" priority="47">
      <formula>AND($K$187=1,$B$187="")</formula>
    </cfRule>
  </conditionalFormatting>
  <conditionalFormatting sqref="B188">
    <cfRule type="expression" dxfId="2" priority="49">
      <formula>AND($K$188=1,$B$188="")</formula>
    </cfRule>
  </conditionalFormatting>
  <conditionalFormatting sqref="B190">
    <cfRule type="expression" dxfId="2" priority="51">
      <formula>AND($K$190=1,$B$190="")</formula>
    </cfRule>
  </conditionalFormatting>
  <conditionalFormatting sqref="B191">
    <cfRule type="expression" dxfId="2" priority="53">
      <formula>AND($K$191=1,$B$191="")</formula>
    </cfRule>
  </conditionalFormatting>
  <conditionalFormatting sqref="B192">
    <cfRule type="expression" dxfId="2" priority="55">
      <formula>AND($K$192=1,$B$192="")</formula>
    </cfRule>
  </conditionalFormatting>
  <conditionalFormatting sqref="B194">
    <cfRule type="expression" dxfId="2" priority="57">
      <formula>AND($K$194=1,$B$194="")</formula>
    </cfRule>
  </conditionalFormatting>
  <conditionalFormatting sqref="B195">
    <cfRule type="expression" dxfId="2" priority="59">
      <formula>AND($K$195=1,$B$195="")</formula>
    </cfRule>
  </conditionalFormatting>
  <conditionalFormatting sqref="B196">
    <cfRule type="expression" dxfId="2" priority="61">
      <formula>AND($K$196=1,$B$196="")</formula>
    </cfRule>
  </conditionalFormatting>
  <conditionalFormatting sqref="B198">
    <cfRule type="expression" dxfId="2" priority="63">
      <formula>AND($K$198=1,$B$198="")</formula>
    </cfRule>
  </conditionalFormatting>
  <conditionalFormatting sqref="B199">
    <cfRule type="expression" dxfId="2" priority="65">
      <formula>AND($K$199=1,$B$199="")</formula>
    </cfRule>
  </conditionalFormatting>
  <conditionalFormatting sqref="B200">
    <cfRule type="expression" dxfId="2" priority="67">
      <formula>AND($K$200=1,$B$200="")</formula>
    </cfRule>
  </conditionalFormatting>
  <conditionalFormatting sqref="B201">
    <cfRule type="expression" dxfId="2" priority="69">
      <formula>AND($K$201=1,$B$201="")</formula>
    </cfRule>
  </conditionalFormatting>
  <conditionalFormatting sqref="B23">
    <cfRule type="expression" dxfId="2" priority="128">
      <formula>NOT(ISNUMBER($B$23))</formula>
    </cfRule>
  </conditionalFormatting>
  <conditionalFormatting sqref="B24">
    <cfRule type="expression" dxfId="2" priority="129">
      <formula>NOT($B$24&lt;&gt;"")</formula>
    </cfRule>
  </conditionalFormatting>
  <conditionalFormatting sqref="B25">
    <cfRule type="expression" dxfId="2" priority="130">
      <formula>NOT(ISNUMBER($B$25))</formula>
    </cfRule>
  </conditionalFormatting>
  <conditionalFormatting sqref="B26">
    <cfRule type="expression" dxfId="2" priority="131">
      <formula>NOT($B$26&lt;&gt;"")</formula>
    </cfRule>
  </conditionalFormatting>
  <conditionalFormatting sqref="B27">
    <cfRule type="expression" dxfId="2" priority="132">
      <formula>NOT(OR(NOT($B$17="P1"),$B$27&lt;&gt;""))</formula>
    </cfRule>
  </conditionalFormatting>
  <conditionalFormatting sqref="B28">
    <cfRule type="expression" dxfId="2" priority="133">
      <formula>NOT($B$28&lt;&gt;"")</formula>
    </cfRule>
  </conditionalFormatting>
  <conditionalFormatting sqref="B29">
    <cfRule type="expression" dxfId="2" priority="134">
      <formula>NOT($B$29&lt;&gt;"")</formula>
    </cfRule>
  </conditionalFormatting>
  <conditionalFormatting sqref="B30">
    <cfRule type="expression" dxfId="2" priority="135">
      <formula>NOT($B$30&lt;&gt;"")</formula>
    </cfRule>
  </conditionalFormatting>
  <conditionalFormatting sqref="B31">
    <cfRule type="expression" dxfId="2" priority="136">
      <formula>NOT($B$31&lt;&gt;"")</formula>
    </cfRule>
  </conditionalFormatting>
  <conditionalFormatting sqref="B32">
    <cfRule type="expression" dxfId="2" priority="137">
      <formula>NOT($B$32&lt;&gt;"")</formula>
    </cfRule>
  </conditionalFormatting>
  <conditionalFormatting sqref="B33">
    <cfRule type="expression" dxfId="2" priority="138">
      <formula>NOT(ISNUMBER($B$33))</formula>
    </cfRule>
  </conditionalFormatting>
  <conditionalFormatting sqref="B39">
    <cfRule type="expression" dxfId="2" priority="139">
      <formula>NOT(N($B$47)&gt;0)</formula>
    </cfRule>
  </conditionalFormatting>
  <conditionalFormatting sqref="B4">
    <cfRule type="expression" dxfId="1" priority="1">
      <formula>AND(ISNUMBER($B$4),$B$4=0)</formula>
    </cfRule>
    <cfRule type="expression" dxfId="2" priority="2">
      <formula>AND(ISNUMBER($B$4),$B$4&gt;0)</formula>
    </cfRule>
  </conditionalFormatting>
  <conditionalFormatting sqref="B50">
    <cfRule type="expression" dxfId="2" priority="141">
      <formula>NOT(OR(NOT(AND($B$17="P1",ISNUMBER($B$48),N($B$48)&gt;=P_N3_V,N($B$48)&lt;P_N3_F)),$B$50&lt;&gt;""))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70">
    <cfRule type="expression" dxfId="2" priority="142">
      <formula>NOT(ISNUMBER($B$70))</formula>
    </cfRule>
  </conditionalFormatting>
  <conditionalFormatting sqref="B72:C73">
    <cfRule type="expression" dxfId="2" priority="12">
      <formula>AND(COUNT($B$72:$B$131)&lt;2,B72="")</formula>
    </cfRule>
  </conditionalFormatting>
  <conditionalFormatting sqref="C72:C131">
    <cfRule type="expression" dxfId="2" priority="11">
      <formula>AND(ISNUMBER($B72),NOT(ISNUMBER($C72)))</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33">
    <cfRule type="cellIs" dxfId="0" priority="16" operator="equal">
      <formula>"Critique"</formula>
    </cfRule>
    <cfRule type="cellIs" dxfId="3" priority="17" operator="equal">
      <formula>"Vigilance"</formula>
    </cfRule>
  </conditionalFormatting>
  <conditionalFormatting sqref="E134">
    <cfRule type="cellIs" dxfId="0" priority="18" operator="equal">
      <formula>"Critique"</formula>
    </cfRule>
    <cfRule type="cellIs" dxfId="3" priority="19" operator="equal">
      <formula>"Vigilance"</formula>
    </cfRule>
  </conditionalFormatting>
  <conditionalFormatting sqref="E222">
    <cfRule type="expression" dxfId="2" priority="70">
      <formula>$E$222=""</formula>
    </cfRule>
  </conditionalFormatting>
  <conditionalFormatting sqref="E223">
    <cfRule type="expression" dxfId="2" priority="72">
      <formula>$E$223=""</formula>
    </cfRule>
  </conditionalFormatting>
  <conditionalFormatting sqref="E224">
    <cfRule type="expression" dxfId="2" priority="74">
      <formula>$E$224=""</formula>
    </cfRule>
  </conditionalFormatting>
  <conditionalFormatting sqref="E225">
    <cfRule type="expression" dxfId="2" priority="76">
      <formula>$E$225=""</formula>
    </cfRule>
  </conditionalFormatting>
  <conditionalFormatting sqref="E226">
    <cfRule type="expression" dxfId="2" priority="78">
      <formula>$E$226=""</formula>
    </cfRule>
  </conditionalFormatting>
  <conditionalFormatting sqref="E227">
    <cfRule type="expression" dxfId="2" priority="80">
      <formula>$E$227=""</formula>
    </cfRule>
  </conditionalFormatting>
  <conditionalFormatting sqref="E228">
    <cfRule type="expression" dxfId="2" priority="82">
      <formula>$E$228=""</formula>
    </cfRule>
  </conditionalFormatting>
  <conditionalFormatting sqref="E229">
    <cfRule type="expression" dxfId="2" priority="84">
      <formula>$E$229=""</formula>
    </cfRule>
  </conditionalFormatting>
  <conditionalFormatting sqref="E230">
    <cfRule type="expression" dxfId="2" priority="86">
      <formula>$E$230=""</formula>
    </cfRule>
  </conditionalFormatting>
  <conditionalFormatting sqref="E231">
    <cfRule type="expression" dxfId="2" priority="88">
      <formula>$E$231=""</formula>
    </cfRule>
  </conditionalFormatting>
  <conditionalFormatting sqref="E232">
    <cfRule type="expression" dxfId="2" priority="90">
      <formula>$E$232=""</formula>
    </cfRule>
  </conditionalFormatting>
  <conditionalFormatting sqref="E233">
    <cfRule type="expression" dxfId="2" priority="92">
      <formula>$E$233=""</formula>
    </cfRule>
  </conditionalFormatting>
  <conditionalFormatting sqref="E237">
    <cfRule type="cellIs" dxfId="0" priority="94" operator="equal">
      <formula>"Oui"</formula>
    </cfRule>
    <cfRule type="cellIs" dxfId="3" priority="95" operator="equal">
      <formula>"n.r."</formula>
    </cfRule>
  </conditionalFormatting>
  <conditionalFormatting sqref="E238">
    <cfRule type="cellIs" dxfId="0" priority="96" operator="equal">
      <formula>"Oui"</formula>
    </cfRule>
    <cfRule type="cellIs" dxfId="3" priority="97" operator="equal">
      <formula>"n.r."</formula>
    </cfRule>
  </conditionalFormatting>
  <conditionalFormatting sqref="E239">
    <cfRule type="cellIs" dxfId="0" priority="98" operator="equal">
      <formula>"Oui"</formula>
    </cfRule>
    <cfRule type="cellIs" dxfId="3" priority="99" operator="equal">
      <formula>"n.r."</formula>
    </cfRule>
  </conditionalFormatting>
  <conditionalFormatting sqref="E240">
    <cfRule type="cellIs" dxfId="0" priority="100" operator="equal">
      <formula>"Oui"</formula>
    </cfRule>
    <cfRule type="cellIs" dxfId="3" priority="101" operator="equal">
      <formula>"n.r."</formula>
    </cfRule>
  </conditionalFormatting>
  <conditionalFormatting sqref="E241">
    <cfRule type="cellIs" dxfId="0" priority="102" operator="equal">
      <formula>"Oui"</formula>
    </cfRule>
    <cfRule type="cellIs" dxfId="3" priority="103" operator="equal">
      <formula>"n.r."</formula>
    </cfRule>
  </conditionalFormatting>
  <conditionalFormatting sqref="E242">
    <cfRule type="cellIs" dxfId="0" priority="104" operator="equal">
      <formula>"Oui"</formula>
    </cfRule>
    <cfRule type="cellIs" dxfId="3" priority="105" operator="equal">
      <formula>"n.r."</formula>
    </cfRule>
  </conditionalFormatting>
  <conditionalFormatting sqref="E243">
    <cfRule type="cellIs" dxfId="0" priority="106" operator="equal">
      <formula>"Oui"</formula>
    </cfRule>
    <cfRule type="cellIs" dxfId="3" priority="107" operator="equal">
      <formula>"n.r."</formula>
    </cfRule>
  </conditionalFormatting>
  <conditionalFormatting sqref="E244">
    <cfRule type="cellIs" dxfId="0" priority="108" operator="equal">
      <formula>"Oui"</formula>
    </cfRule>
    <cfRule type="cellIs" dxfId="3" priority="109" operator="equal">
      <formula>"n.r."</formula>
    </cfRule>
  </conditionalFormatting>
  <conditionalFormatting sqref="E245">
    <cfRule type="cellIs" dxfId="0" priority="110" operator="equal">
      <formula>"Oui"</formula>
    </cfRule>
    <cfRule type="cellIs" dxfId="3" priority="111" operator="equal">
      <formula>"n.r."</formula>
    </cfRule>
  </conditionalFormatting>
  <conditionalFormatting sqref="E246">
    <cfRule type="cellIs" dxfId="0" priority="112" operator="equal">
      <formula>"Oui"</formula>
    </cfRule>
    <cfRule type="cellIs" dxfId="3" priority="113" operator="equal">
      <formula>"n.r."</formula>
    </cfRule>
  </conditionalFormatting>
  <conditionalFormatting sqref="E247">
    <cfRule type="cellIs" dxfId="0" priority="114" operator="equal">
      <formula>"Oui"</formula>
    </cfRule>
    <cfRule type="cellIs" dxfId="3" priority="115" operator="equal">
      <formula>"n.r."</formula>
    </cfRule>
  </conditionalFormatting>
  <conditionalFormatting sqref="E248">
    <cfRule type="cellIs" dxfId="0" priority="116" operator="equal">
      <formula>"Oui"</formula>
    </cfRule>
    <cfRule type="cellIs" dxfId="3" priority="117" operator="equal">
      <formula>"n.r."</formula>
    </cfRule>
  </conditionalFormatting>
  <conditionalFormatting sqref="E249">
    <cfRule type="cellIs" dxfId="0" priority="118" operator="equal">
      <formula>"Oui"</formula>
    </cfRule>
    <cfRule type="cellIs" dxfId="3" priority="119" operator="equal">
      <formula>"n.r."</formula>
    </cfRule>
  </conditionalFormatting>
  <conditionalFormatting sqref="E250">
    <cfRule type="cellIs" dxfId="0" priority="120" operator="equal">
      <formula>"Oui"</formula>
    </cfRule>
    <cfRule type="cellIs" dxfId="3" priority="121" operator="equal">
      <formula>"n.r."</formula>
    </cfRule>
  </conditionalFormatting>
  <conditionalFormatting sqref="E251">
    <cfRule type="cellIs" dxfId="0" priority="122" operator="equal">
      <formula>"Oui"</formula>
    </cfRule>
    <cfRule type="cellIs" dxfId="3" priority="123" operator="equal">
      <formula>"n.r."</formula>
    </cfRule>
  </conditionalFormatting>
  <conditionalFormatting sqref="E39">
    <cfRule type="expression" dxfId="2" priority="140">
      <formula>NOT(N($E$47)&gt;0)</formula>
    </cfRule>
  </conditionalFormatting>
  <conditionalFormatting sqref="E72:E131">
    <cfRule type="cellIs" dxfId="0" priority="13" operator="equal">
      <formula>"Critique"</formula>
    </cfRule>
    <cfRule type="cellIs" dxfId="3" priority="14" operator="equal">
      <formula>"Vigilance"</formula>
    </cfRule>
    <cfRule type="cellIs" dxfId="1" priority="15" operator="equal">
      <formula>"Très favorable"</formula>
    </cfRule>
  </conditionalFormatting>
  <conditionalFormatting sqref="F222">
    <cfRule type="cellIs" dxfId="0" priority="71" operator="equal">
      <formula>"Oui"</formula>
    </cfRule>
  </conditionalFormatting>
  <conditionalFormatting sqref="F223">
    <cfRule type="cellIs" dxfId="0" priority="73" operator="equal">
      <formula>"Oui"</formula>
    </cfRule>
  </conditionalFormatting>
  <conditionalFormatting sqref="F224">
    <cfRule type="cellIs" dxfId="0" priority="75" operator="equal">
      <formula>"Oui"</formula>
    </cfRule>
  </conditionalFormatting>
  <conditionalFormatting sqref="F225">
    <cfRule type="cellIs" dxfId="0" priority="77" operator="equal">
      <formula>"Oui"</formula>
    </cfRule>
  </conditionalFormatting>
  <conditionalFormatting sqref="F226">
    <cfRule type="cellIs" dxfId="0" priority="79" operator="equal">
      <formula>"Oui"</formula>
    </cfRule>
  </conditionalFormatting>
  <conditionalFormatting sqref="F227">
    <cfRule type="cellIs" dxfId="0" priority="81" operator="equal">
      <formula>"Oui"</formula>
    </cfRule>
  </conditionalFormatting>
  <conditionalFormatting sqref="F228">
    <cfRule type="cellIs" dxfId="0" priority="83" operator="equal">
      <formula>"Oui"</formula>
    </cfRule>
  </conditionalFormatting>
  <conditionalFormatting sqref="F229">
    <cfRule type="cellIs" dxfId="0" priority="85" operator="equal">
      <formula>"Oui"</formula>
    </cfRule>
  </conditionalFormatting>
  <conditionalFormatting sqref="F230">
    <cfRule type="cellIs" dxfId="0" priority="87" operator="equal">
      <formula>"Oui"</formula>
    </cfRule>
  </conditionalFormatting>
  <conditionalFormatting sqref="F231">
    <cfRule type="cellIs" dxfId="0" priority="89" operator="equal">
      <formula>"Oui"</formula>
    </cfRule>
  </conditionalFormatting>
  <conditionalFormatting sqref="F232">
    <cfRule type="cellIs" dxfId="0" priority="91" operator="equal">
      <formula>"Oui"</formula>
    </cfRule>
  </conditionalFormatting>
  <conditionalFormatting sqref="F233">
    <cfRule type="cellIs" dxfId="0" priority="93" operator="equal">
      <formula>"Oui"</formula>
    </cfRule>
  </conditionalFormatting>
  <conditionalFormatting sqref="F39:F46">
    <cfRule type="expression" dxfId="2" priority="10">
      <formula>AND(ISNUMBER($E39),$F39="")</formula>
    </cfRule>
  </conditionalFormatting>
  <dataValidations count="100">
    <dataValidation allowBlank="1" showInputMessage="1" showErrorMessage="1" promptTitle="Intitulé du dossier" prompt="Référence et nom du projet, ex. « PF-2026-014 · Centrale solaire de Ouarzazate »."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5">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sectoriel Δ au seuil DSCR du régime (onglet Paramètres)." sqref="B16">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17">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18">
      <formula1>L_Periodicite</formula1>
    </dataValidation>
    <dataValidation allowBlank="1" showInputMessage="1" showErrorMessage="1" promptTitle="Famille de financement" prompt="PF-FLUX : société de projet remboursée par les flux du projet. La vente d'actifs (R5) est hors outil." sqref="B19"/>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3">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4">
      <formula1>L_OuiNon</formula1>
    </dataValidation>
    <dataValidation type="decimal" allowBlank="1" showInputMessage="1" showErrorMessage="1" errorTitle="Valeur non admise" error="Saisissez une durée en années (0 à 99)." promptTitle="Durée du financement" prompt="Durée totale de la dette, en années. Ex. : 15." sqref="B25">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6">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27">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28">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29">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0">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1">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2">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3">
      <formula1>0</formula1>
      <formula2>99</formula2>
    </dataValidation>
    <dataValidation allowBlank="1" showInputMessage="1" showErrorMessage="1" promptTitle="Emploi" prompt="Poste du besoin à terminaison : CAPEX, intérêts intercalaires, DSRA initiale, aléas…" sqref="A39:A46"/>
    <dataValidation type="decimal" operator="greaterThanOrEqual" allowBlank="1" showInputMessage="1" showErrorMessage="1" errorTitle="Valeur non admise" error="Saisissez un nombre positif ou nul." promptTitle="Montant de l'emploi" prompt="Montant en millions de dirhams (MMAD)." sqref="B39:B46">
      <formula1>0</formula1>
    </dataValidation>
    <dataValidation allowBlank="1" showInputMessage="1" showErrorMessage="1" promptTitle="Ressource" prompt="Ressource engagée : dette senior, capital, quasi-fonds propres, subvention…" sqref="D39:D46"/>
    <dataValidation type="decimal" operator="greaterThanOrEqual" allowBlank="1" showInputMessage="1" showErrorMessage="1" errorTitle="Valeur non admise" error="Saisissez un nombre positif ou nul." promptTitle="Montant de la ressource" prompt="Montant engagé, en millions de dirhams (MMAD)." sqref="E39:E46">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39:F46">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0">
      <formula1>L_OuiNon</formula1>
    </dataValidation>
    <dataValidation allowBlank="1" showInputMessage="1" showErrorMessage="1" promptTitle="Hypothèse d'exploitation" prompt="Information libre, non utilisée par le calcul." sqref="A53:B60"/>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70">
      <formula1>0</formula1>
      <formula2>0.95</formula2>
    </dataValidation>
    <dataValidation allowBlank="1" showInputMessage="1" showErrorMessage="1" promptTitle="Description du stress" prompt="Décrivez le scénario défavorable, ex. « production P90 et tarif −10 % »." sqref="C70"/>
    <dataValidation allowBlank="1" showInputMessage="1" showErrorMessage="1" promptTitle="Période" prompt="Libellé de l'échéance, ex. « An 1 · S1 ». Le bouton « Préparer l'échéancier » les génère." sqref="A72:A131"/>
    <dataValidation type="decimal" allowBlank="1" showInputMessage="1" showErrorMessage="1" errorTitle="Valeur non admise" error="Saisissez un nombre." promptTitle="CFADS central" prompt="Flux disponible pour le service de la dette sur la période, en MMAD. Un CFADS négatif est noté Critique d'office." sqref="B72:B131">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72:C131">
      <formula1>0</formula1>
    </dataValidation>
    <dataValidation type="decimal" allowBlank="1" showInputMessage="1" showErrorMessage="1" errorTitle="Valeur non admise" error="Saisissez un nombre." promptTitle="CFADS stressé (facultatif)" prompt="Laisser vide pour appliquer le choc de la ligne 70. Sinon, CFADS du scénario défavorable issu du modèle de flux." sqref="F72:F131">
      <formula1>-1000000000.0</formula1>
      <formula2>1000000000.0</formula2>
    </dataValidation>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5">
      <formula1>L_Notes</formula1>
    </dataValidation>
    <dataValidation allowBlank="1" showInputMessage="1" showErrorMessage="1" promptTitle="Justification" prompt="Mesure et pièce justificative, ex. « DSRA 6 mois, cascade de paiement signée »." sqref="E145"/>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6">
      <formula1>L_Notes</formula1>
    </dataValidation>
    <dataValidation allowBlank="1" showInputMessage="1" showErrorMessage="1" promptTitle="Justification" prompt="Mesure et pièce justificative, ex. « DSRA 6 mois, cascade de paiement signée »." sqref="E146"/>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7">
      <formula1>L_Notes</formula1>
    </dataValidation>
    <dataValidation allowBlank="1" showInputMessage="1" showErrorMessage="1" promptTitle="Justification" prompt="Mesure et pièce justificative, ex. « DSRA 6 mois, cascade de paiement signée »." sqref="E147"/>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50">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51">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52">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53">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54">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55">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56">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57">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58">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59">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60">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61">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62">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63">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64">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65">
      <formula1>L_OuiNon</formula1>
    </dataValidation>
    <dataValidation allowBlank="1" showInputMessage="1" showErrorMessage="1" promptTitle="Commentaire du domaine" prompt="Constats et pièces qui justifient les notes du domaine." sqref="E16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2">
      <formula1>L_Notes</formula1>
    </dataValidation>
    <dataValidation allowBlank="1" showInputMessage="1" showErrorMessage="1" promptTitle="Commentaire du domaine" prompt="Constats et pièces qui justifient les notes du domaine." sqref="E17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6">
      <formula1>L_Notes</formula1>
    </dataValidation>
    <dataValidation allowBlank="1" showInputMessage="1" showErrorMessage="1" promptTitle="Commentaire du domaine" prompt="Constats et pièces qui justifient les notes du domaine." sqref="E17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0">
      <formula1>L_Notes</formula1>
    </dataValidation>
    <dataValidation allowBlank="1" showInputMessage="1" showErrorMessage="1" promptTitle="Commentaire du domaine" prompt="Constats et pièces qui justifient les notes du domaine." sqref="E181"/>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2">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3">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4">
      <formula1>L_Notes</formula1>
    </dataValidation>
    <dataValidation allowBlank="1" showInputMessage="1" showErrorMessage="1" promptTitle="Commentaire du domaine" prompt="Constats et pièces qui justifient les notes du domaine." sqref="E185"/>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6">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7">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8">
      <formula1>L_Notes</formula1>
    </dataValidation>
    <dataValidation allowBlank="1" showInputMessage="1" showErrorMessage="1" promptTitle="Commentaire du domaine" prompt="Constats et pièces qui justifient les notes du domaine." sqref="E18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2">
      <formula1>L_Notes</formula1>
    </dataValidation>
    <dataValidation allowBlank="1" showInputMessage="1" showErrorMessage="1" promptTitle="Commentaire du domaine" prompt="Constats et pièces qui justifient les notes du domaine." sqref="E19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6">
      <formula1>L_Notes</formula1>
    </dataValidation>
    <dataValidation allowBlank="1" showInputMessage="1" showErrorMessage="1" promptTitle="Commentaire du domaine" prompt="Constats et pièces qui justifient les notes du domaine." sqref="E19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1">
      <formula1>L_Notes</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0">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31">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3">
      <formula1>L_OuiNon</formula1>
    </dataValidation>
    <dataValidation allowBlank="1" showInputMessage="1" showErrorMessage="1" promptTitle="Conclusion" prompt="Ce que le dossier enseigne, ou la recommandation de l'analyste au comité." sqref="A259"/>
  </dataValidations>
  <pageMargins left="0.7" right="0.7" top="0.75" bottom="0.75" header="0.3" footer="0.3"/>
  <pageSetup paperSize="9" fitToHeight="0" orientation="landscape"/>
  <legacyDrawing r:id="rId1"/>
</worksheet>
</file>

<file path=xl/worksheets/sheet9.xml><?xml version="1.0" encoding="utf-8"?>
<worksheet xmlns="http://schemas.openxmlformats.org/spreadsheetml/2006/main" xmlns:r="http://schemas.openxmlformats.org/officeDocument/2006/relationships">
  <sheetPr>
    <pageSetUpPr fitToPage="1"/>
  </sheetPr>
  <dimension ref="A1:R259"/>
  <sheetViews>
    <sheetView showGridLines="0" workbookViewId="0">
      <pane ySplit="12" topLeftCell="A13" activePane="bottomLeft" state="frozen"/>
      <selection pane="bottomLeft"/>
    </sheetView>
  </sheetViews>
  <sheetFormatPr defaultRowHeight="15"/>
  <cols>
    <col min="1" max="1" width="46.7109375" customWidth="1"/>
    <col min="2" max="7" width="14.7109375" customWidth="1"/>
    <col min="8" max="8" width="18.7109375" customWidth="1"/>
    <col min="9" max="9" width="3.7109375" customWidth="1"/>
    <col min="10" max="13" width="10.7109375" hidden="1" customWidth="1"/>
    <col min="14" max="14" width="24.7109375" customWidth="1"/>
    <col min="15" max="15" width="3.7109375" customWidth="1"/>
    <col min="16" max="18" width="10.7109375" hidden="1" customWidth="1"/>
  </cols>
  <sheetData>
    <row r="1" spans="1:18">
      <c r="A1" s="30" t="s">
        <v>704</v>
      </c>
      <c r="J1" s="31" t="s">
        <v>278</v>
      </c>
    </row>
    <row r="2" spans="1:18">
      <c r="A2" s="32" t="s">
        <v>705</v>
      </c>
    </row>
    <row r="3" spans="1:18" ht="42" customHeight="1">
      <c r="A3" s="33" t="s">
        <v>706</v>
      </c>
      <c r="B3" s="33"/>
      <c r="C3" s="33"/>
      <c r="D3" s="33"/>
      <c r="E3" s="33"/>
      <c r="F3" s="33"/>
      <c r="G3" s="33"/>
      <c r="H3" s="33"/>
    </row>
    <row r="4" spans="1:18" ht="22" customHeight="1">
      <c r="A4" s="22" t="s">
        <v>282</v>
      </c>
      <c r="B4" s="14">
        <f>COUNTIF($R$14:$R$56,0)</f>
        <v>0</v>
      </c>
      <c r="C4" s="34">
        <f>IF(B4=0,"Saisie complète : lisez la note ci-dessous, puis « Fiche comité ».","Prochaine saisie : "&amp;INDEX($P$14:$P$56,MATCH(0,$R$14:$R$56,0)))</f>
        <v>0</v>
      </c>
      <c r="D4" s="34"/>
      <c r="E4" s="34"/>
      <c r="F4" s="34"/>
      <c r="G4" s="12">
        <f>IF(B4=0,"",HYPERLINK("#"&amp;INDEX($Q$14:$Q$56,MATCH(0,$R$14:$R$56,0)),"→ Aller à la cellule "&amp;INDEX($Q$14:$Q$56,MATCH(0,$R$14:$R$56,0))))</f>
        <v>0</v>
      </c>
      <c r="H4" s="12"/>
    </row>
    <row r="5" spans="1:18">
      <c r="A5" s="3" t="s">
        <v>284</v>
      </c>
      <c r="B5" s="3"/>
      <c r="C5" s="3"/>
      <c r="D5" s="3"/>
      <c r="E5" s="3"/>
      <c r="F5" s="3"/>
      <c r="G5" s="3"/>
      <c r="H5" s="3"/>
    </row>
    <row r="6" spans="1:18" ht="34" customHeight="1">
      <c r="A6" s="22" t="s">
        <v>285</v>
      </c>
      <c r="B6" s="25">
        <f>B255</f>
        <v>0</v>
      </c>
      <c r="C6" s="22" t="s">
        <v>4</v>
      </c>
      <c r="D6" s="34">
        <f>IFERROR(INDEX(P_ConvLib,MATCH(B255,P_ConvNote,0)),"")</f>
        <v>0</v>
      </c>
      <c r="E6" s="22" t="s">
        <v>286</v>
      </c>
      <c r="F6" s="34">
        <f>B256</f>
        <v>0</v>
      </c>
      <c r="G6" s="34"/>
      <c r="H6" s="34"/>
    </row>
    <row r="7" spans="1:18">
      <c r="A7" s="22" t="s">
        <v>287</v>
      </c>
      <c r="B7" s="14">
        <f>B217</f>
        <v>0</v>
      </c>
      <c r="C7" s="22" t="s">
        <v>288</v>
      </c>
      <c r="D7" s="14">
        <f>B218</f>
        <v>0</v>
      </c>
      <c r="E7" s="22" t="s">
        <v>289</v>
      </c>
      <c r="F7" s="34">
        <f>IF(B252&gt;=10,"Aucun (10)",B252)</f>
        <v>0</v>
      </c>
      <c r="G7" s="34"/>
      <c r="H7" s="34"/>
    </row>
    <row r="8" spans="1:18">
      <c r="A8" s="22" t="s">
        <v>290</v>
      </c>
      <c r="B8" s="34">
        <f>IF(TRIM(IF(E237="Oui","C1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",""))="","Aucun",TRIM(IF(E237="Oui","C1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","")))&amp;IF(COUNTIF(E237:E251,"n.r.")&gt;0,"   —   "&amp;COUNTIF(E237:E251,"n.r.")&amp;" plafond(s) non évalué(s) faute de donnée","")</f>
        <v>0</v>
      </c>
      <c r="C8" s="34"/>
      <c r="D8" s="34"/>
      <c r="E8" s="34"/>
      <c r="F8" s="34"/>
      <c r="G8" s="34"/>
      <c r="H8" s="34"/>
    </row>
    <row r="9" spans="1:18">
      <c r="A9" s="22" t="s">
        <v>291</v>
      </c>
      <c r="B9" s="34">
        <f>IF(TRIM(IF(F222="Oui","X1  ","")&amp;IF(F223="Oui","X2  ","")&amp;IF(F224="Oui","X3  ","")&amp;IF(F225="Oui","X4  ","")&amp;IF(F226="Oui","B1  ","")&amp;IF(F227="Oui","B2  ","")&amp;IF(F228="Oui","B3  ","")&amp;IF(F229="Oui","B4  ","")&amp;IF(F230="Oui","B5  ","")&amp;IF(F231="Oui","B6  ","")&amp;IF(F232="Oui","B7  ","")&amp;IF(F233="Oui","B8  ",""))="","Aucun",TRIM(IF(F222="Oui","X1  ","")&amp;IF(F223="Oui","X2  ","")&amp;IF(F224="Oui","X3  ","")&amp;IF(F225="Oui","X4  ","")&amp;IF(F226="Oui","B1  ","")&amp;IF(F227="Oui","B2  ","")&amp;IF(F228="Oui","B3  ","")&amp;IF(F229="Oui","B4  ","")&amp;IF(F230="Oui","B5  ","")&amp;IF(F231="Oui","B6  ","")&amp;IF(F232="Oui","B7  ","")&amp;IF(F233="Oui","B8  ","")))</f>
        <v>0</v>
      </c>
      <c r="C9" s="34"/>
      <c r="D9" s="34"/>
      <c r="E9" s="34"/>
      <c r="F9" s="34"/>
      <c r="G9" s="34"/>
      <c r="H9" s="34"/>
    </row>
    <row r="10" spans="1:18">
      <c r="A10" s="22" t="s">
        <v>292</v>
      </c>
      <c r="B10" s="14">
        <f>B35</f>
        <v>0</v>
      </c>
      <c r="C10" s="22" t="s">
        <v>293</v>
      </c>
      <c r="D10" s="35">
        <f>D133</f>
        <v>0</v>
      </c>
      <c r="E10" s="22" t="s">
        <v>294</v>
      </c>
      <c r="F10" s="35">
        <f>D134</f>
        <v>0</v>
      </c>
    </row>
    <row r="11" spans="1:18">
      <c r="A11" s="22" t="s">
        <v>295</v>
      </c>
      <c r="B11" s="36">
        <f>B204</f>
        <v>0</v>
      </c>
      <c r="C11" s="22" t="s">
        <v>296</v>
      </c>
      <c r="D11" s="14">
        <f>D148</f>
        <v>0</v>
      </c>
      <c r="E11" s="22" t="s">
        <v>109</v>
      </c>
      <c r="F11" s="34">
        <f>IFERROR(INDEX(P_ConvOrient,MATCH(B255,P_ConvNote,0)),"")</f>
        <v>0</v>
      </c>
      <c r="G11" s="34"/>
      <c r="H11" s="34"/>
    </row>
    <row r="12" spans="1:18">
      <c r="A12" s="37" t="s">
        <v>283</v>
      </c>
      <c r="B12" s="38">
        <f>HYPERLINK("#A13","1 · Routage")</f>
        <v>0</v>
      </c>
      <c r="C12" s="38">
        <f>HYPERLINK("#A37","3 · Sources")</f>
        <v>0</v>
      </c>
      <c r="D12" s="38">
        <f>HYPERLINK("#A69","6 · Échéancier")</f>
        <v>0</v>
      </c>
      <c r="E12" s="38">
        <f>HYPERLINK("#A140","7 · Noyau")</f>
        <v>0</v>
      </c>
      <c r="F12" s="38">
        <f>HYPERLINK("#A167","8 · Grille")</f>
        <v>0</v>
      </c>
      <c r="G12" s="38">
        <f>HYPERLINK("#A220","10 · Verrous")</f>
        <v>0</v>
      </c>
      <c r="H12" s="38">
        <f>HYPERLINK("#A235","11 · Plafonds")</f>
        <v>0</v>
      </c>
    </row>
    <row r="13" spans="1:18">
      <c r="A13" s="3" t="s">
        <v>297</v>
      </c>
      <c r="B13" s="3"/>
      <c r="C13" s="3"/>
      <c r="D13" s="3"/>
      <c r="E13" s="3"/>
      <c r="F13" s="3"/>
      <c r="G13" s="3"/>
      <c r="H13" s="3"/>
    </row>
    <row r="14" spans="1:18">
      <c r="A14" s="11" t="s">
        <v>298</v>
      </c>
      <c r="B14" s="11" t="s">
        <v>94</v>
      </c>
      <c r="C14" s="11" t="s">
        <v>4</v>
      </c>
      <c r="D14" s="11"/>
      <c r="E14" s="11"/>
      <c r="F14" s="11"/>
      <c r="G14" s="11"/>
      <c r="H14" s="11"/>
      <c r="P14" s="31" t="s">
        <v>509</v>
      </c>
      <c r="Q14" s="31" t="s">
        <v>510</v>
      </c>
      <c r="R14" s="31">
        <f>IF($B$15&lt;&gt;"",1,0)</f>
        <v>0</v>
      </c>
    </row>
    <row r="15" spans="1:18">
      <c r="A15" s="17" t="s">
        <v>299</v>
      </c>
      <c r="B15" s="5" t="s">
        <v>8</v>
      </c>
      <c r="C15" s="13">
        <f>IFERROR(INDEX(P_RegLib,MATCH(B15,P_Regimes,0)),"")</f>
        <v>0</v>
      </c>
      <c r="D15" s="13"/>
      <c r="E15" s="13"/>
      <c r="F15" s="13"/>
      <c r="G15" s="13"/>
      <c r="H15" s="13"/>
      <c r="P15" s="31" t="s">
        <v>511</v>
      </c>
      <c r="Q15" s="31" t="s">
        <v>512</v>
      </c>
      <c r="R15" s="31">
        <f>IF($B$16&lt;&gt;"",1,0)</f>
        <v>0</v>
      </c>
    </row>
    <row r="16" spans="1:18">
      <c r="A16" s="17" t="s">
        <v>300</v>
      </c>
      <c r="B16" s="5" t="s">
        <v>21</v>
      </c>
      <c r="C16" s="13">
        <f>IFERROR(INDEX(P_SecLib,MATCH(B16,P_SecCodes,0)),"")</f>
        <v>0</v>
      </c>
      <c r="D16" s="13"/>
      <c r="E16" s="13"/>
      <c r="F16" s="13"/>
      <c r="G16" s="13"/>
      <c r="H16" s="13"/>
      <c r="P16" s="31" t="s">
        <v>513</v>
      </c>
      <c r="Q16" s="31" t="s">
        <v>514</v>
      </c>
      <c r="R16" s="31">
        <f>IF($B$17&lt;&gt;"",1,0)</f>
        <v>0</v>
      </c>
    </row>
    <row r="17" spans="1:18">
      <c r="A17" s="17" t="s">
        <v>301</v>
      </c>
      <c r="B17" s="5" t="s">
        <v>48</v>
      </c>
      <c r="C17" s="13">
        <f>IFERROR(INDEX(P_PhaseLib,MATCH(B17,P_PhaseCodes,0)),"")</f>
        <v>0</v>
      </c>
      <c r="D17" s="13"/>
      <c r="E17" s="13"/>
      <c r="F17" s="13"/>
      <c r="G17" s="13"/>
      <c r="H17" s="13"/>
      <c r="P17" s="31" t="s">
        <v>515</v>
      </c>
      <c r="Q17" s="31" t="s">
        <v>516</v>
      </c>
      <c r="R17" s="31">
        <f>IF($B$18&lt;&gt;"",1,0)</f>
        <v>0</v>
      </c>
    </row>
    <row r="18" spans="1:18">
      <c r="A18" s="17" t="s">
        <v>302</v>
      </c>
      <c r="B18" s="5" t="s">
        <v>262</v>
      </c>
      <c r="C18" s="13" t="s">
        <v>303</v>
      </c>
      <c r="D18" s="13"/>
      <c r="E18" s="13"/>
      <c r="F18" s="13"/>
      <c r="G18" s="13"/>
      <c r="H18" s="13"/>
      <c r="P18" s="31" t="s">
        <v>517</v>
      </c>
      <c r="Q18" s="31" t="s">
        <v>518</v>
      </c>
      <c r="R18" s="31">
        <f>IF(ISNUMBER($B$23),1,0)</f>
        <v>0</v>
      </c>
    </row>
    <row r="19" spans="1:18">
      <c r="A19" s="17" t="s">
        <v>304</v>
      </c>
      <c r="B19" s="5" t="s">
        <v>305</v>
      </c>
      <c r="C19" s="13" t="s">
        <v>306</v>
      </c>
      <c r="D19" s="13"/>
      <c r="E19" s="13"/>
      <c r="F19" s="13"/>
      <c r="G19" s="13"/>
      <c r="H19" s="13"/>
      <c r="P19" s="31" t="s">
        <v>519</v>
      </c>
      <c r="Q19" s="31" t="s">
        <v>520</v>
      </c>
      <c r="R19" s="31">
        <f>IF($B$24&lt;&gt;"",1,0)</f>
        <v>0</v>
      </c>
    </row>
    <row r="20" spans="1:18">
      <c r="P20" s="31" t="s">
        <v>521</v>
      </c>
      <c r="Q20" s="31" t="s">
        <v>522</v>
      </c>
      <c r="R20" s="31">
        <f>IF(ISNUMBER($B$25),1,0)</f>
        <v>0</v>
      </c>
    </row>
    <row r="21" spans="1:18">
      <c r="A21" s="3" t="s">
        <v>307</v>
      </c>
      <c r="B21" s="3"/>
      <c r="C21" s="3"/>
      <c r="D21" s="3"/>
      <c r="E21" s="3"/>
      <c r="F21" s="3"/>
      <c r="G21" s="3"/>
      <c r="H21" s="3"/>
      <c r="P21" s="31" t="s">
        <v>523</v>
      </c>
      <c r="Q21" s="31" t="s">
        <v>524</v>
      </c>
      <c r="R21" s="31">
        <f>IF($B$26&lt;&gt;"",1,0)</f>
        <v>0</v>
      </c>
    </row>
    <row r="22" spans="1:18">
      <c r="A22" s="17" t="s">
        <v>308</v>
      </c>
      <c r="B22" s="28">
        <f>B47</f>
        <v>0</v>
      </c>
      <c r="C22" s="13" t="s">
        <v>309</v>
      </c>
      <c r="D22" s="13"/>
      <c r="E22" s="13"/>
      <c r="F22" s="13"/>
      <c r="G22" s="13"/>
      <c r="H22" s="13"/>
      <c r="P22" s="31" t="s">
        <v>525</v>
      </c>
      <c r="Q22" s="31" t="s">
        <v>526</v>
      </c>
      <c r="R22" s="31">
        <f>IF(OR(NOT($B$17="P1"),$B$27&lt;&gt;""),1,0)</f>
        <v>0</v>
      </c>
    </row>
    <row r="23" spans="1:18">
      <c r="A23" s="17" t="s">
        <v>310</v>
      </c>
      <c r="B23" s="39">
        <v>60</v>
      </c>
      <c r="P23" s="31" t="s">
        <v>527</v>
      </c>
      <c r="Q23" s="31" t="s">
        <v>528</v>
      </c>
      <c r="R23" s="31">
        <f>IF($B$28&lt;&gt;"",1,0)</f>
        <v>0</v>
      </c>
    </row>
    <row r="24" spans="1:18">
      <c r="A24" s="17" t="s">
        <v>311</v>
      </c>
      <c r="B24" s="5" t="s">
        <v>257</v>
      </c>
      <c r="P24" s="31" t="s">
        <v>529</v>
      </c>
      <c r="Q24" s="31" t="s">
        <v>530</v>
      </c>
      <c r="R24" s="31">
        <f>IF($B$29&lt;&gt;"",1,0)</f>
        <v>0</v>
      </c>
    </row>
    <row r="25" spans="1:18">
      <c r="A25" s="17" t="s">
        <v>312</v>
      </c>
      <c r="B25" s="40">
        <v>12</v>
      </c>
      <c r="P25" s="31" t="s">
        <v>531</v>
      </c>
      <c r="Q25" s="31" t="s">
        <v>532</v>
      </c>
      <c r="R25" s="31">
        <f>IF($B$30&lt;&gt;"",1,0)</f>
        <v>0</v>
      </c>
    </row>
    <row r="26" spans="1:18">
      <c r="A26" s="17" t="s">
        <v>313</v>
      </c>
      <c r="B26" s="5" t="s">
        <v>257</v>
      </c>
      <c r="P26" s="31" t="s">
        <v>533</v>
      </c>
      <c r="Q26" s="31" t="s">
        <v>534</v>
      </c>
      <c r="R26" s="31">
        <f>IF($B$31&lt;&gt;"",1,0)</f>
        <v>0</v>
      </c>
    </row>
    <row r="27" spans="1:18">
      <c r="A27" s="17" t="s">
        <v>314</v>
      </c>
      <c r="B27" s="5" t="s">
        <v>257</v>
      </c>
      <c r="P27" s="31" t="s">
        <v>535</v>
      </c>
      <c r="Q27" s="31" t="s">
        <v>536</v>
      </c>
      <c r="R27" s="31">
        <f>IF($B$32&lt;&gt;"",1,0)</f>
        <v>0</v>
      </c>
    </row>
    <row r="28" spans="1:18">
      <c r="A28" s="17" t="s">
        <v>315</v>
      </c>
      <c r="B28" s="5" t="s">
        <v>257</v>
      </c>
      <c r="P28" s="31" t="s">
        <v>537</v>
      </c>
      <c r="Q28" s="31" t="s">
        <v>538</v>
      </c>
      <c r="R28" s="31">
        <f>IF(ISNUMBER($B$33),1,0)</f>
        <v>0</v>
      </c>
    </row>
    <row r="29" spans="1:18">
      <c r="A29" s="17" t="s">
        <v>316</v>
      </c>
      <c r="B29" s="5" t="s">
        <v>258</v>
      </c>
      <c r="P29" s="31" t="s">
        <v>539</v>
      </c>
      <c r="Q29" s="31" t="s">
        <v>540</v>
      </c>
      <c r="R29" s="31">
        <f>IF(N($B$47)&gt;0,1,0)</f>
        <v>0</v>
      </c>
    </row>
    <row r="30" spans="1:18">
      <c r="A30" s="17" t="s">
        <v>317</v>
      </c>
      <c r="B30" s="5" t="s">
        <v>258</v>
      </c>
      <c r="P30" s="31" t="s">
        <v>541</v>
      </c>
      <c r="Q30" s="31" t="s">
        <v>542</v>
      </c>
      <c r="R30" s="31">
        <f>IF(N($E$47)&gt;0,1,0)</f>
        <v>0</v>
      </c>
    </row>
    <row r="31" spans="1:18">
      <c r="A31" s="17" t="s">
        <v>318</v>
      </c>
      <c r="B31" s="5" t="s">
        <v>258</v>
      </c>
      <c r="P31" s="31" t="s">
        <v>543</v>
      </c>
      <c r="Q31" s="31" t="s">
        <v>544</v>
      </c>
      <c r="R31" s="31">
        <f>IF(SUMPRODUCT(ISNUMBER($E$39:$E$46)*($F$39:$F$46=""))=0,1,0)</f>
        <v>0</v>
      </c>
    </row>
    <row r="32" spans="1:18">
      <c r="A32" s="17" t="s">
        <v>319</v>
      </c>
      <c r="B32" s="5" t="s">
        <v>258</v>
      </c>
      <c r="P32" s="31" t="s">
        <v>545</v>
      </c>
      <c r="Q32" s="31" t="s">
        <v>546</v>
      </c>
      <c r="R32" s="31">
        <f>IF(OR(NOT(AND($B$17="P1",ISNUMBER($B$48),N($B$48)&gt;=P_N3_V,N($B$48)&lt;P_N3_F)),$B$50&lt;&gt;""),1,0)</f>
        <v>0</v>
      </c>
    </row>
    <row r="33" spans="1:18">
      <c r="A33" s="17" t="s">
        <v>320</v>
      </c>
      <c r="B33" s="40"/>
      <c r="P33" s="31" t="s">
        <v>547</v>
      </c>
      <c r="Q33" s="31" t="s">
        <v>548</v>
      </c>
      <c r="R33" s="31">
        <f>IF(ISNUMBER($B$70),1,0)</f>
        <v>0</v>
      </c>
    </row>
    <row r="34" spans="1:18" ht="30" customHeight="1">
      <c r="A34" s="21" t="s">
        <v>321</v>
      </c>
      <c r="B34" s="14">
        <f>IF(OR(B22="",B22=0,B15=""),"",IF(OR(B22&gt;P_L_CAPEX,N(B23)&gt;P_L_EXPO,B15="R4",B29="Oui",N(B153)&gt;0,B30="Oui",B31="Oui",B32="Oui",N(B33)&gt;P_L_NBCP),"L",IF(AND(B22&lt;=P_S_CAPEX,B23&lt;&gt;"",N(B23)&lt;=P_S_EXPO,OR(B15="R1",B15="R2"),B26="Oui",B24="Oui",B25&lt;&gt;"",N(B25)&lt;=P_S_DUREE,OR(B17&lt;&gt;"P1",B27="Oui"),B28="Oui",COUNTIF($F$222:$F$233,"Oui")=0),"S","M")))</f>
        <v>0</v>
      </c>
      <c r="C34" s="13">
        <f>IF(B34="","",IF(B34="L","Escalade : "&amp;IF(B22&gt;P_L_CAPEX,"CAPEX &gt; "&amp;P_L_CAPEX&amp;" MMAD ; ","")&amp;IF(N(B23)&gt;P_L_EXPO,"exposition &gt; "&amp;P_L_EXPO&amp;" MMAD ; ","")&amp;IF(B15="R4","régime de revenus R4 ; ","")&amp;IF(B29="Oui","première référence technologique ; ","")&amp;IF(N(B153)&gt;0,"devises non intégralement couvertes ; ","")&amp;IF(B30="Oui","opération consortiale ; ","")&amp;IF(B31="Oui","contrat de revenus &gt; 20 ans ; ","")&amp;IF(B32="Oui","risque climatique élevé ; ","")&amp;IF(N(B33)&gt;P_L_NBCP,"plus de "&amp;P_L_NBCP&amp;" contreparties clés ; ",""),IF(B34="S","Toutes les conditions du régime simplifié sont réunies.","Régime standard par défaut : une condition du régime S manque, aucune condition d'escalade.")))</f>
        <v>0</v>
      </c>
      <c r="D34" s="13"/>
      <c r="E34" s="13"/>
      <c r="F34" s="13"/>
      <c r="G34" s="13"/>
      <c r="H34" s="13"/>
      <c r="P34" s="31" t="s">
        <v>549</v>
      </c>
      <c r="Q34" s="31" t="s">
        <v>550</v>
      </c>
      <c r="R34" s="31">
        <f>IF(COUNT($B$72:$B$131)&gt;=2,1,0)</f>
        <v>0</v>
      </c>
    </row>
    <row r="35" spans="1:18">
      <c r="A35" s="21" t="s">
        <v>322</v>
      </c>
      <c r="B35" s="14">
        <f>IF(B34="","",IF(AND(IF(AND(B34="S",COUNTIF($F$222:$F$233,"Oui")&gt;0),"M",B34)="M",COUNTIF($E$237:$E$251,"Oui")&gt;0),"L",IF(AND(B34="S",COUNTIF($F$222:$F$233,"Oui")&gt;0),"M",B34)))</f>
        <v>0</v>
      </c>
      <c r="C35" s="13">
        <f>IF(B35=B34,"Aucune escalade.",IF(B35="L","Escalade : un plafond de note est actif (M passe en L).","Escalade : un verrou est actif (S passe en M)."))</f>
        <v>0</v>
      </c>
      <c r="D35" s="13"/>
      <c r="E35" s="13"/>
      <c r="F35" s="13"/>
      <c r="G35" s="13"/>
      <c r="H35" s="13"/>
      <c r="P35" s="31" t="s">
        <v>551</v>
      </c>
      <c r="Q35" s="31" t="s">
        <v>552</v>
      </c>
      <c r="R35" s="31">
        <f>IF(SUMPRODUCT(ISNUMBER($B$72:$B$131)*(1-ISNUMBER($C$72:$C$131)))=0,1,0)</f>
        <v>0</v>
      </c>
    </row>
    <row r="36" spans="1:18">
      <c r="P36" s="31" t="s">
        <v>553</v>
      </c>
      <c r="Q36" s="31" t="s">
        <v>554</v>
      </c>
      <c r="R36" s="31">
        <f>IF($B$145&lt;&gt;"",1,0)</f>
        <v>0</v>
      </c>
    </row>
    <row r="37" spans="1:18">
      <c r="A37" s="3" t="s">
        <v>323</v>
      </c>
      <c r="B37" s="3"/>
      <c r="C37" s="3"/>
      <c r="D37" s="3"/>
      <c r="E37" s="3"/>
      <c r="F37" s="3"/>
      <c r="G37" s="3"/>
      <c r="H37" s="3"/>
      <c r="P37" s="31" t="s">
        <v>555</v>
      </c>
      <c r="Q37" s="31" t="s">
        <v>556</v>
      </c>
      <c r="R37" s="31">
        <f>IF($B$146&lt;&gt;"",1,0)</f>
        <v>0</v>
      </c>
    </row>
    <row r="38" spans="1:18">
      <c r="A38" s="11" t="s">
        <v>324</v>
      </c>
      <c r="B38" s="11" t="s">
        <v>325</v>
      </c>
      <c r="C38" s="11"/>
      <c r="D38" s="11" t="s">
        <v>326</v>
      </c>
      <c r="E38" s="11" t="s">
        <v>325</v>
      </c>
      <c r="F38" s="11" t="s">
        <v>327</v>
      </c>
      <c r="P38" s="31" t="s">
        <v>557</v>
      </c>
      <c r="Q38" s="31" t="s">
        <v>558</v>
      </c>
      <c r="R38" s="31">
        <f>IF($B$147&lt;&gt;"",1,0)</f>
        <v>0</v>
      </c>
    </row>
    <row r="39" spans="1:18">
      <c r="A39" s="41" t="s">
        <v>707</v>
      </c>
      <c r="B39" s="39">
        <v>88</v>
      </c>
      <c r="D39" s="41" t="s">
        <v>708</v>
      </c>
      <c r="E39" s="39">
        <v>60</v>
      </c>
      <c r="F39" s="41" t="s">
        <v>266</v>
      </c>
      <c r="P39" s="31" t="s">
        <v>559</v>
      </c>
      <c r="Q39" s="31" t="s">
        <v>560</v>
      </c>
      <c r="R39" s="31">
        <f>IF(OR($B$17="P1",$B$150&lt;&gt;""),1,0)</f>
        <v>0</v>
      </c>
    </row>
    <row r="40" spans="1:18">
      <c r="A40" s="41" t="s">
        <v>709</v>
      </c>
      <c r="B40" s="39">
        <v>7</v>
      </c>
      <c r="D40" s="41" t="s">
        <v>268</v>
      </c>
      <c r="E40" s="39">
        <v>48</v>
      </c>
      <c r="F40" s="41" t="s">
        <v>268</v>
      </c>
      <c r="P40" s="31" t="s">
        <v>561</v>
      </c>
      <c r="Q40" s="31" t="s">
        <v>562</v>
      </c>
      <c r="R40" s="31">
        <f>IF(ISNUMBER($B$151),1,0)</f>
        <v>0</v>
      </c>
    </row>
    <row r="41" spans="1:18">
      <c r="A41" s="41" t="s">
        <v>710</v>
      </c>
      <c r="B41" s="39">
        <v>5</v>
      </c>
      <c r="D41" s="41"/>
      <c r="E41" s="39"/>
      <c r="F41" s="41"/>
      <c r="P41" s="31" t="s">
        <v>563</v>
      </c>
      <c r="Q41" s="31" t="s">
        <v>564</v>
      </c>
      <c r="R41" s="31">
        <f>IF(ISNUMBER($B$152),1,0)</f>
        <v>0</v>
      </c>
    </row>
    <row r="42" spans="1:18">
      <c r="A42" s="41" t="s">
        <v>335</v>
      </c>
      <c r="B42" s="39">
        <v>2</v>
      </c>
      <c r="D42" s="41"/>
      <c r="E42" s="39"/>
      <c r="F42" s="41"/>
      <c r="P42" s="31" t="s">
        <v>565</v>
      </c>
      <c r="Q42" s="31" t="s">
        <v>566</v>
      </c>
      <c r="R42" s="31">
        <f>IF(ISNUMBER($B$153),1,0)</f>
        <v>0</v>
      </c>
    </row>
    <row r="43" spans="1:18">
      <c r="A43" s="41" t="s">
        <v>668</v>
      </c>
      <c r="B43" s="39">
        <v>3.6</v>
      </c>
      <c r="D43" s="41"/>
      <c r="E43" s="39"/>
      <c r="F43" s="41"/>
      <c r="P43" s="31" t="s">
        <v>567</v>
      </c>
      <c r="Q43" s="31" t="s">
        <v>568</v>
      </c>
      <c r="R43" s="31">
        <f>IF(ISNUMBER($B$154),1,0)</f>
        <v>0</v>
      </c>
    </row>
    <row r="44" spans="1:18">
      <c r="A44" s="41"/>
      <c r="B44" s="39"/>
      <c r="D44" s="41"/>
      <c r="E44" s="39"/>
      <c r="F44" s="41"/>
      <c r="P44" s="31" t="s">
        <v>569</v>
      </c>
      <c r="Q44" s="31" t="s">
        <v>570</v>
      </c>
      <c r="R44" s="31">
        <f>IF(OR(N($B$154)&lt;=P_C8,$B$155&lt;&gt;""),1,0)</f>
        <v>0</v>
      </c>
    </row>
    <row r="45" spans="1:18">
      <c r="A45" s="41"/>
      <c r="B45" s="39"/>
      <c r="D45" s="41"/>
      <c r="E45" s="39"/>
      <c r="F45" s="41"/>
      <c r="P45" s="31" t="s">
        <v>571</v>
      </c>
      <c r="Q45" s="31" t="s">
        <v>572</v>
      </c>
      <c r="R45" s="31">
        <f>IF(ISNUMBER($B$156),1,0)</f>
        <v>0</v>
      </c>
    </row>
    <row r="46" spans="1:18">
      <c r="A46" s="41"/>
      <c r="B46" s="39"/>
      <c r="D46" s="41"/>
      <c r="E46" s="39"/>
      <c r="F46" s="41"/>
      <c r="P46" s="31" t="s">
        <v>573</v>
      </c>
      <c r="Q46" s="31" t="s">
        <v>574</v>
      </c>
      <c r="R46" s="31">
        <f>IF($B$157&lt;&gt;"",1,0)</f>
        <v>0</v>
      </c>
    </row>
    <row r="47" spans="1:18">
      <c r="A47" s="21" t="s">
        <v>338</v>
      </c>
      <c r="B47" s="42">
        <f>SUM(B39:B46)</f>
        <v>0</v>
      </c>
      <c r="D47" s="21" t="s">
        <v>339</v>
      </c>
      <c r="E47" s="42">
        <f>SUM(E39:E46)</f>
        <v>0</v>
      </c>
      <c r="P47" s="31" t="s">
        <v>575</v>
      </c>
      <c r="Q47" s="31" t="s">
        <v>576</v>
      </c>
      <c r="R47" s="31">
        <f>IF(OR($B$15="R4",ISNUMBER($B$158)),1,0)</f>
        <v>0</v>
      </c>
    </row>
    <row r="48" spans="1:18">
      <c r="A48" s="17" t="s">
        <v>340</v>
      </c>
      <c r="B48" s="27">
        <f>IF(N(B47)=0,"",E47/B47)</f>
        <v>0</v>
      </c>
      <c r="P48" s="31" t="s">
        <v>577</v>
      </c>
      <c r="Q48" s="31" t="s">
        <v>578</v>
      </c>
      <c r="R48" s="31">
        <f>IF(ISNUMBER($B$159),1,0)</f>
        <v>0</v>
      </c>
    </row>
    <row r="49" spans="1:18">
      <c r="A49" s="17" t="s">
        <v>341</v>
      </c>
      <c r="B49" s="27">
        <f>IF(N(B47)=0,"",(SUMIF(F39:F46,"Dette senior",E39:E46)+SUMIF(F39:F46,"Dette subordonnée",E39:E46))/B47)</f>
        <v>0</v>
      </c>
      <c r="P49" s="31" t="s">
        <v>579</v>
      </c>
      <c r="Q49" s="31" t="s">
        <v>580</v>
      </c>
      <c r="R49" s="31">
        <f>IF(OR(NOT(AND(ISNUMBER($B$158),ISNUMBER($B$159))),N($B$158)&gt;=N($B$159),$B$160&lt;&gt;""),1,0)</f>
        <v>0</v>
      </c>
    </row>
    <row r="50" spans="1:18">
      <c r="A50" s="17" t="s">
        <v>342</v>
      </c>
      <c r="B50" s="5" t="s">
        <v>258</v>
      </c>
      <c r="P50" s="31" t="s">
        <v>581</v>
      </c>
      <c r="Q50" s="31" t="s">
        <v>582</v>
      </c>
      <c r="R50" s="31">
        <f>IF(OR($B$32&lt;&gt;"Oui",$B$161&lt;&gt;""),1,0)</f>
        <v>0</v>
      </c>
    </row>
    <row r="51" spans="1:18">
      <c r="P51" s="31" t="s">
        <v>583</v>
      </c>
      <c r="Q51" s="31" t="s">
        <v>584</v>
      </c>
      <c r="R51" s="31">
        <f>IF($B$162&lt;&gt;"",1,0)</f>
        <v>0</v>
      </c>
    </row>
    <row r="52" spans="1:18">
      <c r="A52" s="3" t="s">
        <v>343</v>
      </c>
      <c r="B52" s="3"/>
      <c r="C52" s="3"/>
      <c r="D52" s="3"/>
      <c r="E52" s="3"/>
      <c r="F52" s="3"/>
      <c r="G52" s="3"/>
      <c r="H52" s="3"/>
      <c r="P52" s="31" t="s">
        <v>585</v>
      </c>
      <c r="Q52" s="31" t="s">
        <v>586</v>
      </c>
      <c r="R52" s="31">
        <f>IF($B$163&lt;&gt;"",1,0)</f>
        <v>0</v>
      </c>
    </row>
    <row r="53" spans="1:18">
      <c r="A53" s="41" t="s">
        <v>711</v>
      </c>
      <c r="B53" s="41" t="s">
        <v>712</v>
      </c>
      <c r="C53" s="41"/>
      <c r="D53" s="41"/>
      <c r="E53" s="41"/>
      <c r="F53" s="41"/>
      <c r="G53" s="41"/>
      <c r="H53" s="41"/>
      <c r="P53" s="31" t="s">
        <v>587</v>
      </c>
      <c r="Q53" s="31" t="s">
        <v>588</v>
      </c>
      <c r="R53" s="31">
        <f>IF(OR($B$163&lt;&gt;"Non",ISNUMBER($B$164)),1,0)</f>
        <v>0</v>
      </c>
    </row>
    <row r="54" spans="1:18">
      <c r="A54" s="41" t="s">
        <v>713</v>
      </c>
      <c r="B54" s="41" t="s">
        <v>714</v>
      </c>
      <c r="C54" s="41"/>
      <c r="D54" s="41"/>
      <c r="E54" s="41"/>
      <c r="F54" s="41"/>
      <c r="G54" s="41"/>
      <c r="H54" s="41"/>
      <c r="P54" s="31" t="s">
        <v>589</v>
      </c>
      <c r="Q54" s="31" t="s">
        <v>590</v>
      </c>
      <c r="R54" s="31">
        <f>IF($B$165&lt;&gt;"",1,0)</f>
        <v>0</v>
      </c>
    </row>
    <row r="55" spans="1:18">
      <c r="A55" s="41" t="s">
        <v>637</v>
      </c>
      <c r="B55" s="41" t="s">
        <v>715</v>
      </c>
      <c r="C55" s="41"/>
      <c r="D55" s="41"/>
      <c r="E55" s="41"/>
      <c r="F55" s="41"/>
      <c r="G55" s="41"/>
      <c r="H55" s="41"/>
      <c r="P55" s="31" t="s">
        <v>591</v>
      </c>
      <c r="Q55" s="31">
        <f>"B"&amp;IF(COUNT($P$169:$P$201)=0,169,MIN($P$169:$P$201))</f>
        <v>0</v>
      </c>
      <c r="R55" s="31">
        <f>IF(COUNT($P$169:$P$201)=0,1,0)</f>
        <v>0</v>
      </c>
    </row>
    <row r="56" spans="1:18">
      <c r="A56" s="41" t="s">
        <v>639</v>
      </c>
      <c r="B56" s="41" t="s">
        <v>716</v>
      </c>
      <c r="C56" s="41"/>
      <c r="D56" s="41"/>
      <c r="E56" s="41"/>
      <c r="F56" s="41"/>
      <c r="G56" s="41"/>
      <c r="H56" s="41"/>
      <c r="P56" s="31" t="s">
        <v>592</v>
      </c>
      <c r="Q56" s="31" t="s">
        <v>593</v>
      </c>
      <c r="R56" s="31">
        <f>IF(COUNTBLANK($E$222:$E$233)=0,1,0)</f>
        <v>0</v>
      </c>
    </row>
    <row r="57" spans="1:18">
      <c r="A57" s="41" t="s">
        <v>642</v>
      </c>
      <c r="B57" s="41" t="s">
        <v>717</v>
      </c>
      <c r="C57" s="41"/>
      <c r="D57" s="41"/>
      <c r="E57" s="41"/>
      <c r="F57" s="41"/>
      <c r="G57" s="41"/>
      <c r="H57" s="41"/>
    </row>
    <row r="58" spans="1:18">
      <c r="A58" s="41" t="s">
        <v>356</v>
      </c>
      <c r="B58" s="41" t="s">
        <v>718</v>
      </c>
      <c r="C58" s="41"/>
      <c r="D58" s="41"/>
      <c r="E58" s="41"/>
      <c r="F58" s="41"/>
      <c r="G58" s="41"/>
      <c r="H58" s="41"/>
    </row>
    <row r="59" spans="1:18">
      <c r="A59" s="41"/>
      <c r="B59" s="41"/>
      <c r="C59" s="41"/>
      <c r="D59" s="41"/>
      <c r="E59" s="41"/>
      <c r="F59" s="41"/>
      <c r="G59" s="41"/>
      <c r="H59" s="41"/>
    </row>
    <row r="60" spans="1:18">
      <c r="A60" s="41"/>
      <c r="B60" s="41"/>
      <c r="C60" s="41"/>
      <c r="D60" s="41"/>
      <c r="E60" s="41"/>
      <c r="F60" s="41"/>
      <c r="G60" s="41"/>
      <c r="H60" s="41"/>
    </row>
    <row r="62" spans="1:18">
      <c r="A62" s="3" t="s">
        <v>358</v>
      </c>
      <c r="B62" s="3"/>
      <c r="C62" s="3"/>
      <c r="D62" s="3"/>
      <c r="E62" s="3"/>
      <c r="F62" s="3"/>
      <c r="G62" s="3"/>
      <c r="H62" s="3"/>
    </row>
    <row r="63" spans="1:18">
      <c r="A63" s="17" t="s">
        <v>359</v>
      </c>
      <c r="B63" s="18">
        <f>IFERROR(INDEX(P_Crit,MATCH($B$15,P_Regimes,0)),"")</f>
        <v>0</v>
      </c>
    </row>
    <row r="64" spans="1:18">
      <c r="A64" s="17" t="s">
        <v>360</v>
      </c>
      <c r="B64" s="18">
        <f>IFERROR(INDEX(P_SecDelta,MATCH($B$16,P_SecCodes,0)),"")</f>
        <v>0</v>
      </c>
    </row>
    <row r="65" spans="1:8">
      <c r="A65" s="17" t="s">
        <v>361</v>
      </c>
      <c r="B65" s="18">
        <f>IFERROR(INDEX(P_PhaseMaj,MATCH($B$17,P_PhaseCodes,0)),"")</f>
        <v>0</v>
      </c>
    </row>
    <row r="66" spans="1:8">
      <c r="A66" s="11" t="s">
        <v>362</v>
      </c>
      <c r="B66" s="11" t="s">
        <v>5</v>
      </c>
      <c r="C66" s="11" t="s">
        <v>6</v>
      </c>
      <c r="D66" s="11" t="s">
        <v>7</v>
      </c>
      <c r="E66" s="11" t="s">
        <v>363</v>
      </c>
    </row>
    <row r="67" spans="1:8">
      <c r="A67" s="21" t="s">
        <v>364</v>
      </c>
      <c r="B67" s="18">
        <f>IFERROR(INDEX(P_Crit,MATCH($B$15,P_Regimes,0))+$B$64+$B$65,"")</f>
        <v>0</v>
      </c>
      <c r="C67" s="18">
        <f>IFERROR(INDEX(P_Vig,MATCH($B$15,P_Regimes,0))+$B$64+$B$65,"")</f>
        <v>0</v>
      </c>
      <c r="D67" s="18">
        <f>IFERROR(INDEX(P_Fav,MATCH($B$15,P_Regimes,0))+$B$64+$B$65,"")</f>
        <v>0</v>
      </c>
      <c r="E67" s="18">
        <f>D67</f>
        <v>0</v>
      </c>
    </row>
    <row r="69" spans="1:8">
      <c r="A69" s="3" t="s">
        <v>365</v>
      </c>
      <c r="B69" s="3"/>
      <c r="C69" s="3"/>
      <c r="D69" s="3"/>
      <c r="E69" s="3"/>
      <c r="F69" s="3"/>
      <c r="G69" s="3"/>
      <c r="H69" s="3"/>
    </row>
    <row r="70" spans="1:8">
      <c r="A70" s="17" t="s">
        <v>366</v>
      </c>
      <c r="B70" s="43">
        <v>0.066813</v>
      </c>
      <c r="C70" s="44" t="s">
        <v>719</v>
      </c>
      <c r="D70" s="44"/>
      <c r="E70" s="44"/>
      <c r="F70" s="44"/>
      <c r="G70" s="44"/>
      <c r="H70" s="44"/>
    </row>
    <row r="71" spans="1:8" ht="30" customHeight="1">
      <c r="A71" s="11" t="s">
        <v>368</v>
      </c>
      <c r="B71" s="11" t="s">
        <v>369</v>
      </c>
      <c r="C71" s="11" t="s">
        <v>356</v>
      </c>
      <c r="D71" s="11" t="s">
        <v>370</v>
      </c>
      <c r="E71" s="11" t="s">
        <v>371</v>
      </c>
      <c r="F71" s="11" t="s">
        <v>372</v>
      </c>
      <c r="G71" s="11" t="s">
        <v>373</v>
      </c>
      <c r="H71" s="11" t="s">
        <v>374</v>
      </c>
    </row>
    <row r="72" spans="1:8">
      <c r="A72" s="41" t="s">
        <v>375</v>
      </c>
      <c r="B72" s="39">
        <v>6.3</v>
      </c>
      <c r="C72" s="45">
        <v>3.58</v>
      </c>
      <c r="D72" s="19">
        <f>IF(OR(B72="",C72=""),"",IF(C72=0,"",B72/C72))</f>
        <v>0</v>
      </c>
      <c r="E72" s="7">
        <f>IF(B72="","",IF(C72=0,"Différé",IF(B72&lt;0,"Critique",IF(D72&lt;$B$67,"Critique",IF(D72&lt;$C$67,"Vigilance",IF(D72&lt;$D$67,"Favorable","Très favorable"))))))</f>
        <v>0</v>
      </c>
      <c r="F72" s="39"/>
      <c r="G72" s="19">
        <f>IF(OR(B72="",C72="",C72=0),"",IF(F72&lt;&gt;"",F72,B72*(1-$B$70))/C72)</f>
        <v>0</v>
      </c>
      <c r="H72" s="19"/>
    </row>
    <row r="73" spans="1:8">
      <c r="A73" s="41" t="s">
        <v>376</v>
      </c>
      <c r="B73" s="39">
        <v>6.9</v>
      </c>
      <c r="C73" s="45">
        <v>3.58</v>
      </c>
      <c r="D73" s="19">
        <f>IF(OR(B73="",C73=""),"",IF(C73=0,"",B73/C73))</f>
        <v>0</v>
      </c>
      <c r="E73" s="7">
        <f>IF(B73="","",IF(C73=0,"Différé",IF(B73&lt;0,"Critique",IF(D73&lt;$B$67,"Critique",IF(D73&lt;$C$67,"Vigilance",IF(D73&lt;$D$67,"Favorable","Très favorable"))))))</f>
        <v>0</v>
      </c>
      <c r="F73" s="39"/>
      <c r="G73" s="19">
        <f>IF(OR(B73="",C73="",C73=0),"",IF(F73&lt;&gt;"",F73,B73*(1-$B$70))/C73)</f>
        <v>0</v>
      </c>
      <c r="H73" s="19">
        <f>IF(AND($B$18="Semestrielle",B73&lt;&gt;"",B72&lt;&gt;"",N(C73)+N(C72)&gt;0),(B73+B72)/(C73+C72),"")</f>
        <v>0</v>
      </c>
    </row>
    <row r="74" spans="1:8">
      <c r="A74" s="41" t="s">
        <v>720</v>
      </c>
      <c r="B74" s="39">
        <v>6</v>
      </c>
      <c r="C74" s="45">
        <v>3.58</v>
      </c>
      <c r="D74" s="19">
        <f>IF(OR(B74="",C74=""),"",IF(C74=0,"",B74/C74))</f>
        <v>0</v>
      </c>
      <c r="E74" s="7">
        <f>IF(B74="","",IF(C74=0,"Différé",IF(B74&lt;0,"Critique",IF(D74&lt;$B$67,"Critique",IF(D74&lt;$C$67,"Vigilance",IF(D74&lt;$D$67,"Favorable","Très favorable"))))))</f>
        <v>0</v>
      </c>
      <c r="F74" s="39"/>
      <c r="G74" s="19">
        <f>IF(OR(B74="",C74="",C74=0),"",IF(F74&lt;&gt;"",F74,B74*(1-$B$70))/C74)</f>
        <v>0</v>
      </c>
      <c r="H74" s="19"/>
    </row>
    <row r="75" spans="1:8">
      <c r="A75" s="41" t="s">
        <v>721</v>
      </c>
      <c r="B75" s="39">
        <v>6.6</v>
      </c>
      <c r="C75" s="45">
        <v>3.58</v>
      </c>
      <c r="D75" s="19">
        <f>IF(OR(B75="",C75=""),"",IF(C75=0,"",B75/C75))</f>
        <v>0</v>
      </c>
      <c r="E75" s="7">
        <f>IF(B75="","",IF(C75=0,"Différé",IF(B75&lt;0,"Critique",IF(D75&lt;$B$67,"Critique",IF(D75&lt;$C$67,"Vigilance",IF(D75&lt;$D$67,"Favorable","Très favorable"))))))</f>
        <v>0</v>
      </c>
      <c r="F75" s="39"/>
      <c r="G75" s="19">
        <f>IF(OR(B75="",C75="",C75=0),"",IF(F75&lt;&gt;"",F75,B75*(1-$B$70))/C75)</f>
        <v>0</v>
      </c>
      <c r="H75" s="19">
        <f>IF(AND($B$18="Semestrielle",B75&lt;&gt;"",B74&lt;&gt;"",N(C75)+N(C74)&gt;0),(B75+B74)/(C75+C74),"")</f>
        <v>0</v>
      </c>
    </row>
    <row r="76" spans="1:8">
      <c r="A76" s="41"/>
      <c r="B76" s="39"/>
      <c r="C76" s="45"/>
      <c r="D76" s="19">
        <f>IF(OR(B76="",C76=""),"",IF(C76=0,"",B76/C76))</f>
        <v>0</v>
      </c>
      <c r="E76" s="7">
        <f>IF(B76="","",IF(C76=0,"Différé",IF(B76&lt;0,"Critique",IF(D76&lt;$B$67,"Critique",IF(D76&lt;$C$67,"Vigilance",IF(D76&lt;$D$67,"Favorable","Très favorable"))))))</f>
        <v>0</v>
      </c>
      <c r="F76" s="39"/>
      <c r="G76" s="19">
        <f>IF(OR(B76="",C76="",C76=0),"",IF(F76&lt;&gt;"",F76,B76*(1-$B$70))/C76)</f>
        <v>0</v>
      </c>
      <c r="H76" s="19"/>
    </row>
    <row r="77" spans="1:8">
      <c r="A77" s="41"/>
      <c r="B77" s="39"/>
      <c r="C77" s="45"/>
      <c r="D77" s="19">
        <f>IF(OR(B77="",C77=""),"",IF(C77=0,"",B77/C77))</f>
        <v>0</v>
      </c>
      <c r="E77" s="7">
        <f>IF(B77="","",IF(C77=0,"Différé",IF(B77&lt;0,"Critique",IF(D77&lt;$B$67,"Critique",IF(D77&lt;$C$67,"Vigilance",IF(D77&lt;$D$67,"Favorable","Très favorable"))))))</f>
        <v>0</v>
      </c>
      <c r="F77" s="39"/>
      <c r="G77" s="19">
        <f>IF(OR(B77="",C77="",C77=0),"",IF(F77&lt;&gt;"",F77,B77*(1-$B$70))/C77)</f>
        <v>0</v>
      </c>
      <c r="H77" s="19">
        <f>IF(AND($B$18="Semestrielle",B77&lt;&gt;"",B76&lt;&gt;"",N(C77)+N(C76)&gt;0),(B77+B76)/(C77+C76),"")</f>
        <v>0</v>
      </c>
    </row>
    <row r="78" spans="1:8">
      <c r="A78" s="41"/>
      <c r="B78" s="39"/>
      <c r="C78" s="45"/>
      <c r="D78" s="19">
        <f>IF(OR(B78="",C78=""),"",IF(C78=0,"",B78/C78))</f>
        <v>0</v>
      </c>
      <c r="E78" s="7">
        <f>IF(B78="","",IF(C78=0,"Différé",IF(B78&lt;0,"Critique",IF(D78&lt;$B$67,"Critique",IF(D78&lt;$C$67,"Vigilance",IF(D78&lt;$D$67,"Favorable","Très favorable"))))))</f>
        <v>0</v>
      </c>
      <c r="F78" s="39"/>
      <c r="G78" s="19">
        <f>IF(OR(B78="",C78="",C78=0),"",IF(F78&lt;&gt;"",F78,B78*(1-$B$70))/C78)</f>
        <v>0</v>
      </c>
      <c r="H78" s="19"/>
    </row>
    <row r="79" spans="1:8">
      <c r="A79" s="41"/>
      <c r="B79" s="39"/>
      <c r="C79" s="45"/>
      <c r="D79" s="19">
        <f>IF(OR(B79="",C79=""),"",IF(C79=0,"",B79/C79))</f>
        <v>0</v>
      </c>
      <c r="E79" s="7">
        <f>IF(B79="","",IF(C79=0,"Différé",IF(B79&lt;0,"Critique",IF(D79&lt;$B$67,"Critique",IF(D79&lt;$C$67,"Vigilance",IF(D79&lt;$D$67,"Favorable","Très favorable"))))))</f>
        <v>0</v>
      </c>
      <c r="F79" s="39"/>
      <c r="G79" s="19">
        <f>IF(OR(B79="",C79="",C79=0),"",IF(F79&lt;&gt;"",F79,B79*(1-$B$70))/C79)</f>
        <v>0</v>
      </c>
      <c r="H79" s="19">
        <f>IF(AND($B$18="Semestrielle",B79&lt;&gt;"",B78&lt;&gt;"",N(C79)+N(C78)&gt;0),(B79+B78)/(C79+C78),"")</f>
        <v>0</v>
      </c>
    </row>
    <row r="80" spans="1:8">
      <c r="A80" s="41"/>
      <c r="B80" s="39"/>
      <c r="C80" s="45"/>
      <c r="D80" s="19">
        <f>IF(OR(B80="",C80=""),"",IF(C80=0,"",B80/C80))</f>
        <v>0</v>
      </c>
      <c r="E80" s="7">
        <f>IF(B80="","",IF(C80=0,"Différé",IF(B80&lt;0,"Critique",IF(D80&lt;$B$67,"Critique",IF(D80&lt;$C$67,"Vigilance",IF(D80&lt;$D$67,"Favorable","Très favorable"))))))</f>
        <v>0</v>
      </c>
      <c r="F80" s="39"/>
      <c r="G80" s="19">
        <f>IF(OR(B80="",C80="",C80=0),"",IF(F80&lt;&gt;"",F80,B80*(1-$B$70))/C80)</f>
        <v>0</v>
      </c>
      <c r="H80" s="19"/>
    </row>
    <row r="81" spans="1:8">
      <c r="A81" s="41"/>
      <c r="B81" s="39"/>
      <c r="C81" s="45"/>
      <c r="D81" s="19">
        <f>IF(OR(B81="",C81=""),"",IF(C81=0,"",B81/C81))</f>
        <v>0</v>
      </c>
      <c r="E81" s="7">
        <f>IF(B81="","",IF(C81=0,"Différé",IF(B81&lt;0,"Critique",IF(D81&lt;$B$67,"Critique",IF(D81&lt;$C$67,"Vigilance",IF(D81&lt;$D$67,"Favorable","Très favorable"))))))</f>
        <v>0</v>
      </c>
      <c r="F81" s="39"/>
      <c r="G81" s="19">
        <f>IF(OR(B81="",C81="",C81=0),"",IF(F81&lt;&gt;"",F81,B81*(1-$B$70))/C81)</f>
        <v>0</v>
      </c>
      <c r="H81" s="19">
        <f>IF(AND($B$18="Semestrielle",B81&lt;&gt;"",B80&lt;&gt;"",N(C81)+N(C80)&gt;0),(B81+B80)/(C81+C80),"")</f>
        <v>0</v>
      </c>
    </row>
    <row r="82" spans="1:8">
      <c r="A82" s="41"/>
      <c r="B82" s="39"/>
      <c r="C82" s="45"/>
      <c r="D82" s="19">
        <f>IF(OR(B82="",C82=""),"",IF(C82=0,"",B82/C82))</f>
        <v>0</v>
      </c>
      <c r="E82" s="7">
        <f>IF(B82="","",IF(C82=0,"Différé",IF(B82&lt;0,"Critique",IF(D82&lt;$B$67,"Critique",IF(D82&lt;$C$67,"Vigilance",IF(D82&lt;$D$67,"Favorable","Très favorable"))))))</f>
        <v>0</v>
      </c>
      <c r="F82" s="39"/>
      <c r="G82" s="19">
        <f>IF(OR(B82="",C82="",C82=0),"",IF(F82&lt;&gt;"",F82,B82*(1-$B$70))/C82)</f>
        <v>0</v>
      </c>
      <c r="H82" s="19"/>
    </row>
    <row r="83" spans="1:8">
      <c r="A83" s="41"/>
      <c r="B83" s="39"/>
      <c r="C83" s="45"/>
      <c r="D83" s="19">
        <f>IF(OR(B83="",C83=""),"",IF(C83=0,"",B83/C83))</f>
        <v>0</v>
      </c>
      <c r="E83" s="7">
        <f>IF(B83="","",IF(C83=0,"Différé",IF(B83&lt;0,"Critique",IF(D83&lt;$B$67,"Critique",IF(D83&lt;$C$67,"Vigilance",IF(D83&lt;$D$67,"Favorable","Très favorable"))))))</f>
        <v>0</v>
      </c>
      <c r="F83" s="39"/>
      <c r="G83" s="19">
        <f>IF(OR(B83="",C83="",C83=0),"",IF(F83&lt;&gt;"",F83,B83*(1-$B$70))/C83)</f>
        <v>0</v>
      </c>
      <c r="H83" s="19">
        <f>IF(AND($B$18="Semestrielle",B83&lt;&gt;"",B82&lt;&gt;"",N(C83)+N(C82)&gt;0),(B83+B82)/(C83+C82),"")</f>
        <v>0</v>
      </c>
    </row>
    <row r="84" spans="1:8">
      <c r="A84" s="41"/>
      <c r="B84" s="39"/>
      <c r="C84" s="45"/>
      <c r="D84" s="19">
        <f>IF(OR(B84="",C84=""),"",IF(C84=0,"",B84/C84))</f>
        <v>0</v>
      </c>
      <c r="E84" s="7">
        <f>IF(B84="","",IF(C84=0,"Différé",IF(B84&lt;0,"Critique",IF(D84&lt;$B$67,"Critique",IF(D84&lt;$C$67,"Vigilance",IF(D84&lt;$D$67,"Favorable","Très favorable"))))))</f>
        <v>0</v>
      </c>
      <c r="F84" s="39"/>
      <c r="G84" s="19">
        <f>IF(OR(B84="",C84="",C84=0),"",IF(F84&lt;&gt;"",F84,B84*(1-$B$70))/C84)</f>
        <v>0</v>
      </c>
      <c r="H84" s="19"/>
    </row>
    <row r="85" spans="1:8">
      <c r="A85" s="41"/>
      <c r="B85" s="39"/>
      <c r="C85" s="45"/>
      <c r="D85" s="19">
        <f>IF(OR(B85="",C85=""),"",IF(C85=0,"",B85/C85))</f>
        <v>0</v>
      </c>
      <c r="E85" s="7">
        <f>IF(B85="","",IF(C85=0,"Différé",IF(B85&lt;0,"Critique",IF(D85&lt;$B$67,"Critique",IF(D85&lt;$C$67,"Vigilance",IF(D85&lt;$D$67,"Favorable","Très favorable"))))))</f>
        <v>0</v>
      </c>
      <c r="F85" s="39"/>
      <c r="G85" s="19">
        <f>IF(OR(B85="",C85="",C85=0),"",IF(F85&lt;&gt;"",F85,B85*(1-$B$70))/C85)</f>
        <v>0</v>
      </c>
      <c r="H85" s="19">
        <f>IF(AND($B$18="Semestrielle",B85&lt;&gt;"",B84&lt;&gt;"",N(C85)+N(C84)&gt;0),(B85+B84)/(C85+C84),"")</f>
        <v>0</v>
      </c>
    </row>
    <row r="86" spans="1:8">
      <c r="A86" s="41"/>
      <c r="B86" s="39"/>
      <c r="C86" s="45"/>
      <c r="D86" s="19">
        <f>IF(OR(B86="",C86=""),"",IF(C86=0,"",B86/C86))</f>
        <v>0</v>
      </c>
      <c r="E86" s="7">
        <f>IF(B86="","",IF(C86=0,"Différé",IF(B86&lt;0,"Critique",IF(D86&lt;$B$67,"Critique",IF(D86&lt;$C$67,"Vigilance",IF(D86&lt;$D$67,"Favorable","Très favorable"))))))</f>
        <v>0</v>
      </c>
      <c r="F86" s="39"/>
      <c r="G86" s="19">
        <f>IF(OR(B86="",C86="",C86=0),"",IF(F86&lt;&gt;"",F86,B86*(1-$B$70))/C86)</f>
        <v>0</v>
      </c>
      <c r="H86" s="19"/>
    </row>
    <row r="87" spans="1:8">
      <c r="A87" s="41"/>
      <c r="B87" s="39"/>
      <c r="C87" s="45"/>
      <c r="D87" s="19">
        <f>IF(OR(B87="",C87=""),"",IF(C87=0,"",B87/C87))</f>
        <v>0</v>
      </c>
      <c r="E87" s="7">
        <f>IF(B87="","",IF(C87=0,"Différé",IF(B87&lt;0,"Critique",IF(D87&lt;$B$67,"Critique",IF(D87&lt;$C$67,"Vigilance",IF(D87&lt;$D$67,"Favorable","Très favorable"))))))</f>
        <v>0</v>
      </c>
      <c r="F87" s="39"/>
      <c r="G87" s="19">
        <f>IF(OR(B87="",C87="",C87=0),"",IF(F87&lt;&gt;"",F87,B87*(1-$B$70))/C87)</f>
        <v>0</v>
      </c>
      <c r="H87" s="19">
        <f>IF(AND($B$18="Semestrielle",B87&lt;&gt;"",B86&lt;&gt;"",N(C87)+N(C86)&gt;0),(B87+B86)/(C87+C86),"")</f>
        <v>0</v>
      </c>
    </row>
    <row r="88" spans="1:8">
      <c r="A88" s="41"/>
      <c r="B88" s="39"/>
      <c r="C88" s="45"/>
      <c r="D88" s="19">
        <f>IF(OR(B88="",C88=""),"",IF(C88=0,"",B88/C88))</f>
        <v>0</v>
      </c>
      <c r="E88" s="7">
        <f>IF(B88="","",IF(C88=0,"Différé",IF(B88&lt;0,"Critique",IF(D88&lt;$B$67,"Critique",IF(D88&lt;$C$67,"Vigilance",IF(D88&lt;$D$67,"Favorable","Très favorable"))))))</f>
        <v>0</v>
      </c>
      <c r="F88" s="39"/>
      <c r="G88" s="19">
        <f>IF(OR(B88="",C88="",C88=0),"",IF(F88&lt;&gt;"",F88,B88*(1-$B$70))/C88)</f>
        <v>0</v>
      </c>
      <c r="H88" s="19"/>
    </row>
    <row r="89" spans="1:8">
      <c r="A89" s="41"/>
      <c r="B89" s="39"/>
      <c r="C89" s="45"/>
      <c r="D89" s="19">
        <f>IF(OR(B89="",C89=""),"",IF(C89=0,"",B89/C89))</f>
        <v>0</v>
      </c>
      <c r="E89" s="7">
        <f>IF(B89="","",IF(C89=0,"Différé",IF(B89&lt;0,"Critique",IF(D89&lt;$B$67,"Critique",IF(D89&lt;$C$67,"Vigilance",IF(D89&lt;$D$67,"Favorable","Très favorable"))))))</f>
        <v>0</v>
      </c>
      <c r="F89" s="39"/>
      <c r="G89" s="19">
        <f>IF(OR(B89="",C89="",C89=0),"",IF(F89&lt;&gt;"",F89,B89*(1-$B$70))/C89)</f>
        <v>0</v>
      </c>
      <c r="H89" s="19">
        <f>IF(AND($B$18="Semestrielle",B89&lt;&gt;"",B88&lt;&gt;"",N(C89)+N(C88)&gt;0),(B89+B88)/(C89+C88),"")</f>
        <v>0</v>
      </c>
    </row>
    <row r="90" spans="1:8">
      <c r="A90" s="41"/>
      <c r="B90" s="39"/>
      <c r="C90" s="45"/>
      <c r="D90" s="19">
        <f>IF(OR(B90="",C90=""),"",IF(C90=0,"",B90/C90))</f>
        <v>0</v>
      </c>
      <c r="E90" s="7">
        <f>IF(B90="","",IF(C90=0,"Différé",IF(B90&lt;0,"Critique",IF(D90&lt;$B$67,"Critique",IF(D90&lt;$C$67,"Vigilance",IF(D90&lt;$D$67,"Favorable","Très favorable"))))))</f>
        <v>0</v>
      </c>
      <c r="F90" s="39"/>
      <c r="G90" s="19">
        <f>IF(OR(B90="",C90="",C90=0),"",IF(F90&lt;&gt;"",F90,B90*(1-$B$70))/C90)</f>
        <v>0</v>
      </c>
      <c r="H90" s="19"/>
    </row>
    <row r="91" spans="1:8">
      <c r="A91" s="41"/>
      <c r="B91" s="39"/>
      <c r="C91" s="45"/>
      <c r="D91" s="19">
        <f>IF(OR(B91="",C91=""),"",IF(C91=0,"",B91/C91))</f>
        <v>0</v>
      </c>
      <c r="E91" s="7">
        <f>IF(B91="","",IF(C91=0,"Différé",IF(B91&lt;0,"Critique",IF(D91&lt;$B$67,"Critique",IF(D91&lt;$C$67,"Vigilance",IF(D91&lt;$D$67,"Favorable","Très favorable"))))))</f>
        <v>0</v>
      </c>
      <c r="F91" s="39"/>
      <c r="G91" s="19">
        <f>IF(OR(B91="",C91="",C91=0),"",IF(F91&lt;&gt;"",F91,B91*(1-$B$70))/C91)</f>
        <v>0</v>
      </c>
      <c r="H91" s="19">
        <f>IF(AND($B$18="Semestrielle",B91&lt;&gt;"",B90&lt;&gt;"",N(C91)+N(C90)&gt;0),(B91+B90)/(C91+C90),"")</f>
        <v>0</v>
      </c>
    </row>
    <row r="92" spans="1:8">
      <c r="A92" s="41"/>
      <c r="B92" s="39"/>
      <c r="C92" s="45"/>
      <c r="D92" s="19">
        <f>IF(OR(B92="",C92=""),"",IF(C92=0,"",B92/C92))</f>
        <v>0</v>
      </c>
      <c r="E92" s="7">
        <f>IF(B92="","",IF(C92=0,"Différé",IF(B92&lt;0,"Critique",IF(D92&lt;$B$67,"Critique",IF(D92&lt;$C$67,"Vigilance",IF(D92&lt;$D$67,"Favorable","Très favorable"))))))</f>
        <v>0</v>
      </c>
      <c r="F92" s="39"/>
      <c r="G92" s="19">
        <f>IF(OR(B92="",C92="",C92=0),"",IF(F92&lt;&gt;"",F92,B92*(1-$B$70))/C92)</f>
        <v>0</v>
      </c>
      <c r="H92" s="19"/>
    </row>
    <row r="93" spans="1:8">
      <c r="A93" s="41"/>
      <c r="B93" s="39"/>
      <c r="C93" s="45"/>
      <c r="D93" s="19">
        <f>IF(OR(B93="",C93=""),"",IF(C93=0,"",B93/C93))</f>
        <v>0</v>
      </c>
      <c r="E93" s="7">
        <f>IF(B93="","",IF(C93=0,"Différé",IF(B93&lt;0,"Critique",IF(D93&lt;$B$67,"Critique",IF(D93&lt;$C$67,"Vigilance",IF(D93&lt;$D$67,"Favorable","Très favorable"))))))</f>
        <v>0</v>
      </c>
      <c r="F93" s="39"/>
      <c r="G93" s="19">
        <f>IF(OR(B93="",C93="",C93=0),"",IF(F93&lt;&gt;"",F93,B93*(1-$B$70))/C93)</f>
        <v>0</v>
      </c>
      <c r="H93" s="19">
        <f>IF(AND($B$18="Semestrielle",B93&lt;&gt;"",B92&lt;&gt;"",N(C93)+N(C92)&gt;0),(B93+B92)/(C93+C92),"")</f>
        <v>0</v>
      </c>
    </row>
    <row r="94" spans="1:8">
      <c r="A94" s="41"/>
      <c r="B94" s="39"/>
      <c r="C94" s="45"/>
      <c r="D94" s="19">
        <f>IF(OR(B94="",C94=""),"",IF(C94=0,"",B94/C94))</f>
        <v>0</v>
      </c>
      <c r="E94" s="7">
        <f>IF(B94="","",IF(C94=0,"Différé",IF(B94&lt;0,"Critique",IF(D94&lt;$B$67,"Critique",IF(D94&lt;$C$67,"Vigilance",IF(D94&lt;$D$67,"Favorable","Très favorable"))))))</f>
        <v>0</v>
      </c>
      <c r="F94" s="39"/>
      <c r="G94" s="19">
        <f>IF(OR(B94="",C94="",C94=0),"",IF(F94&lt;&gt;"",F94,B94*(1-$B$70))/C94)</f>
        <v>0</v>
      </c>
      <c r="H94" s="19"/>
    </row>
    <row r="95" spans="1:8">
      <c r="A95" s="41"/>
      <c r="B95" s="39"/>
      <c r="C95" s="45"/>
      <c r="D95" s="19">
        <f>IF(OR(B95="",C95=""),"",IF(C95=0,"",B95/C95))</f>
        <v>0</v>
      </c>
      <c r="E95" s="7">
        <f>IF(B95="","",IF(C95=0,"Différé",IF(B95&lt;0,"Critique",IF(D95&lt;$B$67,"Critique",IF(D95&lt;$C$67,"Vigilance",IF(D95&lt;$D$67,"Favorable","Très favorable"))))))</f>
        <v>0</v>
      </c>
      <c r="F95" s="39"/>
      <c r="G95" s="19">
        <f>IF(OR(B95="",C95="",C95=0),"",IF(F95&lt;&gt;"",F95,B95*(1-$B$70))/C95)</f>
        <v>0</v>
      </c>
      <c r="H95" s="19">
        <f>IF(AND($B$18="Semestrielle",B95&lt;&gt;"",B94&lt;&gt;"",N(C95)+N(C94)&gt;0),(B95+B94)/(C95+C94),"")</f>
        <v>0</v>
      </c>
    </row>
    <row r="96" spans="1:8">
      <c r="A96" s="41"/>
      <c r="B96" s="39"/>
      <c r="C96" s="45"/>
      <c r="D96" s="19">
        <f>IF(OR(B96="",C96=""),"",IF(C96=0,"",B96/C96))</f>
        <v>0</v>
      </c>
      <c r="E96" s="7">
        <f>IF(B96="","",IF(C96=0,"Différé",IF(B96&lt;0,"Critique",IF(D96&lt;$B$67,"Critique",IF(D96&lt;$C$67,"Vigilance",IF(D96&lt;$D$67,"Favorable","Très favorable"))))))</f>
        <v>0</v>
      </c>
      <c r="F96" s="39"/>
      <c r="G96" s="19">
        <f>IF(OR(B96="",C96="",C96=0),"",IF(F96&lt;&gt;"",F96,B96*(1-$B$70))/C96)</f>
        <v>0</v>
      </c>
      <c r="H96" s="19"/>
    </row>
    <row r="97" spans="1:8">
      <c r="A97" s="41"/>
      <c r="B97" s="39"/>
      <c r="C97" s="45"/>
      <c r="D97" s="19">
        <f>IF(OR(B97="",C97=""),"",IF(C97=0,"",B97/C97))</f>
        <v>0</v>
      </c>
      <c r="E97" s="7">
        <f>IF(B97="","",IF(C97=0,"Différé",IF(B97&lt;0,"Critique",IF(D97&lt;$B$67,"Critique",IF(D97&lt;$C$67,"Vigilance",IF(D97&lt;$D$67,"Favorable","Très favorable"))))))</f>
        <v>0</v>
      </c>
      <c r="F97" s="39"/>
      <c r="G97" s="19">
        <f>IF(OR(B97="",C97="",C97=0),"",IF(F97&lt;&gt;"",F97,B97*(1-$B$70))/C97)</f>
        <v>0</v>
      </c>
      <c r="H97" s="19">
        <f>IF(AND($B$18="Semestrielle",B97&lt;&gt;"",B96&lt;&gt;"",N(C97)+N(C96)&gt;0),(B97+B96)/(C97+C96),"")</f>
        <v>0</v>
      </c>
    </row>
    <row r="98" spans="1:8">
      <c r="A98" s="41"/>
      <c r="B98" s="39"/>
      <c r="C98" s="45"/>
      <c r="D98" s="19">
        <f>IF(OR(B98="",C98=""),"",IF(C98=0,"",B98/C98))</f>
        <v>0</v>
      </c>
      <c r="E98" s="7">
        <f>IF(B98="","",IF(C98=0,"Différé",IF(B98&lt;0,"Critique",IF(D98&lt;$B$67,"Critique",IF(D98&lt;$C$67,"Vigilance",IF(D98&lt;$D$67,"Favorable","Très favorable"))))))</f>
        <v>0</v>
      </c>
      <c r="F98" s="39"/>
      <c r="G98" s="19">
        <f>IF(OR(B98="",C98="",C98=0),"",IF(F98&lt;&gt;"",F98,B98*(1-$B$70))/C98)</f>
        <v>0</v>
      </c>
      <c r="H98" s="19"/>
    </row>
    <row r="99" spans="1:8">
      <c r="A99" s="41"/>
      <c r="B99" s="39"/>
      <c r="C99" s="45"/>
      <c r="D99" s="19">
        <f>IF(OR(B99="",C99=""),"",IF(C99=0,"",B99/C99))</f>
        <v>0</v>
      </c>
      <c r="E99" s="7">
        <f>IF(B99="","",IF(C99=0,"Différé",IF(B99&lt;0,"Critique",IF(D99&lt;$B$67,"Critique",IF(D99&lt;$C$67,"Vigilance",IF(D99&lt;$D$67,"Favorable","Très favorable"))))))</f>
        <v>0</v>
      </c>
      <c r="F99" s="39"/>
      <c r="G99" s="19">
        <f>IF(OR(B99="",C99="",C99=0),"",IF(F99&lt;&gt;"",F99,B99*(1-$B$70))/C99)</f>
        <v>0</v>
      </c>
      <c r="H99" s="19">
        <f>IF(AND($B$18="Semestrielle",B99&lt;&gt;"",B98&lt;&gt;"",N(C99)+N(C98)&gt;0),(B99+B98)/(C99+C98),"")</f>
        <v>0</v>
      </c>
    </row>
    <row r="100" spans="1:8">
      <c r="A100" s="41"/>
      <c r="B100" s="39"/>
      <c r="C100" s="45"/>
      <c r="D100" s="19">
        <f>IF(OR(B100="",C100=""),"",IF(C100=0,"",B100/C100))</f>
        <v>0</v>
      </c>
      <c r="E100" s="7">
        <f>IF(B100="","",IF(C100=0,"Différé",IF(B100&lt;0,"Critique",IF(D100&lt;$B$67,"Critique",IF(D100&lt;$C$67,"Vigilance",IF(D100&lt;$D$67,"Favorable","Très favorable"))))))</f>
        <v>0</v>
      </c>
      <c r="F100" s="39"/>
      <c r="G100" s="19">
        <f>IF(OR(B100="",C100="",C100=0),"",IF(F100&lt;&gt;"",F100,B100*(1-$B$70))/C100)</f>
        <v>0</v>
      </c>
      <c r="H100" s="19"/>
    </row>
    <row r="101" spans="1:8">
      <c r="A101" s="41"/>
      <c r="B101" s="39"/>
      <c r="C101" s="45"/>
      <c r="D101" s="19">
        <f>IF(OR(B101="",C101=""),"",IF(C101=0,"",B101/C101))</f>
        <v>0</v>
      </c>
      <c r="E101" s="7">
        <f>IF(B101="","",IF(C101=0,"Différé",IF(B101&lt;0,"Critique",IF(D101&lt;$B$67,"Critique",IF(D101&lt;$C$67,"Vigilance",IF(D101&lt;$D$67,"Favorable","Très favorable"))))))</f>
        <v>0</v>
      </c>
      <c r="F101" s="39"/>
      <c r="G101" s="19">
        <f>IF(OR(B101="",C101="",C101=0),"",IF(F101&lt;&gt;"",F101,B101*(1-$B$70))/C101)</f>
        <v>0</v>
      </c>
      <c r="H101" s="19">
        <f>IF(AND($B$18="Semestrielle",B101&lt;&gt;"",B100&lt;&gt;"",N(C101)+N(C100)&gt;0),(B101+B100)/(C101+C100),"")</f>
        <v>0</v>
      </c>
    </row>
    <row r="102" spans="1:8">
      <c r="A102" s="41"/>
      <c r="B102" s="39"/>
      <c r="C102" s="45"/>
      <c r="D102" s="19">
        <f>IF(OR(B102="",C102=""),"",IF(C102=0,"",B102/C102))</f>
        <v>0</v>
      </c>
      <c r="E102" s="7">
        <f>IF(B102="","",IF(C102=0,"Différé",IF(B102&lt;0,"Critique",IF(D102&lt;$B$67,"Critique",IF(D102&lt;$C$67,"Vigilance",IF(D102&lt;$D$67,"Favorable","Très favorable"))))))</f>
        <v>0</v>
      </c>
      <c r="F102" s="39"/>
      <c r="G102" s="19">
        <f>IF(OR(B102="",C102="",C102=0),"",IF(F102&lt;&gt;"",F102,B102*(1-$B$70))/C102)</f>
        <v>0</v>
      </c>
      <c r="H102" s="19"/>
    </row>
    <row r="103" spans="1:8">
      <c r="A103" s="41"/>
      <c r="B103" s="39"/>
      <c r="C103" s="45"/>
      <c r="D103" s="19">
        <f>IF(OR(B103="",C103=""),"",IF(C103=0,"",B103/C103))</f>
        <v>0</v>
      </c>
      <c r="E103" s="7">
        <f>IF(B103="","",IF(C103=0,"Différé",IF(B103&lt;0,"Critique",IF(D103&lt;$B$67,"Critique",IF(D103&lt;$C$67,"Vigilance",IF(D103&lt;$D$67,"Favorable","Très favorable"))))))</f>
        <v>0</v>
      </c>
      <c r="F103" s="39"/>
      <c r="G103" s="19">
        <f>IF(OR(B103="",C103="",C103=0),"",IF(F103&lt;&gt;"",F103,B103*(1-$B$70))/C103)</f>
        <v>0</v>
      </c>
      <c r="H103" s="19">
        <f>IF(AND($B$18="Semestrielle",B103&lt;&gt;"",B102&lt;&gt;"",N(C103)+N(C102)&gt;0),(B103+B102)/(C103+C102),"")</f>
        <v>0</v>
      </c>
    </row>
    <row r="104" spans="1:8">
      <c r="A104" s="41"/>
      <c r="B104" s="39"/>
      <c r="C104" s="45"/>
      <c r="D104" s="19">
        <f>IF(OR(B104="",C104=""),"",IF(C104=0,"",B104/C104))</f>
        <v>0</v>
      </c>
      <c r="E104" s="7">
        <f>IF(B104="","",IF(C104=0,"Différé",IF(B104&lt;0,"Critique",IF(D104&lt;$B$67,"Critique",IF(D104&lt;$C$67,"Vigilance",IF(D104&lt;$D$67,"Favorable","Très favorable"))))))</f>
        <v>0</v>
      </c>
      <c r="F104" s="39"/>
      <c r="G104" s="19">
        <f>IF(OR(B104="",C104="",C104=0),"",IF(F104&lt;&gt;"",F104,B104*(1-$B$70))/C104)</f>
        <v>0</v>
      </c>
      <c r="H104" s="19"/>
    </row>
    <row r="105" spans="1:8">
      <c r="A105" s="41"/>
      <c r="B105" s="39"/>
      <c r="C105" s="45"/>
      <c r="D105" s="19">
        <f>IF(OR(B105="",C105=""),"",IF(C105=0,"",B105/C105))</f>
        <v>0</v>
      </c>
      <c r="E105" s="7">
        <f>IF(B105="","",IF(C105=0,"Différé",IF(B105&lt;0,"Critique",IF(D105&lt;$B$67,"Critique",IF(D105&lt;$C$67,"Vigilance",IF(D105&lt;$D$67,"Favorable","Très favorable"))))))</f>
        <v>0</v>
      </c>
      <c r="F105" s="39"/>
      <c r="G105" s="19">
        <f>IF(OR(B105="",C105="",C105=0),"",IF(F105&lt;&gt;"",F105,B105*(1-$B$70))/C105)</f>
        <v>0</v>
      </c>
      <c r="H105" s="19">
        <f>IF(AND($B$18="Semestrielle",B105&lt;&gt;"",B104&lt;&gt;"",N(C105)+N(C104)&gt;0),(B105+B104)/(C105+C104),"")</f>
        <v>0</v>
      </c>
    </row>
    <row r="106" spans="1:8">
      <c r="A106" s="41"/>
      <c r="B106" s="39"/>
      <c r="C106" s="45"/>
      <c r="D106" s="19">
        <f>IF(OR(B106="",C106=""),"",IF(C106=0,"",B106/C106))</f>
        <v>0</v>
      </c>
      <c r="E106" s="7">
        <f>IF(B106="","",IF(C106=0,"Différé",IF(B106&lt;0,"Critique",IF(D106&lt;$B$67,"Critique",IF(D106&lt;$C$67,"Vigilance",IF(D106&lt;$D$67,"Favorable","Très favorable"))))))</f>
        <v>0</v>
      </c>
      <c r="F106" s="39"/>
      <c r="G106" s="19">
        <f>IF(OR(B106="",C106="",C106=0),"",IF(F106&lt;&gt;"",F106,B106*(1-$B$70))/C106)</f>
        <v>0</v>
      </c>
      <c r="H106" s="19"/>
    </row>
    <row r="107" spans="1:8">
      <c r="A107" s="41"/>
      <c r="B107" s="39"/>
      <c r="C107" s="45"/>
      <c r="D107" s="19">
        <f>IF(OR(B107="",C107=""),"",IF(C107=0,"",B107/C107))</f>
        <v>0</v>
      </c>
      <c r="E107" s="7">
        <f>IF(B107="","",IF(C107=0,"Différé",IF(B107&lt;0,"Critique",IF(D107&lt;$B$67,"Critique",IF(D107&lt;$C$67,"Vigilance",IF(D107&lt;$D$67,"Favorable","Très favorable"))))))</f>
        <v>0</v>
      </c>
      <c r="F107" s="39"/>
      <c r="G107" s="19">
        <f>IF(OR(B107="",C107="",C107=0),"",IF(F107&lt;&gt;"",F107,B107*(1-$B$70))/C107)</f>
        <v>0</v>
      </c>
      <c r="H107" s="19">
        <f>IF(AND($B$18="Semestrielle",B107&lt;&gt;"",B106&lt;&gt;"",N(C107)+N(C106)&gt;0),(B107+B106)/(C107+C106),"")</f>
        <v>0</v>
      </c>
    </row>
    <row r="108" spans="1:8">
      <c r="A108" s="41"/>
      <c r="B108" s="39"/>
      <c r="C108" s="45"/>
      <c r="D108" s="19">
        <f>IF(OR(B108="",C108=""),"",IF(C108=0,"",B108/C108))</f>
        <v>0</v>
      </c>
      <c r="E108" s="7">
        <f>IF(B108="","",IF(C108=0,"Différé",IF(B108&lt;0,"Critique",IF(D108&lt;$B$67,"Critique",IF(D108&lt;$C$67,"Vigilance",IF(D108&lt;$D$67,"Favorable","Très favorable"))))))</f>
        <v>0</v>
      </c>
      <c r="F108" s="39"/>
      <c r="G108" s="19">
        <f>IF(OR(B108="",C108="",C108=0),"",IF(F108&lt;&gt;"",F108,B108*(1-$B$70))/C108)</f>
        <v>0</v>
      </c>
      <c r="H108" s="19"/>
    </row>
    <row r="109" spans="1:8">
      <c r="A109" s="41"/>
      <c r="B109" s="39"/>
      <c r="C109" s="45"/>
      <c r="D109" s="19">
        <f>IF(OR(B109="",C109=""),"",IF(C109=0,"",B109/C109))</f>
        <v>0</v>
      </c>
      <c r="E109" s="7">
        <f>IF(B109="","",IF(C109=0,"Différé",IF(B109&lt;0,"Critique",IF(D109&lt;$B$67,"Critique",IF(D109&lt;$C$67,"Vigilance",IF(D109&lt;$D$67,"Favorable","Très favorable"))))))</f>
        <v>0</v>
      </c>
      <c r="F109" s="39"/>
      <c r="G109" s="19">
        <f>IF(OR(B109="",C109="",C109=0),"",IF(F109&lt;&gt;"",F109,B109*(1-$B$70))/C109)</f>
        <v>0</v>
      </c>
      <c r="H109" s="19">
        <f>IF(AND($B$18="Semestrielle",B109&lt;&gt;"",B108&lt;&gt;"",N(C109)+N(C108)&gt;0),(B109+B108)/(C109+C108),"")</f>
        <v>0</v>
      </c>
    </row>
    <row r="110" spans="1:8">
      <c r="A110" s="41"/>
      <c r="B110" s="39"/>
      <c r="C110" s="45"/>
      <c r="D110" s="19">
        <f>IF(OR(B110="",C110=""),"",IF(C110=0,"",B110/C110))</f>
        <v>0</v>
      </c>
      <c r="E110" s="7">
        <f>IF(B110="","",IF(C110=0,"Différé",IF(B110&lt;0,"Critique",IF(D110&lt;$B$67,"Critique",IF(D110&lt;$C$67,"Vigilance",IF(D110&lt;$D$67,"Favorable","Très favorable"))))))</f>
        <v>0</v>
      </c>
      <c r="F110" s="39"/>
      <c r="G110" s="19">
        <f>IF(OR(B110="",C110="",C110=0),"",IF(F110&lt;&gt;"",F110,B110*(1-$B$70))/C110)</f>
        <v>0</v>
      </c>
      <c r="H110" s="19"/>
    </row>
    <row r="111" spans="1:8">
      <c r="A111" s="41"/>
      <c r="B111" s="39"/>
      <c r="C111" s="45"/>
      <c r="D111" s="19">
        <f>IF(OR(B111="",C111=""),"",IF(C111=0,"",B111/C111))</f>
        <v>0</v>
      </c>
      <c r="E111" s="7">
        <f>IF(B111="","",IF(C111=0,"Différé",IF(B111&lt;0,"Critique",IF(D111&lt;$B$67,"Critique",IF(D111&lt;$C$67,"Vigilance",IF(D111&lt;$D$67,"Favorable","Très favorable"))))))</f>
        <v>0</v>
      </c>
      <c r="F111" s="39"/>
      <c r="G111" s="19">
        <f>IF(OR(B111="",C111="",C111=0),"",IF(F111&lt;&gt;"",F111,B111*(1-$B$70))/C111)</f>
        <v>0</v>
      </c>
      <c r="H111" s="19">
        <f>IF(AND($B$18="Semestrielle",B111&lt;&gt;"",B110&lt;&gt;"",N(C111)+N(C110)&gt;0),(B111+B110)/(C111+C110),"")</f>
        <v>0</v>
      </c>
    </row>
    <row r="112" spans="1:8">
      <c r="A112" s="41"/>
      <c r="B112" s="39"/>
      <c r="C112" s="45"/>
      <c r="D112" s="19">
        <f>IF(OR(B112="",C112=""),"",IF(C112=0,"",B112/C112))</f>
        <v>0</v>
      </c>
      <c r="E112" s="7">
        <f>IF(B112="","",IF(C112=0,"Différé",IF(B112&lt;0,"Critique",IF(D112&lt;$B$67,"Critique",IF(D112&lt;$C$67,"Vigilance",IF(D112&lt;$D$67,"Favorable","Très favorable"))))))</f>
        <v>0</v>
      </c>
      <c r="F112" s="39"/>
      <c r="G112" s="19">
        <f>IF(OR(B112="",C112="",C112=0),"",IF(F112&lt;&gt;"",F112,B112*(1-$B$70))/C112)</f>
        <v>0</v>
      </c>
      <c r="H112" s="19"/>
    </row>
    <row r="113" spans="1:8">
      <c r="A113" s="41"/>
      <c r="B113" s="39"/>
      <c r="C113" s="45"/>
      <c r="D113" s="19">
        <f>IF(OR(B113="",C113=""),"",IF(C113=0,"",B113/C113))</f>
        <v>0</v>
      </c>
      <c r="E113" s="7">
        <f>IF(B113="","",IF(C113=0,"Différé",IF(B113&lt;0,"Critique",IF(D113&lt;$B$67,"Critique",IF(D113&lt;$C$67,"Vigilance",IF(D113&lt;$D$67,"Favorable","Très favorable"))))))</f>
        <v>0</v>
      </c>
      <c r="F113" s="39"/>
      <c r="G113" s="19">
        <f>IF(OR(B113="",C113="",C113=0),"",IF(F113&lt;&gt;"",F113,B113*(1-$B$70))/C113)</f>
        <v>0</v>
      </c>
      <c r="H113" s="19">
        <f>IF(AND($B$18="Semestrielle",B113&lt;&gt;"",B112&lt;&gt;"",N(C113)+N(C112)&gt;0),(B113+B112)/(C113+C112),"")</f>
        <v>0</v>
      </c>
    </row>
    <row r="114" spans="1:8">
      <c r="A114" s="41"/>
      <c r="B114" s="39"/>
      <c r="C114" s="45"/>
      <c r="D114" s="19">
        <f>IF(OR(B114="",C114=""),"",IF(C114=0,"",B114/C114))</f>
        <v>0</v>
      </c>
      <c r="E114" s="7">
        <f>IF(B114="","",IF(C114=0,"Différé",IF(B114&lt;0,"Critique",IF(D114&lt;$B$67,"Critique",IF(D114&lt;$C$67,"Vigilance",IF(D114&lt;$D$67,"Favorable","Très favorable"))))))</f>
        <v>0</v>
      </c>
      <c r="F114" s="39"/>
      <c r="G114" s="19">
        <f>IF(OR(B114="",C114="",C114=0),"",IF(F114&lt;&gt;"",F114,B114*(1-$B$70))/C114)</f>
        <v>0</v>
      </c>
      <c r="H114" s="19"/>
    </row>
    <row r="115" spans="1:8">
      <c r="A115" s="41"/>
      <c r="B115" s="39"/>
      <c r="C115" s="45"/>
      <c r="D115" s="19">
        <f>IF(OR(B115="",C115=""),"",IF(C115=0,"",B115/C115))</f>
        <v>0</v>
      </c>
      <c r="E115" s="7">
        <f>IF(B115="","",IF(C115=0,"Différé",IF(B115&lt;0,"Critique",IF(D115&lt;$B$67,"Critique",IF(D115&lt;$C$67,"Vigilance",IF(D115&lt;$D$67,"Favorable","Très favorable"))))))</f>
        <v>0</v>
      </c>
      <c r="F115" s="39"/>
      <c r="G115" s="19">
        <f>IF(OR(B115="",C115="",C115=0),"",IF(F115&lt;&gt;"",F115,B115*(1-$B$70))/C115)</f>
        <v>0</v>
      </c>
      <c r="H115" s="19">
        <f>IF(AND($B$18="Semestrielle",B115&lt;&gt;"",B114&lt;&gt;"",N(C115)+N(C114)&gt;0),(B115+B114)/(C115+C114),"")</f>
        <v>0</v>
      </c>
    </row>
    <row r="116" spans="1:8">
      <c r="A116" s="41"/>
      <c r="B116" s="39"/>
      <c r="C116" s="45"/>
      <c r="D116" s="19">
        <f>IF(OR(B116="",C116=""),"",IF(C116=0,"",B116/C116))</f>
        <v>0</v>
      </c>
      <c r="E116" s="7">
        <f>IF(B116="","",IF(C116=0,"Différé",IF(B116&lt;0,"Critique",IF(D116&lt;$B$67,"Critique",IF(D116&lt;$C$67,"Vigilance",IF(D116&lt;$D$67,"Favorable","Très favorable"))))))</f>
        <v>0</v>
      </c>
      <c r="F116" s="39"/>
      <c r="G116" s="19">
        <f>IF(OR(B116="",C116="",C116=0),"",IF(F116&lt;&gt;"",F116,B116*(1-$B$70))/C116)</f>
        <v>0</v>
      </c>
      <c r="H116" s="19"/>
    </row>
    <row r="117" spans="1:8">
      <c r="A117" s="41"/>
      <c r="B117" s="39"/>
      <c r="C117" s="45"/>
      <c r="D117" s="19">
        <f>IF(OR(B117="",C117=""),"",IF(C117=0,"",B117/C117))</f>
        <v>0</v>
      </c>
      <c r="E117" s="7">
        <f>IF(B117="","",IF(C117=0,"Différé",IF(B117&lt;0,"Critique",IF(D117&lt;$B$67,"Critique",IF(D117&lt;$C$67,"Vigilance",IF(D117&lt;$D$67,"Favorable","Très favorable"))))))</f>
        <v>0</v>
      </c>
      <c r="F117" s="39"/>
      <c r="G117" s="19">
        <f>IF(OR(B117="",C117="",C117=0),"",IF(F117&lt;&gt;"",F117,B117*(1-$B$70))/C117)</f>
        <v>0</v>
      </c>
      <c r="H117" s="19">
        <f>IF(AND($B$18="Semestrielle",B117&lt;&gt;"",B116&lt;&gt;"",N(C117)+N(C116)&gt;0),(B117+B116)/(C117+C116),"")</f>
        <v>0</v>
      </c>
    </row>
    <row r="118" spans="1:8">
      <c r="A118" s="41"/>
      <c r="B118" s="39"/>
      <c r="C118" s="45"/>
      <c r="D118" s="19">
        <f>IF(OR(B118="",C118=""),"",IF(C118=0,"",B118/C118))</f>
        <v>0</v>
      </c>
      <c r="E118" s="7">
        <f>IF(B118="","",IF(C118=0,"Différé",IF(B118&lt;0,"Critique",IF(D118&lt;$B$67,"Critique",IF(D118&lt;$C$67,"Vigilance",IF(D118&lt;$D$67,"Favorable","Très favorable"))))))</f>
        <v>0</v>
      </c>
      <c r="F118" s="39"/>
      <c r="G118" s="19">
        <f>IF(OR(B118="",C118="",C118=0),"",IF(F118&lt;&gt;"",F118,B118*(1-$B$70))/C118)</f>
        <v>0</v>
      </c>
      <c r="H118" s="19"/>
    </row>
    <row r="119" spans="1:8">
      <c r="A119" s="41"/>
      <c r="B119" s="39"/>
      <c r="C119" s="45"/>
      <c r="D119" s="19">
        <f>IF(OR(B119="",C119=""),"",IF(C119=0,"",B119/C119))</f>
        <v>0</v>
      </c>
      <c r="E119" s="7">
        <f>IF(B119="","",IF(C119=0,"Différé",IF(B119&lt;0,"Critique",IF(D119&lt;$B$67,"Critique",IF(D119&lt;$C$67,"Vigilance",IF(D119&lt;$D$67,"Favorable","Très favorable"))))))</f>
        <v>0</v>
      </c>
      <c r="F119" s="39"/>
      <c r="G119" s="19">
        <f>IF(OR(B119="",C119="",C119=0),"",IF(F119&lt;&gt;"",F119,B119*(1-$B$70))/C119)</f>
        <v>0</v>
      </c>
      <c r="H119" s="19">
        <f>IF(AND($B$18="Semestrielle",B119&lt;&gt;"",B118&lt;&gt;"",N(C119)+N(C118)&gt;0),(B119+B118)/(C119+C118),"")</f>
        <v>0</v>
      </c>
    </row>
    <row r="120" spans="1:8">
      <c r="A120" s="41"/>
      <c r="B120" s="39"/>
      <c r="C120" s="45"/>
      <c r="D120" s="19">
        <f>IF(OR(B120="",C120=""),"",IF(C120=0,"",B120/C120))</f>
        <v>0</v>
      </c>
      <c r="E120" s="7">
        <f>IF(B120="","",IF(C120=0,"Différé",IF(B120&lt;0,"Critique",IF(D120&lt;$B$67,"Critique",IF(D120&lt;$C$67,"Vigilance",IF(D120&lt;$D$67,"Favorable","Très favorable"))))))</f>
        <v>0</v>
      </c>
      <c r="F120" s="39"/>
      <c r="G120" s="19">
        <f>IF(OR(B120="",C120="",C120=0),"",IF(F120&lt;&gt;"",F120,B120*(1-$B$70))/C120)</f>
        <v>0</v>
      </c>
      <c r="H120" s="19"/>
    </row>
    <row r="121" spans="1:8">
      <c r="A121" s="41"/>
      <c r="B121" s="39"/>
      <c r="C121" s="45"/>
      <c r="D121" s="19">
        <f>IF(OR(B121="",C121=""),"",IF(C121=0,"",B121/C121))</f>
        <v>0</v>
      </c>
      <c r="E121" s="7">
        <f>IF(B121="","",IF(C121=0,"Différé",IF(B121&lt;0,"Critique",IF(D121&lt;$B$67,"Critique",IF(D121&lt;$C$67,"Vigilance",IF(D121&lt;$D$67,"Favorable","Très favorable"))))))</f>
        <v>0</v>
      </c>
      <c r="F121" s="39"/>
      <c r="G121" s="19">
        <f>IF(OR(B121="",C121="",C121=0),"",IF(F121&lt;&gt;"",F121,B121*(1-$B$70))/C121)</f>
        <v>0</v>
      </c>
      <c r="H121" s="19">
        <f>IF(AND($B$18="Semestrielle",B121&lt;&gt;"",B120&lt;&gt;"",N(C121)+N(C120)&gt;0),(B121+B120)/(C121+C120),"")</f>
        <v>0</v>
      </c>
    </row>
    <row r="122" spans="1:8">
      <c r="A122" s="41"/>
      <c r="B122" s="39"/>
      <c r="C122" s="45"/>
      <c r="D122" s="19">
        <f>IF(OR(B122="",C122=""),"",IF(C122=0,"",B122/C122))</f>
        <v>0</v>
      </c>
      <c r="E122" s="7">
        <f>IF(B122="","",IF(C122=0,"Différé",IF(B122&lt;0,"Critique",IF(D122&lt;$B$67,"Critique",IF(D122&lt;$C$67,"Vigilance",IF(D122&lt;$D$67,"Favorable","Très favorable"))))))</f>
        <v>0</v>
      </c>
      <c r="F122" s="39"/>
      <c r="G122" s="19">
        <f>IF(OR(B122="",C122="",C122=0),"",IF(F122&lt;&gt;"",F122,B122*(1-$B$70))/C122)</f>
        <v>0</v>
      </c>
      <c r="H122" s="19"/>
    </row>
    <row r="123" spans="1:8">
      <c r="A123" s="41"/>
      <c r="B123" s="39"/>
      <c r="C123" s="45"/>
      <c r="D123" s="19">
        <f>IF(OR(B123="",C123=""),"",IF(C123=0,"",B123/C123))</f>
        <v>0</v>
      </c>
      <c r="E123" s="7">
        <f>IF(B123="","",IF(C123=0,"Différé",IF(B123&lt;0,"Critique",IF(D123&lt;$B$67,"Critique",IF(D123&lt;$C$67,"Vigilance",IF(D123&lt;$D$67,"Favorable","Très favorable"))))))</f>
        <v>0</v>
      </c>
      <c r="F123" s="39"/>
      <c r="G123" s="19">
        <f>IF(OR(B123="",C123="",C123=0),"",IF(F123&lt;&gt;"",F123,B123*(1-$B$70))/C123)</f>
        <v>0</v>
      </c>
      <c r="H123" s="19">
        <f>IF(AND($B$18="Semestrielle",B123&lt;&gt;"",B122&lt;&gt;"",N(C123)+N(C122)&gt;0),(B123+B122)/(C123+C122),"")</f>
        <v>0</v>
      </c>
    </row>
    <row r="124" spans="1:8">
      <c r="A124" s="41"/>
      <c r="B124" s="39"/>
      <c r="C124" s="45"/>
      <c r="D124" s="19">
        <f>IF(OR(B124="",C124=""),"",IF(C124=0,"",B124/C124))</f>
        <v>0</v>
      </c>
      <c r="E124" s="7">
        <f>IF(B124="","",IF(C124=0,"Différé",IF(B124&lt;0,"Critique",IF(D124&lt;$B$67,"Critique",IF(D124&lt;$C$67,"Vigilance",IF(D124&lt;$D$67,"Favorable","Très favorable"))))))</f>
        <v>0</v>
      </c>
      <c r="F124" s="39"/>
      <c r="G124" s="19">
        <f>IF(OR(B124="",C124="",C124=0),"",IF(F124&lt;&gt;"",F124,B124*(1-$B$70))/C124)</f>
        <v>0</v>
      </c>
      <c r="H124" s="19"/>
    </row>
    <row r="125" spans="1:8">
      <c r="A125" s="41"/>
      <c r="B125" s="39"/>
      <c r="C125" s="45"/>
      <c r="D125" s="19">
        <f>IF(OR(B125="",C125=""),"",IF(C125=0,"",B125/C125))</f>
        <v>0</v>
      </c>
      <c r="E125" s="7">
        <f>IF(B125="","",IF(C125=0,"Différé",IF(B125&lt;0,"Critique",IF(D125&lt;$B$67,"Critique",IF(D125&lt;$C$67,"Vigilance",IF(D125&lt;$D$67,"Favorable","Très favorable"))))))</f>
        <v>0</v>
      </c>
      <c r="F125" s="39"/>
      <c r="G125" s="19">
        <f>IF(OR(B125="",C125="",C125=0),"",IF(F125&lt;&gt;"",F125,B125*(1-$B$70))/C125)</f>
        <v>0</v>
      </c>
      <c r="H125" s="19">
        <f>IF(AND($B$18="Semestrielle",B125&lt;&gt;"",B124&lt;&gt;"",N(C125)+N(C124)&gt;0),(B125+B124)/(C125+C124),"")</f>
        <v>0</v>
      </c>
    </row>
    <row r="126" spans="1:8">
      <c r="A126" s="41"/>
      <c r="B126" s="39"/>
      <c r="C126" s="45"/>
      <c r="D126" s="19">
        <f>IF(OR(B126="",C126=""),"",IF(C126=0,"",B126/C126))</f>
        <v>0</v>
      </c>
      <c r="E126" s="7">
        <f>IF(B126="","",IF(C126=0,"Différé",IF(B126&lt;0,"Critique",IF(D126&lt;$B$67,"Critique",IF(D126&lt;$C$67,"Vigilance",IF(D126&lt;$D$67,"Favorable","Très favorable"))))))</f>
        <v>0</v>
      </c>
      <c r="F126" s="39"/>
      <c r="G126" s="19">
        <f>IF(OR(B126="",C126="",C126=0),"",IF(F126&lt;&gt;"",F126,B126*(1-$B$70))/C126)</f>
        <v>0</v>
      </c>
      <c r="H126" s="19"/>
    </row>
    <row r="127" spans="1:8">
      <c r="A127" s="41"/>
      <c r="B127" s="39"/>
      <c r="C127" s="45"/>
      <c r="D127" s="19">
        <f>IF(OR(B127="",C127=""),"",IF(C127=0,"",B127/C127))</f>
        <v>0</v>
      </c>
      <c r="E127" s="7">
        <f>IF(B127="","",IF(C127=0,"Différé",IF(B127&lt;0,"Critique",IF(D127&lt;$B$67,"Critique",IF(D127&lt;$C$67,"Vigilance",IF(D127&lt;$D$67,"Favorable","Très favorable"))))))</f>
        <v>0</v>
      </c>
      <c r="F127" s="39"/>
      <c r="G127" s="19">
        <f>IF(OR(B127="",C127="",C127=0),"",IF(F127&lt;&gt;"",F127,B127*(1-$B$70))/C127)</f>
        <v>0</v>
      </c>
      <c r="H127" s="19">
        <f>IF(AND($B$18="Semestrielle",B127&lt;&gt;"",B126&lt;&gt;"",N(C127)+N(C126)&gt;0),(B127+B126)/(C127+C126),"")</f>
        <v>0</v>
      </c>
    </row>
    <row r="128" spans="1:8">
      <c r="A128" s="41"/>
      <c r="B128" s="39"/>
      <c r="C128" s="45"/>
      <c r="D128" s="19">
        <f>IF(OR(B128="",C128=""),"",IF(C128=0,"",B128/C128))</f>
        <v>0</v>
      </c>
      <c r="E128" s="7">
        <f>IF(B128="","",IF(C128=0,"Différé",IF(B128&lt;0,"Critique",IF(D128&lt;$B$67,"Critique",IF(D128&lt;$C$67,"Vigilance",IF(D128&lt;$D$67,"Favorable","Très favorable"))))))</f>
        <v>0</v>
      </c>
      <c r="F128" s="39"/>
      <c r="G128" s="19">
        <f>IF(OR(B128="",C128="",C128=0),"",IF(F128&lt;&gt;"",F128,B128*(1-$B$70))/C128)</f>
        <v>0</v>
      </c>
      <c r="H128" s="19"/>
    </row>
    <row r="129" spans="1:8">
      <c r="A129" s="41"/>
      <c r="B129" s="39"/>
      <c r="C129" s="45"/>
      <c r="D129" s="19">
        <f>IF(OR(B129="",C129=""),"",IF(C129=0,"",B129/C129))</f>
        <v>0</v>
      </c>
      <c r="E129" s="7">
        <f>IF(B129="","",IF(C129=0,"Différé",IF(B129&lt;0,"Critique",IF(D129&lt;$B$67,"Critique",IF(D129&lt;$C$67,"Vigilance",IF(D129&lt;$D$67,"Favorable","Très favorable"))))))</f>
        <v>0</v>
      </c>
      <c r="F129" s="39"/>
      <c r="G129" s="19">
        <f>IF(OR(B129="",C129="",C129=0),"",IF(F129&lt;&gt;"",F129,B129*(1-$B$70))/C129)</f>
        <v>0</v>
      </c>
      <c r="H129" s="19">
        <f>IF(AND($B$18="Semestrielle",B129&lt;&gt;"",B128&lt;&gt;"",N(C129)+N(C128)&gt;0),(B129+B128)/(C129+C128),"")</f>
        <v>0</v>
      </c>
    </row>
    <row r="130" spans="1:8">
      <c r="A130" s="41"/>
      <c r="B130" s="39"/>
      <c r="C130" s="45"/>
      <c r="D130" s="19">
        <f>IF(OR(B130="",C130=""),"",IF(C130=0,"",B130/C130))</f>
        <v>0</v>
      </c>
      <c r="E130" s="7">
        <f>IF(B130="","",IF(C130=0,"Différé",IF(B130&lt;0,"Critique",IF(D130&lt;$B$67,"Critique",IF(D130&lt;$C$67,"Vigilance",IF(D130&lt;$D$67,"Favorable","Très favorable"))))))</f>
        <v>0</v>
      </c>
      <c r="F130" s="39"/>
      <c r="G130" s="19">
        <f>IF(OR(B130="",C130="",C130=0),"",IF(F130&lt;&gt;"",F130,B130*(1-$B$70))/C130)</f>
        <v>0</v>
      </c>
      <c r="H130" s="19"/>
    </row>
    <row r="131" spans="1:8">
      <c r="A131" s="41"/>
      <c r="B131" s="39"/>
      <c r="C131" s="45"/>
      <c r="D131" s="19">
        <f>IF(OR(B131="",C131=""),"",IF(C131=0,"",B131/C131))</f>
        <v>0</v>
      </c>
      <c r="E131" s="7">
        <f>IF(B131="","",IF(C131=0,"Différé",IF(B131&lt;0,"Critique",IF(D131&lt;$B$67,"Critique",IF(D131&lt;$C$67,"Vigilance",IF(D131&lt;$D$67,"Favorable","Très favorable"))))))</f>
        <v>0</v>
      </c>
      <c r="F131" s="39"/>
      <c r="G131" s="19">
        <f>IF(OR(B131="",C131="",C131=0),"",IF(F131&lt;&gt;"",F131,B131*(1-$B$70))/C131)</f>
        <v>0</v>
      </c>
      <c r="H131" s="19">
        <f>IF(AND($B$18="Semestrielle",B131&lt;&gt;"",B130&lt;&gt;"",N(C131)+N(C130)&gt;0),(B131+B130)/(C131+C130),"")</f>
        <v>0</v>
      </c>
    </row>
    <row r="133" spans="1:8">
      <c r="A133" s="21" t="s">
        <v>381</v>
      </c>
      <c r="D133" s="35">
        <f>IF(COUNT(D72:D131)=0,"",MIN(D72:D131))</f>
        <v>0</v>
      </c>
      <c r="E133" s="7">
        <f>IF(D133="","",IF(F133&gt;0,"Critique",IF(D133&lt;$B$67,"Critique",IF(D133&lt;$C$67,"Vigilance",IF(D133&lt;$D$67,"Favorable","Très favorable")))))</f>
        <v>0</v>
      </c>
      <c r="F133" s="31">
        <f>COUNTIF(B72:B131,"&lt;0")</f>
        <v>0</v>
      </c>
    </row>
    <row r="134" spans="1:8">
      <c r="A134" s="21" t="s">
        <v>382</v>
      </c>
      <c r="D134" s="35">
        <f>IF(COUNT(G72:G131)=0,"",MIN(G72:G131))</f>
        <v>0</v>
      </c>
      <c r="E134" s="7">
        <f>IF(D134="","",IF(D134&lt;$B$67,"Critique",IF(D134&lt;$C$67,"Vigilance",IF(D134&lt;$D$67,"Favorable","Très favorable"))))</f>
        <v>0</v>
      </c>
    </row>
    <row r="135" spans="1:8">
      <c r="A135" s="17" t="s">
        <v>383</v>
      </c>
      <c r="D135" s="19">
        <f>IF(SUM(C72:C131)=0,"",SUM(B72:B131)/SUM(C72:C131))</f>
        <v>0</v>
      </c>
    </row>
    <row r="136" spans="1:8">
      <c r="A136" s="17" t="s">
        <v>384</v>
      </c>
      <c r="D136" s="19">
        <f>IF(COUNT(H72:H131)=0,"",MIN(H72:H131))</f>
        <v>0</v>
      </c>
    </row>
    <row r="137" spans="1:8">
      <c r="A137" s="17" t="s">
        <v>385</v>
      </c>
      <c r="D137" s="15">
        <f>COUNT(B72:B131)</f>
        <v>0</v>
      </c>
    </row>
    <row r="140" spans="1:8">
      <c r="A140" s="3" t="s">
        <v>386</v>
      </c>
      <c r="B140" s="3"/>
      <c r="C140" s="3"/>
      <c r="D140" s="3"/>
      <c r="E140" s="3"/>
      <c r="F140" s="3"/>
      <c r="G140" s="3"/>
      <c r="H140" s="3"/>
    </row>
    <row r="141" spans="1:8">
      <c r="A141" s="11" t="s">
        <v>76</v>
      </c>
      <c r="B141" s="11" t="s">
        <v>108</v>
      </c>
      <c r="C141" s="11" t="s">
        <v>77</v>
      </c>
      <c r="D141" s="11" t="s">
        <v>387</v>
      </c>
      <c r="E141" s="11" t="s">
        <v>388</v>
      </c>
      <c r="F141" s="11"/>
      <c r="G141" s="11"/>
      <c r="H141" s="11"/>
    </row>
    <row r="142" spans="1:8">
      <c r="A142" s="17" t="s">
        <v>389</v>
      </c>
      <c r="B142" s="7">
        <f>IF($D$133="","",IF($F$133&gt;0,P_Ancre_C,IF($D$133&lt;$B$67,P_Ancre_C,IF($D$133&lt;$C$67,P_Ancre_V,IF($D$133&lt;$D$67,P_Ancre_F,P_Ancre_TF)))))</f>
        <v>0</v>
      </c>
      <c r="C142" s="27">
        <f>INDEX(P_PoidsN,1)</f>
        <v>0</v>
      </c>
      <c r="D142" s="20">
        <f>IF(ISNUMBER(B142),B142,P_InfoInsuff)*C142</f>
        <v>0</v>
      </c>
      <c r="E142" s="13">
        <f>IF($D$133="","",IF($F$133&gt;0,"CFADS négatif sur au moins une période : Critique d'office","DSCR minimum "&amp;FIXED($D$133,3)&amp;" face au seuil critique "&amp;FIXED($B$67,2)&amp;" du couple "&amp;$B$15&amp;" × "&amp;$B$16))</f>
        <v>0</v>
      </c>
      <c r="F142" s="13"/>
      <c r="G142" s="13"/>
      <c r="H142" s="13"/>
    </row>
    <row r="143" spans="1:8">
      <c r="A143" s="17" t="s">
        <v>390</v>
      </c>
      <c r="B143" s="7">
        <f>IF($D$134="","",IF($D$134&lt;$B$67,P_Ancre_C,IF($D$134&lt;$C$67,P_Ancre_V,IF($D$134&lt;$D$67,P_Ancre_F,P_Ancre_TF))))</f>
        <v>0</v>
      </c>
      <c r="C143" s="27">
        <f>INDEX(P_PoidsN,2)</f>
        <v>0</v>
      </c>
      <c r="D143" s="20">
        <f>IF(ISNUMBER(B143),B143,P_InfoInsuff)*C143</f>
        <v>0</v>
      </c>
      <c r="E143" s="13">
        <f>IF($D$134="","","DSCR stressé minimum "&amp;FIXED($D$134,3)&amp;" — "&amp;$C$70)</f>
        <v>0</v>
      </c>
      <c r="F143" s="13"/>
      <c r="G143" s="13"/>
      <c r="H143" s="13"/>
    </row>
    <row r="144" spans="1:8">
      <c r="A144" s="17" t="s">
        <v>391</v>
      </c>
      <c r="B144" s="7">
        <f>IF($B$17="P1",IF($B$48="","",IF($B$48&gt;=P_N3_TF,P_Ancre_TF,IF($B$48&gt;=P_N3_F,P_Ancre_F,IF(AND($B$48&gt;=P_N3_V,$B$50="Oui"),P_Ancre_V,P_Ancre_C)))),IF($B$150="","",$B$150))</f>
        <v>0</v>
      </c>
      <c r="C144" s="27">
        <f>INDEX(P_PoidsN,3)</f>
        <v>0</v>
      </c>
      <c r="D144" s="20">
        <f>IF(ISNUMBER(B144),B144,P_InfoInsuff)*C144</f>
        <v>0</v>
      </c>
      <c r="E144" s="13">
        <f>IF($B$17="P1",IF($B$48="","","Phase P1 : test de financement à terminaison, couverture "&amp;FIXED($B$48*100,1)&amp;" %"),"LLCR "&amp;IF($B$151="","non renseigné",FIXED($B$151,2))&amp;" — note N3 saisie ligne 150")</f>
        <v>0</v>
      </c>
      <c r="F144" s="13"/>
      <c r="G144" s="13"/>
      <c r="H144" s="13"/>
    </row>
    <row r="145" spans="1:8">
      <c r="A145" s="17" t="s">
        <v>392</v>
      </c>
      <c r="B145" s="5">
        <v>100</v>
      </c>
      <c r="C145" s="27">
        <f>INDEX(P_PoidsN,4)</f>
        <v>0</v>
      </c>
      <c r="D145" s="20">
        <f>IF(ISNUMBER(B145),B145,P_InfoInsuff)*C145</f>
        <v>0</v>
      </c>
      <c r="E145" s="44" t="s">
        <v>722</v>
      </c>
      <c r="F145" s="44"/>
      <c r="G145" s="44"/>
      <c r="H145" s="44"/>
    </row>
    <row r="146" spans="1:8">
      <c r="A146" s="17" t="s">
        <v>394</v>
      </c>
      <c r="B146" s="5">
        <v>100</v>
      </c>
      <c r="C146" s="27">
        <f>INDEX(P_PoidsN,5)</f>
        <v>0</v>
      </c>
      <c r="D146" s="20">
        <f>IF(ISNUMBER(B146),B146,P_InfoInsuff)*C146</f>
        <v>0</v>
      </c>
      <c r="E146" s="44" t="s">
        <v>723</v>
      </c>
      <c r="F146" s="44"/>
      <c r="G146" s="44"/>
      <c r="H146" s="44"/>
    </row>
    <row r="147" spans="1:8">
      <c r="A147" s="17" t="s">
        <v>396</v>
      </c>
      <c r="B147" s="5">
        <v>100</v>
      </c>
      <c r="C147" s="27">
        <f>INDEX(P_PoidsN,6)</f>
        <v>0</v>
      </c>
      <c r="D147" s="20">
        <f>IF(ISNUMBER(B147),B147,P_InfoInsuff)*C147</f>
        <v>0</v>
      </c>
      <c r="E147" s="44" t="s">
        <v>724</v>
      </c>
      <c r="F147" s="44"/>
      <c r="G147" s="44"/>
      <c r="H147" s="44"/>
    </row>
    <row r="148" spans="1:8">
      <c r="A148" s="21" t="s">
        <v>398</v>
      </c>
      <c r="D148" s="14">
        <f>SUM(D142:D147)</f>
        <v>0</v>
      </c>
    </row>
    <row r="149" spans="1:8">
      <c r="A149" s="11" t="s">
        <v>399</v>
      </c>
      <c r="B149" s="11"/>
      <c r="C149" s="11"/>
      <c r="D149" s="11"/>
      <c r="E149" s="11"/>
      <c r="F149" s="11"/>
      <c r="G149" s="11"/>
      <c r="H149" s="11"/>
    </row>
    <row r="150" spans="1:8">
      <c r="A150" s="17" t="s">
        <v>400</v>
      </c>
      <c r="B150" s="5"/>
    </row>
    <row r="151" spans="1:8">
      <c r="A151" s="17" t="s">
        <v>401</v>
      </c>
      <c r="B151" s="45">
        <v>1.78</v>
      </c>
    </row>
    <row r="152" spans="1:8">
      <c r="A152" s="17" t="s">
        <v>402</v>
      </c>
      <c r="B152" s="39">
        <v>6</v>
      </c>
    </row>
    <row r="153" spans="1:8">
      <c r="A153" s="17" t="s">
        <v>403</v>
      </c>
      <c r="B153" s="43">
        <v>0</v>
      </c>
    </row>
    <row r="154" spans="1:8">
      <c r="A154" s="17" t="s">
        <v>404</v>
      </c>
      <c r="B154" s="43">
        <v>0</v>
      </c>
    </row>
    <row r="155" spans="1:8">
      <c r="A155" s="17" t="s">
        <v>405</v>
      </c>
      <c r="B155" s="5"/>
    </row>
    <row r="156" spans="1:8">
      <c r="A156" s="17" t="s">
        <v>406</v>
      </c>
      <c r="B156" s="43">
        <v>1</v>
      </c>
    </row>
    <row r="157" spans="1:8">
      <c r="A157" s="17" t="s">
        <v>407</v>
      </c>
      <c r="B157" s="5" t="s">
        <v>277</v>
      </c>
    </row>
    <row r="158" spans="1:8">
      <c r="A158" s="17" t="s">
        <v>408</v>
      </c>
      <c r="B158" s="39"/>
    </row>
    <row r="159" spans="1:8">
      <c r="A159" s="17" t="s">
        <v>409</v>
      </c>
      <c r="B159" s="39">
        <v>12</v>
      </c>
    </row>
    <row r="160" spans="1:8">
      <c r="A160" s="17" t="s">
        <v>410</v>
      </c>
      <c r="B160" s="5"/>
    </row>
    <row r="161" spans="1:16">
      <c r="A161" s="17" t="s">
        <v>411</v>
      </c>
      <c r="B161" s="5"/>
    </row>
    <row r="162" spans="1:16">
      <c r="A162" s="17" t="s">
        <v>412</v>
      </c>
      <c r="B162" s="5" t="s">
        <v>257</v>
      </c>
    </row>
    <row r="163" spans="1:16">
      <c r="A163" s="17" t="s">
        <v>413</v>
      </c>
      <c r="B163" s="5" t="s">
        <v>257</v>
      </c>
    </row>
    <row r="164" spans="1:16">
      <c r="A164" s="17" t="s">
        <v>414</v>
      </c>
      <c r="B164" s="39"/>
    </row>
    <row r="165" spans="1:16">
      <c r="A165" s="17" t="s">
        <v>415</v>
      </c>
      <c r="B165" s="5" t="s">
        <v>258</v>
      </c>
    </row>
    <row r="167" spans="1:16">
      <c r="A167" s="3" t="s">
        <v>416</v>
      </c>
      <c r="B167" s="3"/>
      <c r="C167" s="3"/>
      <c r="D167" s="3"/>
      <c r="E167" s="3"/>
      <c r="F167" s="3"/>
      <c r="G167" s="3"/>
      <c r="H167" s="3"/>
    </row>
    <row r="168" spans="1:16">
      <c r="A168" s="11" t="s">
        <v>417</v>
      </c>
      <c r="B168" s="11" t="s">
        <v>108</v>
      </c>
      <c r="C168" s="11" t="s">
        <v>77</v>
      </c>
      <c r="D168" s="11" t="s">
        <v>418</v>
      </c>
      <c r="E168" s="11" t="s">
        <v>419</v>
      </c>
      <c r="F168" s="11"/>
      <c r="G168" s="11"/>
      <c r="H168" s="11"/>
    </row>
    <row r="169" spans="1:16">
      <c r="A169" s="21" t="s">
        <v>420</v>
      </c>
      <c r="B169" s="17"/>
      <c r="C169" s="27">
        <f>IFERROR(INDEX(P_PoidsDom,1,MATCH($B$17,P_PoidsHdr,0)),"")</f>
        <v>0</v>
      </c>
      <c r="D169" s="14">
        <f>IF(N(C169)=0,"",SUMPRODUCT(B170:B172,C170:C172)+P_InfoInsuff*SUMPRODUCT((1-ISNUMBER(B170:B172))*C170:C172))</f>
        <v>0</v>
      </c>
      <c r="E169" s="44"/>
      <c r="F169" s="44"/>
      <c r="G169" s="44"/>
      <c r="H169" s="44"/>
      <c r="J169" s="31" t="s">
        <v>422</v>
      </c>
      <c r="K169" s="31">
        <f>IF(N(C169)&gt;0,1,0)</f>
        <v>0</v>
      </c>
      <c r="M169" s="31">
        <f>N(C169)*SUMPRODUCT(ISNUMBER(B170:B172)*C170:C172)</f>
        <v>0</v>
      </c>
    </row>
    <row r="170" spans="1:16">
      <c r="A170" s="17" t="s">
        <v>423</v>
      </c>
      <c r="B170" s="5">
        <v>80</v>
      </c>
      <c r="C170" s="27">
        <f>INDEX(P_SCPoids,MATCH(L170,P_SCCle,0))</f>
        <v>0</v>
      </c>
      <c r="J170" s="31" t="s">
        <v>424</v>
      </c>
      <c r="K170" s="31">
        <f>K169</f>
        <v>0</v>
      </c>
      <c r="L170" s="31" t="s">
        <v>205</v>
      </c>
      <c r="P170" s="31">
        <f>IF(AND(K170=1,B170=""),ROW(),"")</f>
        <v>0</v>
      </c>
    </row>
    <row r="171" spans="1:16">
      <c r="A171" s="17" t="s">
        <v>425</v>
      </c>
      <c r="B171" s="5">
        <v>80</v>
      </c>
      <c r="C171" s="27">
        <f>INDEX(P_SCPoids,MATCH(L171,P_SCCle,0))</f>
        <v>0</v>
      </c>
      <c r="J171" s="31" t="s">
        <v>424</v>
      </c>
      <c r="K171" s="31">
        <f>K169</f>
        <v>0</v>
      </c>
      <c r="L171" s="31" t="s">
        <v>207</v>
      </c>
      <c r="P171" s="31">
        <f>IF(AND(K171=1,B171=""),ROW(),"")</f>
        <v>0</v>
      </c>
    </row>
    <row r="172" spans="1:16">
      <c r="A172" s="17" t="s">
        <v>426</v>
      </c>
      <c r="B172" s="5">
        <v>50</v>
      </c>
      <c r="C172" s="27">
        <f>INDEX(P_SCPoids,MATCH(L172,P_SCCle,0))</f>
        <v>0</v>
      </c>
      <c r="J172" s="31" t="s">
        <v>424</v>
      </c>
      <c r="K172" s="31">
        <f>K169</f>
        <v>0</v>
      </c>
      <c r="L172" s="31" t="s">
        <v>209</v>
      </c>
      <c r="P172" s="31">
        <f>IF(AND(K172=1,B172=""),ROW(),"")</f>
        <v>0</v>
      </c>
    </row>
    <row r="173" spans="1:16">
      <c r="A173" s="21" t="s">
        <v>427</v>
      </c>
      <c r="B173" s="17"/>
      <c r="C173" s="27">
        <f>IFERROR(INDEX(P_PoidsDom,2,MATCH($B$17,P_PoidsHdr,0)),"")</f>
        <v>0</v>
      </c>
      <c r="D173" s="14">
        <f>IF(N(C173)=0,"",SUMPRODUCT(B174:B176,C174:C176)+P_InfoInsuff*SUMPRODUCT((1-ISNUMBER(B174:B176))*C174:C176))</f>
        <v>0</v>
      </c>
      <c r="E173" s="44"/>
      <c r="F173" s="44"/>
      <c r="G173" s="44"/>
      <c r="H173" s="44"/>
      <c r="J173" s="31" t="s">
        <v>422</v>
      </c>
      <c r="K173" s="31">
        <f>IF(N(C173)&gt;0,1,0)</f>
        <v>0</v>
      </c>
      <c r="M173" s="31">
        <f>N(C173)*SUMPRODUCT(ISNUMBER(B174:B176)*C174:C176)</f>
        <v>0</v>
      </c>
    </row>
    <row r="174" spans="1:16">
      <c r="A174" s="17" t="s">
        <v>428</v>
      </c>
      <c r="B174" s="5">
        <v>100</v>
      </c>
      <c r="C174" s="27">
        <f>INDEX(P_SCPoids,MATCH(L174,P_SCCle,0))</f>
        <v>0</v>
      </c>
      <c r="J174" s="31" t="s">
        <v>424</v>
      </c>
      <c r="K174" s="31">
        <f>K173</f>
        <v>0</v>
      </c>
      <c r="L174" s="31" t="s">
        <v>211</v>
      </c>
      <c r="P174" s="31">
        <f>IF(AND(K174=1,B174=""),ROW(),"")</f>
        <v>0</v>
      </c>
    </row>
    <row r="175" spans="1:16">
      <c r="A175" s="17" t="s">
        <v>429</v>
      </c>
      <c r="B175" s="5">
        <v>80</v>
      </c>
      <c r="C175" s="27">
        <f>INDEX(P_SCPoids,MATCH(L175,P_SCCle,0))</f>
        <v>0</v>
      </c>
      <c r="J175" s="31" t="s">
        <v>424</v>
      </c>
      <c r="K175" s="31">
        <f>K173</f>
        <v>0</v>
      </c>
      <c r="L175" s="31" t="s">
        <v>213</v>
      </c>
      <c r="P175" s="31">
        <f>IF(AND(K175=1,B175=""),ROW(),"")</f>
        <v>0</v>
      </c>
    </row>
    <row r="176" spans="1:16">
      <c r="A176" s="17" t="s">
        <v>430</v>
      </c>
      <c r="B176" s="5">
        <v>100</v>
      </c>
      <c r="C176" s="27">
        <f>INDEX(P_SCPoids,MATCH(L176,P_SCCle,0))</f>
        <v>0</v>
      </c>
      <c r="J176" s="31" t="s">
        <v>424</v>
      </c>
      <c r="K176" s="31">
        <f>K173</f>
        <v>0</v>
      </c>
      <c r="L176" s="31" t="s">
        <v>215</v>
      </c>
      <c r="P176" s="31">
        <f>IF(AND(K176=1,B176=""),ROW(),"")</f>
        <v>0</v>
      </c>
    </row>
    <row r="177" spans="1:16">
      <c r="A177" s="21" t="s">
        <v>431</v>
      </c>
      <c r="B177" s="17"/>
      <c r="C177" s="27">
        <f>IFERROR(INDEX(P_PoidsDom,3,MATCH($B$17,P_PoidsHdr,0)),"")</f>
        <v>0</v>
      </c>
      <c r="D177" s="14">
        <f>IF(N(C177)=0,"",SUMPRODUCT(B178:B180,C178:C180)+P_InfoInsuff*SUMPRODUCT((1-ISNUMBER(B178:B180))*C178:C180))</f>
        <v>0</v>
      </c>
      <c r="E177" s="44"/>
      <c r="F177" s="44"/>
      <c r="G177" s="44"/>
      <c r="H177" s="44"/>
      <c r="J177" s="31" t="s">
        <v>422</v>
      </c>
      <c r="K177" s="31">
        <f>IF(N(C177)&gt;0,1,0)</f>
        <v>0</v>
      </c>
      <c r="M177" s="31">
        <f>N(C177)*SUMPRODUCT(ISNUMBER(B178:B180)*C178:C180)</f>
        <v>0</v>
      </c>
    </row>
    <row r="178" spans="1:16">
      <c r="A178" s="17" t="s">
        <v>433</v>
      </c>
      <c r="B178" s="5">
        <v>80</v>
      </c>
      <c r="C178" s="27">
        <f>INDEX(P_SCPoids,MATCH(L178,P_SCCle,0))</f>
        <v>0</v>
      </c>
      <c r="J178" s="31" t="s">
        <v>424</v>
      </c>
      <c r="K178" s="31">
        <f>K177</f>
        <v>0</v>
      </c>
      <c r="L178" s="31" t="s">
        <v>217</v>
      </c>
      <c r="P178" s="31">
        <f>IF(AND(K178=1,B178=""),ROW(),"")</f>
        <v>0</v>
      </c>
    </row>
    <row r="179" spans="1:16">
      <c r="A179" s="17" t="s">
        <v>434</v>
      </c>
      <c r="B179" s="5">
        <v>100</v>
      </c>
      <c r="C179" s="27">
        <f>INDEX(P_SCPoids,MATCH(L179,P_SCCle,0))</f>
        <v>0</v>
      </c>
      <c r="J179" s="31" t="s">
        <v>424</v>
      </c>
      <c r="K179" s="31">
        <f>K177</f>
        <v>0</v>
      </c>
      <c r="L179" s="31" t="s">
        <v>219</v>
      </c>
      <c r="P179" s="31">
        <f>IF(AND(K179=1,B179=""),ROW(),"")</f>
        <v>0</v>
      </c>
    </row>
    <row r="180" spans="1:16">
      <c r="A180" s="17" t="s">
        <v>435</v>
      </c>
      <c r="B180" s="5">
        <v>80</v>
      </c>
      <c r="C180" s="27">
        <f>INDEX(P_SCPoids,MATCH(L180,P_SCCle,0))</f>
        <v>0</v>
      </c>
      <c r="J180" s="31" t="s">
        <v>424</v>
      </c>
      <c r="K180" s="31">
        <f>K177</f>
        <v>0</v>
      </c>
      <c r="L180" s="31" t="s">
        <v>221</v>
      </c>
      <c r="P180" s="31">
        <f>IF(AND(K180=1,B180=""),ROW(),"")</f>
        <v>0</v>
      </c>
    </row>
    <row r="181" spans="1:16">
      <c r="A181" s="21" t="s">
        <v>436</v>
      </c>
      <c r="B181" s="17"/>
      <c r="C181" s="27">
        <f>IFERROR(INDEX(P_PoidsDom,4,MATCH($B$17,P_PoidsHdr,0)),"")</f>
        <v>0</v>
      </c>
      <c r="D181" s="14">
        <f>IF(N(C181)=0,"",SUMPRODUCT(B182:B184,C182:C184)+P_InfoInsuff*SUMPRODUCT((1-ISNUMBER(B182:B184))*C182:C184))</f>
        <v>0</v>
      </c>
      <c r="E181" s="44"/>
      <c r="F181" s="44"/>
      <c r="G181" s="44"/>
      <c r="H181" s="44"/>
      <c r="J181" s="31" t="s">
        <v>422</v>
      </c>
      <c r="K181" s="31">
        <f>IF(N(C181)&gt;0,1,0)</f>
        <v>0</v>
      </c>
      <c r="M181" s="31">
        <f>N(C181)*SUMPRODUCT(ISNUMBER(B182:B184)*C182:C184)</f>
        <v>0</v>
      </c>
    </row>
    <row r="182" spans="1:16">
      <c r="A182" s="17" t="s">
        <v>438</v>
      </c>
      <c r="B182" s="5">
        <v>80</v>
      </c>
      <c r="C182" s="27">
        <f>INDEX(P_SCPoids,MATCH(L182,P_SCCle,0))</f>
        <v>0</v>
      </c>
      <c r="J182" s="31" t="s">
        <v>424</v>
      </c>
      <c r="K182" s="31">
        <f>K181</f>
        <v>0</v>
      </c>
      <c r="L182" s="31" t="s">
        <v>223</v>
      </c>
      <c r="P182" s="31">
        <f>IF(AND(K182=1,B182=""),ROW(),"")</f>
        <v>0</v>
      </c>
    </row>
    <row r="183" spans="1:16">
      <c r="A183" s="17" t="s">
        <v>439</v>
      </c>
      <c r="B183" s="5">
        <v>50</v>
      </c>
      <c r="C183" s="27">
        <f>INDEX(P_SCPoids,MATCH(L183,P_SCCle,0))</f>
        <v>0</v>
      </c>
      <c r="J183" s="31" t="s">
        <v>424</v>
      </c>
      <c r="K183" s="31">
        <f>K181</f>
        <v>0</v>
      </c>
      <c r="L183" s="31" t="s">
        <v>225</v>
      </c>
      <c r="P183" s="31">
        <f>IF(AND(K183=1,B183=""),ROW(),"")</f>
        <v>0</v>
      </c>
    </row>
    <row r="184" spans="1:16">
      <c r="A184" s="17" t="s">
        <v>440</v>
      </c>
      <c r="B184" s="5">
        <v>80</v>
      </c>
      <c r="C184" s="27">
        <f>INDEX(P_SCPoids,MATCH(L184,P_SCCle,0))</f>
        <v>0</v>
      </c>
      <c r="J184" s="31" t="s">
        <v>424</v>
      </c>
      <c r="K184" s="31">
        <f>K181</f>
        <v>0</v>
      </c>
      <c r="L184" s="31" t="s">
        <v>227</v>
      </c>
      <c r="P184" s="31">
        <f>IF(AND(K184=1,B184=""),ROW(),"")</f>
        <v>0</v>
      </c>
    </row>
    <row r="185" spans="1:16">
      <c r="A185" s="21" t="s">
        <v>441</v>
      </c>
      <c r="B185" s="17"/>
      <c r="C185" s="27">
        <f>IFERROR(INDEX(P_PoidsDom,5,MATCH($B$17,P_PoidsHdr,0)),"")</f>
        <v>0</v>
      </c>
      <c r="D185" s="14">
        <f>IF(N(C185)=0,"",SUMPRODUCT(B186:B188,C186:C188)+P_InfoInsuff*SUMPRODUCT((1-ISNUMBER(B186:B188))*C186:C188))</f>
        <v>0</v>
      </c>
      <c r="E185" s="44"/>
      <c r="F185" s="44"/>
      <c r="G185" s="44"/>
      <c r="H185" s="44"/>
      <c r="J185" s="31" t="s">
        <v>422</v>
      </c>
      <c r="K185" s="31">
        <f>IF(N(C185)&gt;0,1,0)</f>
        <v>0</v>
      </c>
      <c r="M185" s="31">
        <f>N(C185)*SUMPRODUCT(ISNUMBER(B186:B188)*C186:C188)</f>
        <v>0</v>
      </c>
    </row>
    <row r="186" spans="1:16">
      <c r="A186" s="17" t="s">
        <v>442</v>
      </c>
      <c r="B186" s="5">
        <v>80</v>
      </c>
      <c r="C186" s="27">
        <f>INDEX(P_SCPoids,MATCH(L186,P_SCCle,0))</f>
        <v>0</v>
      </c>
      <c r="J186" s="31" t="s">
        <v>424</v>
      </c>
      <c r="K186" s="31">
        <f>K185</f>
        <v>0</v>
      </c>
      <c r="L186" s="31" t="s">
        <v>229</v>
      </c>
      <c r="P186" s="31">
        <f>IF(AND(K186=1,B186=""),ROW(),"")</f>
        <v>0</v>
      </c>
    </row>
    <row r="187" spans="1:16">
      <c r="A187" s="17" t="s">
        <v>443</v>
      </c>
      <c r="B187" s="5">
        <v>80</v>
      </c>
      <c r="C187" s="27">
        <f>INDEX(P_SCPoids,MATCH(L187,P_SCCle,0))</f>
        <v>0</v>
      </c>
      <c r="J187" s="31" t="s">
        <v>424</v>
      </c>
      <c r="K187" s="31">
        <f>K185</f>
        <v>0</v>
      </c>
      <c r="L187" s="31" t="s">
        <v>231</v>
      </c>
      <c r="P187" s="31">
        <f>IF(AND(K187=1,B187=""),ROW(),"")</f>
        <v>0</v>
      </c>
    </row>
    <row r="188" spans="1:16">
      <c r="A188" s="17" t="s">
        <v>444</v>
      </c>
      <c r="B188" s="5">
        <v>80</v>
      </c>
      <c r="C188" s="27">
        <f>INDEX(P_SCPoids,MATCH(L188,P_SCCle,0))</f>
        <v>0</v>
      </c>
      <c r="J188" s="31" t="s">
        <v>424</v>
      </c>
      <c r="K188" s="31">
        <f>K185</f>
        <v>0</v>
      </c>
      <c r="L188" s="31" t="s">
        <v>233</v>
      </c>
      <c r="P188" s="31">
        <f>IF(AND(K188=1,B188=""),ROW(),"")</f>
        <v>0</v>
      </c>
    </row>
    <row r="189" spans="1:16" ht="45" customHeight="1">
      <c r="A189" s="21" t="s">
        <v>445</v>
      </c>
      <c r="B189" s="17"/>
      <c r="C189" s="27">
        <f>IFERROR(INDEX(P_PoidsDom,6,MATCH($B$17,P_PoidsHdr,0)),"")</f>
        <v>0</v>
      </c>
      <c r="D189" s="14">
        <f>IF(N(C189)=0,"",SUMPRODUCT(B190:B192,C190:C192)+P_InfoInsuff*SUMPRODUCT((1-ISNUMBER(B190:B192))*C190:C192))</f>
        <v>0</v>
      </c>
      <c r="E189" s="44" t="s">
        <v>725</v>
      </c>
      <c r="F189" s="44"/>
      <c r="G189" s="44"/>
      <c r="H189" s="44"/>
      <c r="J189" s="31" t="s">
        <v>422</v>
      </c>
      <c r="K189" s="31">
        <f>IF(N(C189)&gt;0,1,0)</f>
        <v>0</v>
      </c>
      <c r="M189" s="31">
        <f>N(C189)*SUMPRODUCT(ISNUMBER(B190:B192)*C190:C192)</f>
        <v>0</v>
      </c>
    </row>
    <row r="190" spans="1:16">
      <c r="A190" s="17" t="s">
        <v>447</v>
      </c>
      <c r="B190" s="5">
        <v>50</v>
      </c>
      <c r="C190" s="27">
        <f>INDEX(P_SCPoids,MATCH(L190,P_SCCle,0))</f>
        <v>0</v>
      </c>
      <c r="J190" s="31" t="s">
        <v>424</v>
      </c>
      <c r="K190" s="31">
        <f>K189</f>
        <v>0</v>
      </c>
      <c r="L190" s="31" t="s">
        <v>235</v>
      </c>
      <c r="P190" s="31">
        <f>IF(AND(K190=1,B190=""),ROW(),"")</f>
        <v>0</v>
      </c>
    </row>
    <row r="191" spans="1:16">
      <c r="A191" s="17" t="s">
        <v>448</v>
      </c>
      <c r="B191" s="5">
        <v>80</v>
      </c>
      <c r="C191" s="27">
        <f>INDEX(P_SCPoids,MATCH(L191,P_SCCle,0))</f>
        <v>0</v>
      </c>
      <c r="J191" s="31" t="s">
        <v>424</v>
      </c>
      <c r="K191" s="31">
        <f>K189</f>
        <v>0</v>
      </c>
      <c r="L191" s="31" t="s">
        <v>237</v>
      </c>
      <c r="P191" s="31">
        <f>IF(AND(K191=1,B191=""),ROW(),"")</f>
        <v>0</v>
      </c>
    </row>
    <row r="192" spans="1:16">
      <c r="A192" s="17" t="s">
        <v>449</v>
      </c>
      <c r="B192" s="5">
        <v>80</v>
      </c>
      <c r="C192" s="27">
        <f>INDEX(P_SCPoids,MATCH(L192,P_SCCle,0))</f>
        <v>0</v>
      </c>
      <c r="J192" s="31" t="s">
        <v>424</v>
      </c>
      <c r="K192" s="31">
        <f>K189</f>
        <v>0</v>
      </c>
      <c r="L192" s="31" t="s">
        <v>239</v>
      </c>
      <c r="P192" s="31">
        <f>IF(AND(K192=1,B192=""),ROW(),"")</f>
        <v>0</v>
      </c>
    </row>
    <row r="193" spans="1:16">
      <c r="A193" s="21" t="s">
        <v>450</v>
      </c>
      <c r="B193" s="17"/>
      <c r="C193" s="27">
        <f>IFERROR(INDEX(P_PoidsDom,8,MATCH($B$17,P_PoidsHdr,0)),"")</f>
        <v>0</v>
      </c>
      <c r="D193" s="14">
        <f>IF(N(C193)=0,"",SUMPRODUCT(B194:B196,C194:C196)+P_InfoInsuff*SUMPRODUCT((1-ISNUMBER(B194:B196))*C194:C196))</f>
        <v>0</v>
      </c>
      <c r="E193" s="44"/>
      <c r="F193" s="44"/>
      <c r="G193" s="44"/>
      <c r="H193" s="44"/>
      <c r="J193" s="31" t="s">
        <v>422</v>
      </c>
      <c r="K193" s="31">
        <f>IF(N(C193)&gt;0,1,0)</f>
        <v>0</v>
      </c>
      <c r="M193" s="31">
        <f>N(C193)*SUMPRODUCT(ISNUMBER(B194:B196)*C194:C196)</f>
        <v>0</v>
      </c>
    </row>
    <row r="194" spans="1:16">
      <c r="A194" s="17" t="s">
        <v>451</v>
      </c>
      <c r="B194" s="5">
        <v>80</v>
      </c>
      <c r="C194" s="27">
        <f>INDEX(P_SCPoids,MATCH(L194,P_SCCle,0))</f>
        <v>0</v>
      </c>
      <c r="J194" s="31" t="s">
        <v>424</v>
      </c>
      <c r="K194" s="31">
        <f>K193</f>
        <v>0</v>
      </c>
      <c r="L194" s="31" t="s">
        <v>241</v>
      </c>
      <c r="P194" s="31">
        <f>IF(AND(K194=1,B194=""),ROW(),"")</f>
        <v>0</v>
      </c>
    </row>
    <row r="195" spans="1:16">
      <c r="A195" s="17" t="s">
        <v>452</v>
      </c>
      <c r="B195" s="5">
        <v>80</v>
      </c>
      <c r="C195" s="27">
        <f>INDEX(P_SCPoids,MATCH(L195,P_SCCle,0))</f>
        <v>0</v>
      </c>
      <c r="J195" s="31" t="s">
        <v>424</v>
      </c>
      <c r="K195" s="31">
        <f>K193</f>
        <v>0</v>
      </c>
      <c r="L195" s="31" t="s">
        <v>243</v>
      </c>
      <c r="P195" s="31">
        <f>IF(AND(K195=1,B195=""),ROW(),"")</f>
        <v>0</v>
      </c>
    </row>
    <row r="196" spans="1:16">
      <c r="A196" s="17" t="s">
        <v>453</v>
      </c>
      <c r="B196" s="5">
        <v>80</v>
      </c>
      <c r="C196" s="27">
        <f>INDEX(P_SCPoids,MATCH(L196,P_SCCle,0))</f>
        <v>0</v>
      </c>
      <c r="J196" s="31" t="s">
        <v>424</v>
      </c>
      <c r="K196" s="31">
        <f>K193</f>
        <v>0</v>
      </c>
      <c r="L196" s="31" t="s">
        <v>245</v>
      </c>
      <c r="P196" s="31">
        <f>IF(AND(K196=1,B196=""),ROW(),"")</f>
        <v>0</v>
      </c>
    </row>
    <row r="197" spans="1:16">
      <c r="A197" s="21" t="s">
        <v>454</v>
      </c>
      <c r="B197" s="17"/>
      <c r="C197" s="27">
        <f>IFERROR(INDEX(P_PoidsDom,9,MATCH($B$17,P_PoidsHdr,0)),"")</f>
        <v>0</v>
      </c>
      <c r="D197" s="14">
        <f>IF(N(C197)=0,"",SUMPRODUCT(B198:B201,C198:C201)+P_InfoInsuff*SUMPRODUCT((1-ISNUMBER(B198:B201))*C198:C201))</f>
        <v>0</v>
      </c>
      <c r="E197" s="44"/>
      <c r="F197" s="44"/>
      <c r="G197" s="44"/>
      <c r="H197" s="44"/>
      <c r="J197" s="31" t="s">
        <v>422</v>
      </c>
      <c r="K197" s="31">
        <f>IF(N(C197)&gt;0,1,0)</f>
        <v>0</v>
      </c>
      <c r="M197" s="31">
        <f>N(C197)*SUMPRODUCT(ISNUMBER(B198:B201)*C198:C201)</f>
        <v>0</v>
      </c>
    </row>
    <row r="198" spans="1:16">
      <c r="A198" s="17" t="s">
        <v>455</v>
      </c>
      <c r="B198" s="5">
        <v>100</v>
      </c>
      <c r="C198" s="27">
        <f>INDEX(P_SCPoids,MATCH(L198,P_SCCle,0))</f>
        <v>0</v>
      </c>
      <c r="J198" s="31" t="s">
        <v>424</v>
      </c>
      <c r="K198" s="31">
        <f>K197</f>
        <v>0</v>
      </c>
      <c r="L198" s="31" t="s">
        <v>247</v>
      </c>
      <c r="P198" s="31">
        <f>IF(AND(K198=1,B198=""),ROW(),"")</f>
        <v>0</v>
      </c>
    </row>
    <row r="199" spans="1:16">
      <c r="A199" s="17" t="s">
        <v>456</v>
      </c>
      <c r="B199" s="5">
        <v>80</v>
      </c>
      <c r="C199" s="27">
        <f>INDEX(P_SCPoids,MATCH(L199,P_SCCle,0))</f>
        <v>0</v>
      </c>
      <c r="J199" s="31" t="s">
        <v>424</v>
      </c>
      <c r="K199" s="31">
        <f>K197</f>
        <v>0</v>
      </c>
      <c r="L199" s="31" t="s">
        <v>249</v>
      </c>
      <c r="P199" s="31">
        <f>IF(AND(K199=1,B199=""),ROW(),"")</f>
        <v>0</v>
      </c>
    </row>
    <row r="200" spans="1:16">
      <c r="A200" s="17" t="s">
        <v>457</v>
      </c>
      <c r="B200" s="5">
        <v>50</v>
      </c>
      <c r="C200" s="27">
        <f>INDEX(P_SCPoids,MATCH(L200,P_SCCle,0))</f>
        <v>0</v>
      </c>
      <c r="J200" s="31" t="s">
        <v>424</v>
      </c>
      <c r="K200" s="31">
        <f>K197</f>
        <v>0</v>
      </c>
      <c r="L200" s="31" t="s">
        <v>251</v>
      </c>
      <c r="P200" s="31">
        <f>IF(AND(K200=1,B200=""),ROW(),"")</f>
        <v>0</v>
      </c>
    </row>
    <row r="201" spans="1:16">
      <c r="A201" s="17" t="s">
        <v>458</v>
      </c>
      <c r="B201" s="5">
        <v>80</v>
      </c>
      <c r="C201" s="27">
        <f>INDEX(P_SCPoids,MATCH(L201,P_SCCle,0))</f>
        <v>0</v>
      </c>
      <c r="J201" s="31" t="s">
        <v>424</v>
      </c>
      <c r="K201" s="31">
        <f>K197</f>
        <v>0</v>
      </c>
      <c r="L201" s="31" t="s">
        <v>253</v>
      </c>
      <c r="P201" s="31">
        <f>IF(AND(K201=1,B201=""),ROW(),"")</f>
        <v>0</v>
      </c>
    </row>
    <row r="203" spans="1:16">
      <c r="A203" s="17" t="s">
        <v>459</v>
      </c>
      <c r="B203" s="27">
        <f>IF(SUMIF(J169:J201,"DOM",C169:C201)=0,"",SUM(M169:M201)/SUMIF(J169:J201,"DOM",C169:C201))</f>
        <v>0</v>
      </c>
    </row>
    <row r="204" spans="1:16">
      <c r="A204" s="17" t="s">
        <v>460</v>
      </c>
      <c r="B204" s="27">
        <f>IF(SUMIF(J169:J201,"SC",K169:K201)=0,"",(COUNT(B142:B147)+SUMPRODUCT((J169:J201="SC")*(K169:K201=1)*ISNUMBER(B169:B201)))/(6+SUMIF(J169:J201,"SC",K169:K201)))</f>
        <v>0</v>
      </c>
    </row>
    <row r="206" spans="1:16">
      <c r="A206" s="3" t="s">
        <v>461</v>
      </c>
      <c r="B206" s="3"/>
      <c r="C206" s="3"/>
      <c r="D206" s="3"/>
      <c r="E206" s="3"/>
      <c r="F206" s="3"/>
      <c r="G206" s="3"/>
      <c r="H206" s="3"/>
    </row>
    <row r="207" spans="1:16">
      <c r="A207" s="11" t="s">
        <v>55</v>
      </c>
      <c r="B207" s="11" t="s">
        <v>462</v>
      </c>
      <c r="C207" s="11" t="s">
        <v>463</v>
      </c>
      <c r="D207" s="11" t="s">
        <v>387</v>
      </c>
    </row>
    <row r="208" spans="1:16">
      <c r="A208" s="17" t="s">
        <v>420</v>
      </c>
      <c r="B208" s="20">
        <f>D169</f>
        <v>0</v>
      </c>
      <c r="C208" s="27">
        <f>IFERROR(INDEX(P_PoidsDom,1,MATCH($B$17,P_PoidsHdr,0)),"")</f>
        <v>0</v>
      </c>
      <c r="D208" s="20">
        <f>IF(ISNUMBER(B208),B208,0)*N(C208)</f>
        <v>0</v>
      </c>
    </row>
    <row r="209" spans="1:8">
      <c r="A209" s="17" t="s">
        <v>427</v>
      </c>
      <c r="B209" s="20">
        <f>D173</f>
        <v>0</v>
      </c>
      <c r="C209" s="27">
        <f>IFERROR(INDEX(P_PoidsDom,2,MATCH($B$17,P_PoidsHdr,0)),"")</f>
        <v>0</v>
      </c>
      <c r="D209" s="20">
        <f>IF(ISNUMBER(B209),B209,0)*N(C209)</f>
        <v>0</v>
      </c>
    </row>
    <row r="210" spans="1:8">
      <c r="A210" s="17" t="s">
        <v>431</v>
      </c>
      <c r="B210" s="20">
        <f>D177</f>
        <v>0</v>
      </c>
      <c r="C210" s="27">
        <f>IFERROR(INDEX(P_PoidsDom,3,MATCH($B$17,P_PoidsHdr,0)),"")</f>
        <v>0</v>
      </c>
      <c r="D210" s="20">
        <f>IF(ISNUMBER(B210),B210,0)*N(C210)</f>
        <v>0</v>
      </c>
    </row>
    <row r="211" spans="1:8">
      <c r="A211" s="17" t="s">
        <v>436</v>
      </c>
      <c r="B211" s="20">
        <f>D181</f>
        <v>0</v>
      </c>
      <c r="C211" s="27">
        <f>IFERROR(INDEX(P_PoidsDom,4,MATCH($B$17,P_PoidsHdr,0)),"")</f>
        <v>0</v>
      </c>
      <c r="D211" s="20">
        <f>IF(ISNUMBER(B211),B211,0)*N(C211)</f>
        <v>0</v>
      </c>
    </row>
    <row r="212" spans="1:8">
      <c r="A212" s="17" t="s">
        <v>441</v>
      </c>
      <c r="B212" s="20">
        <f>D185</f>
        <v>0</v>
      </c>
      <c r="C212" s="27">
        <f>IFERROR(INDEX(P_PoidsDom,5,MATCH($B$17,P_PoidsHdr,0)),"")</f>
        <v>0</v>
      </c>
      <c r="D212" s="20">
        <f>IF(ISNUMBER(B212),B212,0)*N(C212)</f>
        <v>0</v>
      </c>
    </row>
    <row r="213" spans="1:8">
      <c r="A213" s="17" t="s">
        <v>445</v>
      </c>
      <c r="B213" s="20">
        <f>D189</f>
        <v>0</v>
      </c>
      <c r="C213" s="27">
        <f>IFERROR(INDEX(P_PoidsDom,6,MATCH($B$17,P_PoidsHdr,0)),"")</f>
        <v>0</v>
      </c>
      <c r="D213" s="20">
        <f>IF(ISNUMBER(B213),B213,0)*N(C213)</f>
        <v>0</v>
      </c>
    </row>
    <row r="214" spans="1:8">
      <c r="A214" s="17" t="s">
        <v>464</v>
      </c>
      <c r="B214" s="20">
        <f>D148</f>
        <v>0</v>
      </c>
      <c r="C214" s="27">
        <f>IFERROR(INDEX(P_PoidsDom,7,MATCH($B$17,P_PoidsHdr,0)),"")</f>
        <v>0</v>
      </c>
      <c r="D214" s="20">
        <f>IF(ISNUMBER(B214),B214,0)*N(C214)</f>
        <v>0</v>
      </c>
    </row>
    <row r="215" spans="1:8">
      <c r="A215" s="17" t="s">
        <v>450</v>
      </c>
      <c r="B215" s="20">
        <f>D193</f>
        <v>0</v>
      </c>
      <c r="C215" s="27">
        <f>IFERROR(INDEX(P_PoidsDom,8,MATCH($B$17,P_PoidsHdr,0)),"")</f>
        <v>0</v>
      </c>
      <c r="D215" s="20">
        <f>IF(ISNUMBER(B215),B215,0)*N(C215)</f>
        <v>0</v>
      </c>
    </row>
    <row r="216" spans="1:8">
      <c r="A216" s="17" t="s">
        <v>454</v>
      </c>
      <c r="B216" s="20">
        <f>D197</f>
        <v>0</v>
      </c>
      <c r="C216" s="27">
        <f>IFERROR(INDEX(P_PoidsDom,9,MATCH($B$17,P_PoidsHdr,0)),"")</f>
        <v>0</v>
      </c>
      <c r="D216" s="20">
        <f>IF(ISNUMBER(B216),B216,0)*N(C216)</f>
        <v>0</v>
      </c>
    </row>
    <row r="217" spans="1:8">
      <c r="A217" s="21" t="s">
        <v>465</v>
      </c>
      <c r="B217" s="14">
        <f>IF(N(C208)+N(C216)=0,"",SUM(D208:D216))</f>
        <v>0</v>
      </c>
    </row>
    <row r="218" spans="1:8">
      <c r="A218" s="21" t="s">
        <v>466</v>
      </c>
      <c r="B218" s="14">
        <f>IF(B217="","",INDEX(P_ConvNote,MATCH(B217,P_ConvSeuil,1)))</f>
        <v>0</v>
      </c>
      <c r="C218" s="7">
        <f>IF(B217="","",INDEX(P_ConvLib,MATCH(B217,P_ConvSeuil,1)))</f>
        <v>0</v>
      </c>
    </row>
    <row r="220" spans="1:8">
      <c r="A220" s="3" t="s">
        <v>467</v>
      </c>
      <c r="B220" s="3"/>
      <c r="C220" s="3"/>
      <c r="D220" s="3"/>
      <c r="E220" s="3"/>
      <c r="F220" s="3"/>
      <c r="G220" s="3"/>
      <c r="H220" s="3"/>
    </row>
    <row r="221" spans="1:8">
      <c r="A221" s="11" t="s">
        <v>18</v>
      </c>
      <c r="B221" s="11" t="s">
        <v>130</v>
      </c>
      <c r="C221" s="11"/>
      <c r="D221" s="11"/>
      <c r="E221" s="11" t="s">
        <v>468</v>
      </c>
      <c r="F221" s="11" t="s">
        <v>469</v>
      </c>
      <c r="G221" s="11" t="s">
        <v>470</v>
      </c>
      <c r="H221" s="11" t="s">
        <v>471</v>
      </c>
    </row>
    <row r="222" spans="1:8">
      <c r="A222" s="21" t="s">
        <v>472</v>
      </c>
      <c r="B222" s="13" t="s">
        <v>473</v>
      </c>
      <c r="C222" s="13"/>
      <c r="D222" s="13"/>
      <c r="E222" s="5" t="s">
        <v>258</v>
      </c>
      <c r="F222" s="7">
        <f>IF(OR(E222="Oui",H222="Oui"),"Oui","Non")</f>
        <v>0</v>
      </c>
      <c r="G222" s="17" t="s">
        <v>474</v>
      </c>
      <c r="H222" s="7"/>
    </row>
    <row r="223" spans="1:8">
      <c r="A223" s="21" t="s">
        <v>475</v>
      </c>
      <c r="B223" s="13" t="s">
        <v>476</v>
      </c>
      <c r="C223" s="13"/>
      <c r="D223" s="13"/>
      <c r="E223" s="5" t="s">
        <v>258</v>
      </c>
      <c r="F223" s="7">
        <f>IF(OR(E223="Oui",H223="Oui"),"Oui","Non")</f>
        <v>0</v>
      </c>
      <c r="G223" s="17" t="s">
        <v>474</v>
      </c>
      <c r="H223" s="7"/>
    </row>
    <row r="224" spans="1:8">
      <c r="A224" s="21" t="s">
        <v>477</v>
      </c>
      <c r="B224" s="13" t="s">
        <v>478</v>
      </c>
      <c r="C224" s="13"/>
      <c r="D224" s="13"/>
      <c r="E224" s="5" t="s">
        <v>258</v>
      </c>
      <c r="F224" s="7">
        <f>IF(OR(E224="Oui",H224="Oui"),"Oui","Non")</f>
        <v>0</v>
      </c>
      <c r="G224" s="17" t="s">
        <v>474</v>
      </c>
      <c r="H224" s="7"/>
    </row>
    <row r="225" spans="1:8">
      <c r="A225" s="21" t="s">
        <v>479</v>
      </c>
      <c r="B225" s="13" t="s">
        <v>480</v>
      </c>
      <c r="C225" s="13"/>
      <c r="D225" s="13"/>
      <c r="E225" s="5" t="s">
        <v>258</v>
      </c>
      <c r="F225" s="7">
        <f>IF(OR(E225="Oui",H225="Oui"),"Oui","Non")</f>
        <v>0</v>
      </c>
      <c r="G225" s="17" t="s">
        <v>474</v>
      </c>
      <c r="H225" s="7"/>
    </row>
    <row r="226" spans="1:8">
      <c r="A226" s="21" t="s">
        <v>481</v>
      </c>
      <c r="B226" s="13" t="s">
        <v>482</v>
      </c>
      <c r="C226" s="13"/>
      <c r="D226" s="13"/>
      <c r="E226" s="5" t="s">
        <v>258</v>
      </c>
      <c r="F226" s="7">
        <f>IF(OR(E226="Oui",H226="Oui"),"Oui","Non")</f>
        <v>0</v>
      </c>
      <c r="G226" s="17" t="s">
        <v>483</v>
      </c>
      <c r="H226" s="7"/>
    </row>
    <row r="227" spans="1:8">
      <c r="A227" s="21" t="s">
        <v>484</v>
      </c>
      <c r="B227" s="13" t="s">
        <v>485</v>
      </c>
      <c r="C227" s="13"/>
      <c r="D227" s="13"/>
      <c r="E227" s="5" t="s">
        <v>258</v>
      </c>
      <c r="F227" s="7">
        <f>IF(OR(E227="Oui",H227="Oui"),"Oui","Non")</f>
        <v>0</v>
      </c>
      <c r="G227" s="17" t="s">
        <v>483</v>
      </c>
      <c r="H227" s="7"/>
    </row>
    <row r="228" spans="1:8">
      <c r="A228" s="21" t="s">
        <v>486</v>
      </c>
      <c r="B228" s="13" t="s">
        <v>487</v>
      </c>
      <c r="C228" s="13"/>
      <c r="D228" s="13"/>
      <c r="E228" s="5" t="s">
        <v>258</v>
      </c>
      <c r="F228" s="7">
        <f>IF(OR(E228="Oui",H228="Oui"),"Oui","Non")</f>
        <v>0</v>
      </c>
      <c r="G228" s="17" t="s">
        <v>488</v>
      </c>
      <c r="H228" s="7">
        <f>IF(AND($B$17="P1",ISNUMBER($B$48),$B$48&lt;P_N3_V),"Oui","")</f>
        <v>0</v>
      </c>
    </row>
    <row r="229" spans="1:8">
      <c r="A229" s="21" t="s">
        <v>489</v>
      </c>
      <c r="B229" s="13" t="s">
        <v>490</v>
      </c>
      <c r="C229" s="13"/>
      <c r="D229" s="13"/>
      <c r="E229" s="5" t="s">
        <v>258</v>
      </c>
      <c r="F229" s="7">
        <f>IF(OR(E229="Oui",H229="Oui"),"Oui","Non")</f>
        <v>0</v>
      </c>
      <c r="G229" s="17" t="s">
        <v>483</v>
      </c>
      <c r="H229" s="7"/>
    </row>
    <row r="230" spans="1:8">
      <c r="A230" s="21" t="s">
        <v>491</v>
      </c>
      <c r="B230" s="13" t="s">
        <v>492</v>
      </c>
      <c r="C230" s="13"/>
      <c r="D230" s="13"/>
      <c r="E230" s="5" t="s">
        <v>258</v>
      </c>
      <c r="F230" s="7">
        <f>IF(OR(E230="Oui",H230="Oui"),"Oui","Non")</f>
        <v>0</v>
      </c>
      <c r="G230" s="17" t="s">
        <v>488</v>
      </c>
      <c r="H230" s="7"/>
    </row>
    <row r="231" spans="1:8">
      <c r="A231" s="21" t="s">
        <v>493</v>
      </c>
      <c r="B231" s="13" t="s">
        <v>494</v>
      </c>
      <c r="C231" s="13"/>
      <c r="D231" s="13"/>
      <c r="E231" s="5" t="s">
        <v>257</v>
      </c>
      <c r="F231" s="7">
        <f>IF(H231="Oui","Oui","Non")</f>
        <v>0</v>
      </c>
      <c r="G231" s="17" t="s">
        <v>495</v>
      </c>
      <c r="H231" s="7">
        <f>IF(E231="Non","Oui","")</f>
        <v>0</v>
      </c>
    </row>
    <row r="232" spans="1:8">
      <c r="A232" s="21" t="s">
        <v>496</v>
      </c>
      <c r="B232" s="13" t="s">
        <v>497</v>
      </c>
      <c r="C232" s="13"/>
      <c r="D232" s="13"/>
      <c r="E232" s="5" t="s">
        <v>258</v>
      </c>
      <c r="F232" s="7">
        <f>IF(OR(E232="Oui",H232="Oui"),"Oui","Non")</f>
        <v>0</v>
      </c>
      <c r="G232" s="17" t="s">
        <v>495</v>
      </c>
      <c r="H232" s="7">
        <f>IF(AND(ISNUMBER($B$204),$B$204&lt;1),"Oui","")</f>
        <v>0</v>
      </c>
    </row>
    <row r="233" spans="1:8">
      <c r="A233" s="21" t="s">
        <v>498</v>
      </c>
      <c r="B233" s="13" t="s">
        <v>499</v>
      </c>
      <c r="C233" s="13"/>
      <c r="D233" s="13"/>
      <c r="E233" s="5" t="s">
        <v>258</v>
      </c>
      <c r="F233" s="7">
        <f>IF(OR(E233="Oui",H233="Oui"),"Oui","Non")</f>
        <v>0</v>
      </c>
      <c r="G233" s="17" t="s">
        <v>483</v>
      </c>
      <c r="H233" s="7"/>
    </row>
    <row r="235" spans="1:8">
      <c r="A235" s="3" t="s">
        <v>500</v>
      </c>
      <c r="B235" s="3"/>
      <c r="C235" s="3"/>
      <c r="D235" s="3"/>
      <c r="E235" s="3"/>
      <c r="F235" s="3"/>
      <c r="G235" s="3"/>
      <c r="H235" s="3"/>
    </row>
    <row r="236" spans="1:8">
      <c r="A236" s="11" t="s">
        <v>18</v>
      </c>
      <c r="B236" s="11" t="s">
        <v>130</v>
      </c>
      <c r="C236" s="11" t="s">
        <v>501</v>
      </c>
      <c r="D236" s="11" t="s">
        <v>502</v>
      </c>
      <c r="E236" s="11" t="s">
        <v>469</v>
      </c>
      <c r="F236" s="11" t="s">
        <v>131</v>
      </c>
      <c r="G236" s="11" t="s">
        <v>503</v>
      </c>
    </row>
    <row r="237" spans="1:8" ht="27" customHeight="1">
      <c r="A237" s="21" t="s">
        <v>132</v>
      </c>
      <c r="B237" s="13" t="s">
        <v>133</v>
      </c>
      <c r="C237" s="19">
        <f>$D$133</f>
        <v>0</v>
      </c>
      <c r="D237" s="19">
        <f>P_C1</f>
        <v>0</v>
      </c>
      <c r="E237" s="7">
        <f>IF($D$133="","n.r.",IF($D$133&lt;P_C1,"Oui","Non"))</f>
        <v>0</v>
      </c>
      <c r="F237" s="15">
        <f>INDEX(P_PlafNiv,1)</f>
        <v>0</v>
      </c>
      <c r="G237" s="15">
        <f>IF(E237="Oui",F237,10)</f>
        <v>0</v>
      </c>
    </row>
    <row r="238" spans="1:8" ht="27" customHeight="1">
      <c r="A238" s="21" t="s">
        <v>134</v>
      </c>
      <c r="B238" s="13" t="s">
        <v>135</v>
      </c>
      <c r="C238" s="19">
        <f>$D$133</f>
        <v>0</v>
      </c>
      <c r="D238" s="18">
        <f>$B$67</f>
        <v>0</v>
      </c>
      <c r="E238" s="7">
        <f>IF(OR($D$133="",$B$67=""),"n.r.",IF($D$133&lt;$B$67,"Oui","Non"))</f>
        <v>0</v>
      </c>
      <c r="F238" s="15">
        <f>INDEX(P_PlafNiv,2)</f>
        <v>0</v>
      </c>
      <c r="G238" s="15">
        <f>IF(E238="Oui",F238,10)</f>
        <v>0</v>
      </c>
    </row>
    <row r="239" spans="1:8" ht="27" customHeight="1">
      <c r="A239" s="21" t="s">
        <v>136</v>
      </c>
      <c r="B239" s="13" t="s">
        <v>137</v>
      </c>
      <c r="C239" s="19">
        <f>$D$134</f>
        <v>0</v>
      </c>
      <c r="D239" s="19">
        <f>P_C3</f>
        <v>0</v>
      </c>
      <c r="E239" s="7">
        <f>IF($D$134="","n.r.",IF($D$134&lt;P_C3,"Oui","Non"))</f>
        <v>0</v>
      </c>
      <c r="F239" s="15">
        <f>INDEX(P_PlafNiv,3)</f>
        <v>0</v>
      </c>
      <c r="G239" s="15">
        <f>IF(E239="Oui",F239,10)</f>
        <v>0</v>
      </c>
    </row>
    <row r="240" spans="1:8" ht="27" customHeight="1">
      <c r="A240" s="21" t="s">
        <v>138</v>
      </c>
      <c r="B240" s="13" t="s">
        <v>139</v>
      </c>
      <c r="C240" s="18">
        <f>$B$151</f>
        <v>0</v>
      </c>
      <c r="D240" s="18">
        <f>P_C4</f>
        <v>0</v>
      </c>
      <c r="E240" s="7">
        <f>IF($B$151="","n.r.",IF($B$151&lt;P_C4,"Oui","Non"))</f>
        <v>0</v>
      </c>
      <c r="F240" s="15">
        <f>INDEX(P_PlafNiv,4)</f>
        <v>0</v>
      </c>
      <c r="G240" s="15">
        <f>IF(E240="Oui",F240,10)</f>
        <v>0</v>
      </c>
    </row>
    <row r="241" spans="1:8" ht="27" customHeight="1">
      <c r="A241" s="21" t="s">
        <v>140</v>
      </c>
      <c r="B241" s="13" t="s">
        <v>141</v>
      </c>
      <c r="C241" s="13">
        <f>IF($B$158="","",$B$158&amp;" ans / dette "&amp;$B$159&amp;" ans")</f>
        <v>0</v>
      </c>
      <c r="D241" s="13">
        <f>"contrat &lt; dette"</f>
        <v>0</v>
      </c>
      <c r="E241" s="7">
        <f>IF($B$15="R4","n.a.",IF(OR($B$158="",$B$159=""),"n.r.",IF(AND($B$158&lt;$B$159,$B$160&lt;&gt;"Oui"),"Oui","Non")))</f>
        <v>0</v>
      </c>
      <c r="F241" s="15">
        <f>INDEX(P_PlafNiv,5)</f>
        <v>0</v>
      </c>
      <c r="G241" s="15">
        <f>IF(E241="Oui",F241,10)</f>
        <v>0</v>
      </c>
    </row>
    <row r="242" spans="1:8" ht="27" customHeight="1">
      <c r="A242" s="21" t="s">
        <v>142</v>
      </c>
      <c r="B242" s="13" t="s">
        <v>143</v>
      </c>
      <c r="C242" s="27">
        <f>$B$153</f>
        <v>0</v>
      </c>
      <c r="D242" s="27">
        <f>P_C6</f>
        <v>0</v>
      </c>
      <c r="E242" s="7">
        <f>IF($B$153="","n.r.",IF($B$153&gt;P_C6,"Oui","Non"))</f>
        <v>0</v>
      </c>
      <c r="F242" s="15">
        <f>INDEX(P_PlafNiv,6)</f>
        <v>0</v>
      </c>
      <c r="G242" s="15">
        <f>IF(E242="Oui",F242,10)</f>
        <v>0</v>
      </c>
    </row>
    <row r="243" spans="1:8" ht="27" customHeight="1">
      <c r="A243" s="21" t="s">
        <v>144</v>
      </c>
      <c r="B243" s="13" t="s">
        <v>145</v>
      </c>
      <c r="C243" s="20">
        <f>$B$152</f>
        <v>0</v>
      </c>
      <c r="D243" s="20">
        <f>P_C7</f>
        <v>0</v>
      </c>
      <c r="E243" s="7">
        <f>IF($B$152="","n.r.",IF($B$152&lt;P_C7,"Oui","Non"))</f>
        <v>0</v>
      </c>
      <c r="F243" s="15">
        <f>INDEX(P_PlafNiv,7)</f>
        <v>0</v>
      </c>
      <c r="G243" s="15">
        <f>IF(E243="Oui",F243,10)</f>
        <v>0</v>
      </c>
    </row>
    <row r="244" spans="1:8" ht="27" customHeight="1">
      <c r="A244" s="21" t="s">
        <v>146</v>
      </c>
      <c r="B244" s="13" t="s">
        <v>147</v>
      </c>
      <c r="C244" s="27">
        <f>$B$154</f>
        <v>0</v>
      </c>
      <c r="D244" s="27">
        <f>P_C8</f>
        <v>0</v>
      </c>
      <c r="E244" s="7">
        <f>IF($B$154="","n.r.",IF(AND($B$154&gt;P_C8,$B$155&lt;&gt;"Oui"),"Oui","Non"))</f>
        <v>0</v>
      </c>
      <c r="F244" s="15">
        <f>INDEX(P_PlafNiv,8)</f>
        <v>0</v>
      </c>
      <c r="G244" s="15">
        <f>IF(E244="Oui",F244,10)</f>
        <v>0</v>
      </c>
    </row>
    <row r="245" spans="1:8" ht="27" customHeight="1">
      <c r="A245" s="21" t="s">
        <v>148</v>
      </c>
      <c r="B245" s="13" t="s">
        <v>149</v>
      </c>
      <c r="C245" s="27">
        <f>$B$49</f>
        <v>0</v>
      </c>
      <c r="D245" s="27">
        <f>P_C9</f>
        <v>0</v>
      </c>
      <c r="E245" s="7">
        <f>IF($B$49="","n.r.",IF($B$49&gt;P_C9,"Oui","Non"))</f>
        <v>0</v>
      </c>
      <c r="F245" s="15">
        <f>INDEX(P_PlafNiv,9)</f>
        <v>0</v>
      </c>
      <c r="G245" s="15">
        <f>IF(E245="Oui",F245,10)</f>
        <v>0</v>
      </c>
    </row>
    <row r="246" spans="1:8" ht="27" customHeight="1">
      <c r="A246" s="21" t="s">
        <v>150</v>
      </c>
      <c r="B246" s="13" t="s">
        <v>151</v>
      </c>
      <c r="C246" s="13">
        <f>IF($B$156="","",FIXED($B$156*100,0)&amp;" % — "&amp;$B$157)</f>
        <v>0</v>
      </c>
      <c r="D246" s="13">
        <f>P_C10</f>
        <v>0</v>
      </c>
      <c r="E246" s="7">
        <f>IF(OR($B$156="",$B$157=""),"n.r.",IF(AND($B$156&gt;P_C10,$B$157&lt;&gt;INDEX(L_QualAch,1)),"Oui","Non"))</f>
        <v>0</v>
      </c>
      <c r="F246" s="15">
        <f>INDEX(P_PlafNiv,10)</f>
        <v>0</v>
      </c>
      <c r="G246" s="15">
        <f>IF(E246="Oui",F246,10)</f>
        <v>0</v>
      </c>
    </row>
    <row r="247" spans="1:8" ht="27" customHeight="1">
      <c r="A247" s="21" t="s">
        <v>152</v>
      </c>
      <c r="B247" s="13" t="s">
        <v>153</v>
      </c>
      <c r="C247" s="13">
        <f>$B$32</f>
        <v>0</v>
      </c>
      <c r="D247" s="13">
        <f>"élevé sans plan"</f>
        <v>0</v>
      </c>
      <c r="E247" s="7">
        <f>IF($B$32="","n.r.",IF(AND($B$32="Oui",$B$161&lt;&gt;"Oui"),"Oui","Non"))</f>
        <v>0</v>
      </c>
      <c r="F247" s="15">
        <f>INDEX(P_PlafNiv,11)</f>
        <v>0</v>
      </c>
      <c r="G247" s="15">
        <f>IF(E247="Oui",F247,10)</f>
        <v>0</v>
      </c>
    </row>
    <row r="248" spans="1:8" ht="27" customHeight="1">
      <c r="A248" s="21" t="s">
        <v>154</v>
      </c>
      <c r="B248" s="13" t="s">
        <v>155</v>
      </c>
      <c r="C248" s="13">
        <f>$B$162</f>
        <v>0</v>
      </c>
      <c r="D248" s="13">
        <f>"insuffisante"</f>
        <v>0</v>
      </c>
      <c r="E248" s="7">
        <f>IF($B$162="","n.r.",IF($B$162="Non","Oui","Non"))</f>
        <v>0</v>
      </c>
      <c r="F248" s="15">
        <f>INDEX(P_PlafNiv,12)</f>
        <v>0</v>
      </c>
      <c r="G248" s="15">
        <f>IF(E248="Oui",F248,10)</f>
        <v>0</v>
      </c>
    </row>
    <row r="249" spans="1:8" ht="27" customHeight="1">
      <c r="A249" s="21" t="s">
        <v>156</v>
      </c>
      <c r="B249" s="13" t="s">
        <v>157</v>
      </c>
      <c r="C249" s="13">
        <f>IF($B$163="","",$B$163&amp;IF($B$164="",""," — écart "&amp;$B$164&amp;" ans"))</f>
        <v>0</v>
      </c>
      <c r="D249" s="13">
        <f>P_C13</f>
        <v>0</v>
      </c>
      <c r="E249" s="7">
        <f>IF($B$163="","n.r.",IF(AND($B$163="Non",N($B$164)&gt;P_C13),"Oui","Non"))</f>
        <v>0</v>
      </c>
      <c r="F249" s="15">
        <f>INDEX(P_PlafNiv,13)</f>
        <v>0</v>
      </c>
      <c r="G249" s="15">
        <f>IF(E249="Oui",F249,10)</f>
        <v>0</v>
      </c>
    </row>
    <row r="250" spans="1:8" ht="27" customHeight="1">
      <c r="A250" s="21" t="s">
        <v>158</v>
      </c>
      <c r="B250" s="13" t="s">
        <v>159</v>
      </c>
      <c r="C250" s="13">
        <f>$B$165</f>
        <v>0</v>
      </c>
      <c r="D250" s="13">
        <f>"au-delà limite"</f>
        <v>0</v>
      </c>
      <c r="E250" s="7">
        <f>IF($B$165="","n.r.",IF($B$165="Oui","Oui","Non"))</f>
        <v>0</v>
      </c>
      <c r="F250" s="15">
        <f>INDEX(P_PlafNiv,14)</f>
        <v>0</v>
      </c>
      <c r="G250" s="15">
        <f>IF(E250="Oui",F250,10)</f>
        <v>0</v>
      </c>
    </row>
    <row r="251" spans="1:8" ht="27" customHeight="1">
      <c r="A251" s="21" t="s">
        <v>160</v>
      </c>
      <c r="B251" s="13" t="s">
        <v>161</v>
      </c>
      <c r="C251" s="27">
        <f>$B$203</f>
        <v>0</v>
      </c>
      <c r="D251" s="27">
        <f>P_COUV</f>
        <v>0</v>
      </c>
      <c r="E251" s="7">
        <f>IF(OR($B$203="",$B$204=""),"n.r.",IF(OR($B$203&lt;P_COUV,$B$204&lt;1),"Oui","Non"))</f>
        <v>0</v>
      </c>
      <c r="F251" s="15">
        <f>INDEX(P_PlafNiv,15)</f>
        <v>0</v>
      </c>
      <c r="G251" s="15">
        <f>IF(E251="Oui",F251,10)</f>
        <v>0</v>
      </c>
    </row>
    <row r="252" spans="1:8">
      <c r="A252" s="21" t="s">
        <v>504</v>
      </c>
      <c r="B252" s="14">
        <f>MIN(G237:G251)</f>
        <v>0</v>
      </c>
    </row>
    <row r="254" spans="1:8">
      <c r="A254" s="3" t="s">
        <v>505</v>
      </c>
      <c r="B254" s="3"/>
      <c r="C254" s="3"/>
      <c r="D254" s="3"/>
      <c r="E254" s="3"/>
      <c r="F254" s="3"/>
      <c r="G254" s="3"/>
      <c r="H254" s="3"/>
    </row>
    <row r="255" spans="1:8" ht="30" customHeight="1">
      <c r="A255" s="21" t="s">
        <v>506</v>
      </c>
      <c r="B255" s="25">
        <f>IF(COUNTIF(F222:F225,"Oui")&gt;0,"—",IF(B218="","",MIN(B218,B252)))</f>
        <v>0</v>
      </c>
    </row>
    <row r="256" spans="1:8">
      <c r="A256" s="21" t="s">
        <v>286</v>
      </c>
      <c r="B256" s="34">
        <f>IF(B218="","Dossier incomplet",IF(COUNTIF(F222:F225,"Oui")&gt;0,"Hors périmètre — aucune note produite",IF(COUNTIF(F226:F233,"Oui")&gt;0,"Note provisoire — stade bloqué : "&amp;TRIM(IF(F226="Oui","B1 (Octroi)  ","")&amp;IF(F227="Oui","B2 (Octroi)  ","")&amp;IF(F228="Oui","B3 (Décaissement)  ","")&amp;IF(F229="Oui","B4 (Octroi)  ","")&amp;IF(F230="Oui","B5 (Décaissement)  ","")&amp;IF(F231="Oui","B6 (Notation validée)  ","")&amp;IF(F232="Oui","B7 (Notation validée)  ","")&amp;IF(F233="Oui","B8 (Octroi)  ","")),IF(E251="Oui","Note provisoire — évaluation partielle (C15)","Note validable, à soumettre au comité"))))</f>
        <v>0</v>
      </c>
      <c r="C256" s="34"/>
      <c r="D256" s="34"/>
      <c r="E256" s="34"/>
      <c r="F256" s="34"/>
      <c r="G256" s="34"/>
      <c r="H256" s="34"/>
    </row>
    <row r="258" spans="1:8">
      <c r="A258" s="3" t="s">
        <v>507</v>
      </c>
      <c r="B258" s="3"/>
      <c r="C258" s="3"/>
      <c r="D258" s="3"/>
      <c r="E258" s="3"/>
      <c r="F258" s="3"/>
      <c r="G258" s="3"/>
      <c r="H258" s="3"/>
    </row>
    <row r="259" spans="1:8" ht="60" customHeight="1">
      <c r="A259" s="33" t="s">
        <v>726</v>
      </c>
      <c r="B259" s="33"/>
      <c r="C259" s="33"/>
      <c r="D259" s="33"/>
      <c r="E259" s="33"/>
      <c r="F259" s="33"/>
      <c r="G259" s="33"/>
      <c r="H259" s="33"/>
    </row>
  </sheetData>
  <sheetProtection sheet="1" objects="1" scenarios="1" formatColumns="0" formatRows="0"/>
  <mergeCells count="72">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A21:H21"/>
    <mergeCell ref="C22:H22"/>
    <mergeCell ref="C34:H34"/>
    <mergeCell ref="C35:H35"/>
    <mergeCell ref="A37:H37"/>
    <mergeCell ref="A52:H52"/>
    <mergeCell ref="B53:H53"/>
    <mergeCell ref="B54:H54"/>
    <mergeCell ref="B55:H55"/>
    <mergeCell ref="B56:H56"/>
    <mergeCell ref="B57:H57"/>
    <mergeCell ref="B58:H58"/>
    <mergeCell ref="B59:H59"/>
    <mergeCell ref="B60:H60"/>
    <mergeCell ref="A62:H62"/>
    <mergeCell ref="A69:H69"/>
    <mergeCell ref="C70:H70"/>
    <mergeCell ref="A140:H140"/>
    <mergeCell ref="E141:H141"/>
    <mergeCell ref="E142:H142"/>
    <mergeCell ref="E143:H143"/>
    <mergeCell ref="E144:H144"/>
    <mergeCell ref="E145:H145"/>
    <mergeCell ref="E146:H146"/>
    <mergeCell ref="E147:H147"/>
    <mergeCell ref="A149:H149"/>
    <mergeCell ref="A167:H167"/>
    <mergeCell ref="E168:H168"/>
    <mergeCell ref="E169:H169"/>
    <mergeCell ref="E173:H173"/>
    <mergeCell ref="E177:H177"/>
    <mergeCell ref="E181:H181"/>
    <mergeCell ref="E185:H185"/>
    <mergeCell ref="E189:H189"/>
    <mergeCell ref="E193:H193"/>
    <mergeCell ref="E197:H197"/>
    <mergeCell ref="A206:H206"/>
    <mergeCell ref="A220:H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A235:H235"/>
    <mergeCell ref="A254:H254"/>
    <mergeCell ref="B256:H256"/>
    <mergeCell ref="A258:H258"/>
    <mergeCell ref="A259:H259"/>
  </mergeCells>
  <conditionalFormatting sqref="A170:D170">
    <cfRule type="expression" dxfId="4" priority="20">
      <formula>$K$170=0</formula>
    </cfRule>
  </conditionalFormatting>
  <conditionalFormatting sqref="A171:D171">
    <cfRule type="expression" dxfId="4" priority="22">
      <formula>$K$171=0</formula>
    </cfRule>
  </conditionalFormatting>
  <conditionalFormatting sqref="A172:D172">
    <cfRule type="expression" dxfId="4" priority="24">
      <formula>$K$172=0</formula>
    </cfRule>
  </conditionalFormatting>
  <conditionalFormatting sqref="A174:D174">
    <cfRule type="expression" dxfId="4" priority="26">
      <formula>$K$174=0</formula>
    </cfRule>
  </conditionalFormatting>
  <conditionalFormatting sqref="A175:D175">
    <cfRule type="expression" dxfId="4" priority="28">
      <formula>$K$175=0</formula>
    </cfRule>
  </conditionalFormatting>
  <conditionalFormatting sqref="A176:D176">
    <cfRule type="expression" dxfId="4" priority="30">
      <formula>$K$176=0</formula>
    </cfRule>
  </conditionalFormatting>
  <conditionalFormatting sqref="A178:D178">
    <cfRule type="expression" dxfId="4" priority="32">
      <formula>$K$178=0</formula>
    </cfRule>
  </conditionalFormatting>
  <conditionalFormatting sqref="A179:D179">
    <cfRule type="expression" dxfId="4" priority="34">
      <formula>$K$179=0</formula>
    </cfRule>
  </conditionalFormatting>
  <conditionalFormatting sqref="A180:D180">
    <cfRule type="expression" dxfId="4" priority="36">
      <formula>$K$180=0</formula>
    </cfRule>
  </conditionalFormatting>
  <conditionalFormatting sqref="A182:D182">
    <cfRule type="expression" dxfId="4" priority="38">
      <formula>$K$182=0</formula>
    </cfRule>
  </conditionalFormatting>
  <conditionalFormatting sqref="A183:D183">
    <cfRule type="expression" dxfId="4" priority="40">
      <formula>$K$183=0</formula>
    </cfRule>
  </conditionalFormatting>
  <conditionalFormatting sqref="A184:D184">
    <cfRule type="expression" dxfId="4" priority="42">
      <formula>$K$184=0</formula>
    </cfRule>
  </conditionalFormatting>
  <conditionalFormatting sqref="A186:D186">
    <cfRule type="expression" dxfId="4" priority="44">
      <formula>$K$186=0</formula>
    </cfRule>
  </conditionalFormatting>
  <conditionalFormatting sqref="A187:D187">
    <cfRule type="expression" dxfId="4" priority="46">
      <formula>$K$187=0</formula>
    </cfRule>
  </conditionalFormatting>
  <conditionalFormatting sqref="A188:D188">
    <cfRule type="expression" dxfId="4" priority="48">
      <formula>$K$188=0</formula>
    </cfRule>
  </conditionalFormatting>
  <conditionalFormatting sqref="A190:D190">
    <cfRule type="expression" dxfId="4" priority="50">
      <formula>$K$190=0</formula>
    </cfRule>
  </conditionalFormatting>
  <conditionalFormatting sqref="A191:D191">
    <cfRule type="expression" dxfId="4" priority="52">
      <formula>$K$191=0</formula>
    </cfRule>
  </conditionalFormatting>
  <conditionalFormatting sqref="A192:D192">
    <cfRule type="expression" dxfId="4" priority="54">
      <formula>$K$192=0</formula>
    </cfRule>
  </conditionalFormatting>
  <conditionalFormatting sqref="A194:D194">
    <cfRule type="expression" dxfId="4" priority="56">
      <formula>$K$194=0</formula>
    </cfRule>
  </conditionalFormatting>
  <conditionalFormatting sqref="A195:D195">
    <cfRule type="expression" dxfId="4" priority="58">
      <formula>$K$195=0</formula>
    </cfRule>
  </conditionalFormatting>
  <conditionalFormatting sqref="A196:D196">
    <cfRule type="expression" dxfId="4" priority="60">
      <formula>$K$196=0</formula>
    </cfRule>
  </conditionalFormatting>
  <conditionalFormatting sqref="A198:D198">
    <cfRule type="expression" dxfId="4" priority="62">
      <formula>$K$198=0</formula>
    </cfRule>
  </conditionalFormatting>
  <conditionalFormatting sqref="A199:D199">
    <cfRule type="expression" dxfId="4" priority="64">
      <formula>$K$199=0</formula>
    </cfRule>
  </conditionalFormatting>
  <conditionalFormatting sqref="A200:D200">
    <cfRule type="expression" dxfId="4" priority="66">
      <formula>$K$200=0</formula>
    </cfRule>
  </conditionalFormatting>
  <conditionalFormatting sqref="A201:D201">
    <cfRule type="expression" dxfId="4" priority="68">
      <formula>$K$201=0</formula>
    </cfRule>
  </conditionalFormatting>
  <conditionalFormatting sqref="B145">
    <cfRule type="expression" dxfId="2" priority="143">
      <formula>NOT($B$145&lt;&gt;"")</formula>
    </cfRule>
  </conditionalFormatting>
  <conditionalFormatting sqref="B146">
    <cfRule type="expression" dxfId="2" priority="144">
      <formula>NOT($B$146&lt;&gt;"")</formula>
    </cfRule>
  </conditionalFormatting>
  <conditionalFormatting sqref="B147">
    <cfRule type="expression" dxfId="2" priority="145">
      <formula>NOT($B$147&lt;&gt;"")</formula>
    </cfRule>
  </conditionalFormatting>
  <conditionalFormatting sqref="B15">
    <cfRule type="expression" dxfId="2" priority="124">
      <formula>NOT($B$15&lt;&gt;"")</formula>
    </cfRule>
  </conditionalFormatting>
  <conditionalFormatting sqref="B150">
    <cfRule type="expression" dxfId="2" priority="146">
      <formula>NOT(OR($B$17="P1",$B$150&lt;&gt;""))</formula>
    </cfRule>
  </conditionalFormatting>
  <conditionalFormatting sqref="B151">
    <cfRule type="expression" dxfId="2" priority="147">
      <formula>NOT(ISNUMBER($B$151))</formula>
    </cfRule>
  </conditionalFormatting>
  <conditionalFormatting sqref="B152">
    <cfRule type="expression" dxfId="2" priority="148">
      <formula>NOT(ISNUMBER($B$152))</formula>
    </cfRule>
  </conditionalFormatting>
  <conditionalFormatting sqref="B153">
    <cfRule type="expression" dxfId="2" priority="149">
      <formula>NOT(ISNUMBER($B$153))</formula>
    </cfRule>
  </conditionalFormatting>
  <conditionalFormatting sqref="B154">
    <cfRule type="expression" dxfId="2" priority="150">
      <formula>NOT(ISNUMBER($B$154))</formula>
    </cfRule>
  </conditionalFormatting>
  <conditionalFormatting sqref="B155">
    <cfRule type="expression" dxfId="2" priority="151">
      <formula>NOT(OR(N($B$154)&lt;=P_C8,$B$155&lt;&gt;""))</formula>
    </cfRule>
  </conditionalFormatting>
  <conditionalFormatting sqref="B156">
    <cfRule type="expression" dxfId="2" priority="152">
      <formula>NOT(ISNUMBER($B$156))</formula>
    </cfRule>
  </conditionalFormatting>
  <conditionalFormatting sqref="B157">
    <cfRule type="expression" dxfId="2" priority="153">
      <formula>NOT($B$157&lt;&gt;"")</formula>
    </cfRule>
  </conditionalFormatting>
  <conditionalFormatting sqref="B158">
    <cfRule type="expression" dxfId="2" priority="154">
      <formula>NOT(OR($B$15="R4",ISNUMBER($B$158)))</formula>
    </cfRule>
  </conditionalFormatting>
  <conditionalFormatting sqref="B159">
    <cfRule type="expression" dxfId="2" priority="155">
      <formula>NOT(ISNUMBER($B$159))</formula>
    </cfRule>
  </conditionalFormatting>
  <conditionalFormatting sqref="B16">
    <cfRule type="expression" dxfId="2" priority="125">
      <formula>NOT($B$16&lt;&gt;"")</formula>
    </cfRule>
  </conditionalFormatting>
  <conditionalFormatting sqref="B160">
    <cfRule type="expression" dxfId="2" priority="156">
      <formula>NOT(OR(NOT(AND(ISNUMBER($B$158),ISNUMBER($B$159))),N($B$158)&gt;=N($B$159),$B$160&lt;&gt;""))</formula>
    </cfRule>
  </conditionalFormatting>
  <conditionalFormatting sqref="B161">
    <cfRule type="expression" dxfId="2" priority="157">
      <formula>NOT(OR($B$32&lt;&gt;"Oui",$B$161&lt;&gt;""))</formula>
    </cfRule>
  </conditionalFormatting>
  <conditionalFormatting sqref="B162">
    <cfRule type="expression" dxfId="2" priority="158">
      <formula>NOT($B$162&lt;&gt;"")</formula>
    </cfRule>
  </conditionalFormatting>
  <conditionalFormatting sqref="B163">
    <cfRule type="expression" dxfId="2" priority="159">
      <formula>NOT($B$163&lt;&gt;"")</formula>
    </cfRule>
  </conditionalFormatting>
  <conditionalFormatting sqref="B164">
    <cfRule type="expression" dxfId="2" priority="160">
      <formula>NOT(OR($B$163&lt;&gt;"Non",ISNUMBER($B$164)))</formula>
    </cfRule>
  </conditionalFormatting>
  <conditionalFormatting sqref="B165">
    <cfRule type="expression" dxfId="2" priority="161">
      <formula>NOT($B$165&lt;&gt;"")</formula>
    </cfRule>
  </conditionalFormatting>
  <conditionalFormatting sqref="B17">
    <cfRule type="expression" dxfId="2" priority="126">
      <formula>NOT($B$17&lt;&gt;"")</formula>
    </cfRule>
  </conditionalFormatting>
  <conditionalFormatting sqref="B170">
    <cfRule type="expression" dxfId="2" priority="21">
      <formula>AND($K$170=1,$B$170="")</formula>
    </cfRule>
  </conditionalFormatting>
  <conditionalFormatting sqref="B171">
    <cfRule type="expression" dxfId="2" priority="23">
      <formula>AND($K$171=1,$B$171="")</formula>
    </cfRule>
  </conditionalFormatting>
  <conditionalFormatting sqref="B172">
    <cfRule type="expression" dxfId="2" priority="25">
      <formula>AND($K$172=1,$B$172="")</formula>
    </cfRule>
  </conditionalFormatting>
  <conditionalFormatting sqref="B174">
    <cfRule type="expression" dxfId="2" priority="27">
      <formula>AND($K$174=1,$B$174="")</formula>
    </cfRule>
  </conditionalFormatting>
  <conditionalFormatting sqref="B175">
    <cfRule type="expression" dxfId="2" priority="29">
      <formula>AND($K$175=1,$B$175="")</formula>
    </cfRule>
  </conditionalFormatting>
  <conditionalFormatting sqref="B176">
    <cfRule type="expression" dxfId="2" priority="31">
      <formula>AND($K$176=1,$B$176="")</formula>
    </cfRule>
  </conditionalFormatting>
  <conditionalFormatting sqref="B178">
    <cfRule type="expression" dxfId="2" priority="33">
      <formula>AND($K$178=1,$B$178="")</formula>
    </cfRule>
  </conditionalFormatting>
  <conditionalFormatting sqref="B179">
    <cfRule type="expression" dxfId="2" priority="35">
      <formula>AND($K$179=1,$B$179="")</formula>
    </cfRule>
  </conditionalFormatting>
  <conditionalFormatting sqref="B18">
    <cfRule type="expression" dxfId="2" priority="127">
      <formula>NOT($B$18&lt;&gt;"")</formula>
    </cfRule>
  </conditionalFormatting>
  <conditionalFormatting sqref="B180">
    <cfRule type="expression" dxfId="2" priority="37">
      <formula>AND($K$180=1,$B$180="")</formula>
    </cfRule>
  </conditionalFormatting>
  <conditionalFormatting sqref="B182">
    <cfRule type="expression" dxfId="2" priority="39">
      <formula>AND($K$182=1,$B$182="")</formula>
    </cfRule>
  </conditionalFormatting>
  <conditionalFormatting sqref="B183">
    <cfRule type="expression" dxfId="2" priority="41">
      <formula>AND($K$183=1,$B$183="")</formula>
    </cfRule>
  </conditionalFormatting>
  <conditionalFormatting sqref="B184">
    <cfRule type="expression" dxfId="2" priority="43">
      <formula>AND($K$184=1,$B$184="")</formula>
    </cfRule>
  </conditionalFormatting>
  <conditionalFormatting sqref="B186">
    <cfRule type="expression" dxfId="2" priority="45">
      <formula>AND($K$186=1,$B$186="")</formula>
    </cfRule>
  </conditionalFormatting>
  <conditionalFormatting sqref="B187">
    <cfRule type="expression" dxfId="2" priority="47">
      <formula>AND($K$187=1,$B$187="")</formula>
    </cfRule>
  </conditionalFormatting>
  <conditionalFormatting sqref="B188">
    <cfRule type="expression" dxfId="2" priority="49">
      <formula>AND($K$188=1,$B$188="")</formula>
    </cfRule>
  </conditionalFormatting>
  <conditionalFormatting sqref="B190">
    <cfRule type="expression" dxfId="2" priority="51">
      <formula>AND($K$190=1,$B$190="")</formula>
    </cfRule>
  </conditionalFormatting>
  <conditionalFormatting sqref="B191">
    <cfRule type="expression" dxfId="2" priority="53">
      <formula>AND($K$191=1,$B$191="")</formula>
    </cfRule>
  </conditionalFormatting>
  <conditionalFormatting sqref="B192">
    <cfRule type="expression" dxfId="2" priority="55">
      <formula>AND($K$192=1,$B$192="")</formula>
    </cfRule>
  </conditionalFormatting>
  <conditionalFormatting sqref="B194">
    <cfRule type="expression" dxfId="2" priority="57">
      <formula>AND($K$194=1,$B$194="")</formula>
    </cfRule>
  </conditionalFormatting>
  <conditionalFormatting sqref="B195">
    <cfRule type="expression" dxfId="2" priority="59">
      <formula>AND($K$195=1,$B$195="")</formula>
    </cfRule>
  </conditionalFormatting>
  <conditionalFormatting sqref="B196">
    <cfRule type="expression" dxfId="2" priority="61">
      <formula>AND($K$196=1,$B$196="")</formula>
    </cfRule>
  </conditionalFormatting>
  <conditionalFormatting sqref="B198">
    <cfRule type="expression" dxfId="2" priority="63">
      <formula>AND($K$198=1,$B$198="")</formula>
    </cfRule>
  </conditionalFormatting>
  <conditionalFormatting sqref="B199">
    <cfRule type="expression" dxfId="2" priority="65">
      <formula>AND($K$199=1,$B$199="")</formula>
    </cfRule>
  </conditionalFormatting>
  <conditionalFormatting sqref="B200">
    <cfRule type="expression" dxfId="2" priority="67">
      <formula>AND($K$200=1,$B$200="")</formula>
    </cfRule>
  </conditionalFormatting>
  <conditionalFormatting sqref="B201">
    <cfRule type="expression" dxfId="2" priority="69">
      <formula>AND($K$201=1,$B$201="")</formula>
    </cfRule>
  </conditionalFormatting>
  <conditionalFormatting sqref="B23">
    <cfRule type="expression" dxfId="2" priority="128">
      <formula>NOT(ISNUMBER($B$23))</formula>
    </cfRule>
  </conditionalFormatting>
  <conditionalFormatting sqref="B24">
    <cfRule type="expression" dxfId="2" priority="129">
      <formula>NOT($B$24&lt;&gt;"")</formula>
    </cfRule>
  </conditionalFormatting>
  <conditionalFormatting sqref="B25">
    <cfRule type="expression" dxfId="2" priority="130">
      <formula>NOT(ISNUMBER($B$25))</formula>
    </cfRule>
  </conditionalFormatting>
  <conditionalFormatting sqref="B26">
    <cfRule type="expression" dxfId="2" priority="131">
      <formula>NOT($B$26&lt;&gt;"")</formula>
    </cfRule>
  </conditionalFormatting>
  <conditionalFormatting sqref="B27">
    <cfRule type="expression" dxfId="2" priority="132">
      <formula>NOT(OR(NOT($B$17="P1"),$B$27&lt;&gt;""))</formula>
    </cfRule>
  </conditionalFormatting>
  <conditionalFormatting sqref="B28">
    <cfRule type="expression" dxfId="2" priority="133">
      <formula>NOT($B$28&lt;&gt;"")</formula>
    </cfRule>
  </conditionalFormatting>
  <conditionalFormatting sqref="B29">
    <cfRule type="expression" dxfId="2" priority="134">
      <formula>NOT($B$29&lt;&gt;"")</formula>
    </cfRule>
  </conditionalFormatting>
  <conditionalFormatting sqref="B30">
    <cfRule type="expression" dxfId="2" priority="135">
      <formula>NOT($B$30&lt;&gt;"")</formula>
    </cfRule>
  </conditionalFormatting>
  <conditionalFormatting sqref="B31">
    <cfRule type="expression" dxfId="2" priority="136">
      <formula>NOT($B$31&lt;&gt;"")</formula>
    </cfRule>
  </conditionalFormatting>
  <conditionalFormatting sqref="B32">
    <cfRule type="expression" dxfId="2" priority="137">
      <formula>NOT($B$32&lt;&gt;"")</formula>
    </cfRule>
  </conditionalFormatting>
  <conditionalFormatting sqref="B33">
    <cfRule type="expression" dxfId="2" priority="138">
      <formula>NOT(ISNUMBER($B$33))</formula>
    </cfRule>
  </conditionalFormatting>
  <conditionalFormatting sqref="B39">
    <cfRule type="expression" dxfId="2" priority="139">
      <formula>NOT(N($B$47)&gt;0)</formula>
    </cfRule>
  </conditionalFormatting>
  <conditionalFormatting sqref="B4">
    <cfRule type="expression" dxfId="1" priority="1">
      <formula>AND(ISNUMBER($B$4),$B$4=0)</formula>
    </cfRule>
    <cfRule type="expression" dxfId="2" priority="2">
      <formula>AND(ISNUMBER($B$4),$B$4&gt;0)</formula>
    </cfRule>
  </conditionalFormatting>
  <conditionalFormatting sqref="B50">
    <cfRule type="expression" dxfId="2" priority="141">
      <formula>NOT(OR(NOT(AND($B$17="P1",ISNUMBER($B$48),N($B$48)&gt;=P_N3_V,N($B$48)&lt;P_N3_F)),$B$50&lt;&gt;""))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70">
    <cfRule type="expression" dxfId="2" priority="142">
      <formula>NOT(ISNUMBER($B$70))</formula>
    </cfRule>
  </conditionalFormatting>
  <conditionalFormatting sqref="B72:C73">
    <cfRule type="expression" dxfId="2" priority="12">
      <formula>AND(COUNT($B$72:$B$131)&lt;2,B72="")</formula>
    </cfRule>
  </conditionalFormatting>
  <conditionalFormatting sqref="C72:C131">
    <cfRule type="expression" dxfId="2" priority="11">
      <formula>AND(ISNUMBER($B72),NOT(ISNUMBER($C72)))</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33">
    <cfRule type="cellIs" dxfId="0" priority="16" operator="equal">
      <formula>"Critique"</formula>
    </cfRule>
    <cfRule type="cellIs" dxfId="3" priority="17" operator="equal">
      <formula>"Vigilance"</formula>
    </cfRule>
  </conditionalFormatting>
  <conditionalFormatting sqref="E134">
    <cfRule type="cellIs" dxfId="0" priority="18" operator="equal">
      <formula>"Critique"</formula>
    </cfRule>
    <cfRule type="cellIs" dxfId="3" priority="19" operator="equal">
      <formula>"Vigilance"</formula>
    </cfRule>
  </conditionalFormatting>
  <conditionalFormatting sqref="E222">
    <cfRule type="expression" dxfId="2" priority="70">
      <formula>$E$222=""</formula>
    </cfRule>
  </conditionalFormatting>
  <conditionalFormatting sqref="E223">
    <cfRule type="expression" dxfId="2" priority="72">
      <formula>$E$223=""</formula>
    </cfRule>
  </conditionalFormatting>
  <conditionalFormatting sqref="E224">
    <cfRule type="expression" dxfId="2" priority="74">
      <formula>$E$224=""</formula>
    </cfRule>
  </conditionalFormatting>
  <conditionalFormatting sqref="E225">
    <cfRule type="expression" dxfId="2" priority="76">
      <formula>$E$225=""</formula>
    </cfRule>
  </conditionalFormatting>
  <conditionalFormatting sqref="E226">
    <cfRule type="expression" dxfId="2" priority="78">
      <formula>$E$226=""</formula>
    </cfRule>
  </conditionalFormatting>
  <conditionalFormatting sqref="E227">
    <cfRule type="expression" dxfId="2" priority="80">
      <formula>$E$227=""</formula>
    </cfRule>
  </conditionalFormatting>
  <conditionalFormatting sqref="E228">
    <cfRule type="expression" dxfId="2" priority="82">
      <formula>$E$228=""</formula>
    </cfRule>
  </conditionalFormatting>
  <conditionalFormatting sqref="E229">
    <cfRule type="expression" dxfId="2" priority="84">
      <formula>$E$229=""</formula>
    </cfRule>
  </conditionalFormatting>
  <conditionalFormatting sqref="E230">
    <cfRule type="expression" dxfId="2" priority="86">
      <formula>$E$230=""</formula>
    </cfRule>
  </conditionalFormatting>
  <conditionalFormatting sqref="E231">
    <cfRule type="expression" dxfId="2" priority="88">
      <formula>$E$231=""</formula>
    </cfRule>
  </conditionalFormatting>
  <conditionalFormatting sqref="E232">
    <cfRule type="expression" dxfId="2" priority="90">
      <formula>$E$232=""</formula>
    </cfRule>
  </conditionalFormatting>
  <conditionalFormatting sqref="E233">
    <cfRule type="expression" dxfId="2" priority="92">
      <formula>$E$233=""</formula>
    </cfRule>
  </conditionalFormatting>
  <conditionalFormatting sqref="E237">
    <cfRule type="cellIs" dxfId="0" priority="94" operator="equal">
      <formula>"Oui"</formula>
    </cfRule>
    <cfRule type="cellIs" dxfId="3" priority="95" operator="equal">
      <formula>"n.r."</formula>
    </cfRule>
  </conditionalFormatting>
  <conditionalFormatting sqref="E238">
    <cfRule type="cellIs" dxfId="0" priority="96" operator="equal">
      <formula>"Oui"</formula>
    </cfRule>
    <cfRule type="cellIs" dxfId="3" priority="97" operator="equal">
      <formula>"n.r."</formula>
    </cfRule>
  </conditionalFormatting>
  <conditionalFormatting sqref="E239">
    <cfRule type="cellIs" dxfId="0" priority="98" operator="equal">
      <formula>"Oui"</formula>
    </cfRule>
    <cfRule type="cellIs" dxfId="3" priority="99" operator="equal">
      <formula>"n.r."</formula>
    </cfRule>
  </conditionalFormatting>
  <conditionalFormatting sqref="E240">
    <cfRule type="cellIs" dxfId="0" priority="100" operator="equal">
      <formula>"Oui"</formula>
    </cfRule>
    <cfRule type="cellIs" dxfId="3" priority="101" operator="equal">
      <formula>"n.r."</formula>
    </cfRule>
  </conditionalFormatting>
  <conditionalFormatting sqref="E241">
    <cfRule type="cellIs" dxfId="0" priority="102" operator="equal">
      <formula>"Oui"</formula>
    </cfRule>
    <cfRule type="cellIs" dxfId="3" priority="103" operator="equal">
      <formula>"n.r."</formula>
    </cfRule>
  </conditionalFormatting>
  <conditionalFormatting sqref="E242">
    <cfRule type="cellIs" dxfId="0" priority="104" operator="equal">
      <formula>"Oui"</formula>
    </cfRule>
    <cfRule type="cellIs" dxfId="3" priority="105" operator="equal">
      <formula>"n.r."</formula>
    </cfRule>
  </conditionalFormatting>
  <conditionalFormatting sqref="E243">
    <cfRule type="cellIs" dxfId="0" priority="106" operator="equal">
      <formula>"Oui"</formula>
    </cfRule>
    <cfRule type="cellIs" dxfId="3" priority="107" operator="equal">
      <formula>"n.r."</formula>
    </cfRule>
  </conditionalFormatting>
  <conditionalFormatting sqref="E244">
    <cfRule type="cellIs" dxfId="0" priority="108" operator="equal">
      <formula>"Oui"</formula>
    </cfRule>
    <cfRule type="cellIs" dxfId="3" priority="109" operator="equal">
      <formula>"n.r."</formula>
    </cfRule>
  </conditionalFormatting>
  <conditionalFormatting sqref="E245">
    <cfRule type="cellIs" dxfId="0" priority="110" operator="equal">
      <formula>"Oui"</formula>
    </cfRule>
    <cfRule type="cellIs" dxfId="3" priority="111" operator="equal">
      <formula>"n.r."</formula>
    </cfRule>
  </conditionalFormatting>
  <conditionalFormatting sqref="E246">
    <cfRule type="cellIs" dxfId="0" priority="112" operator="equal">
      <formula>"Oui"</formula>
    </cfRule>
    <cfRule type="cellIs" dxfId="3" priority="113" operator="equal">
      <formula>"n.r."</formula>
    </cfRule>
  </conditionalFormatting>
  <conditionalFormatting sqref="E247">
    <cfRule type="cellIs" dxfId="0" priority="114" operator="equal">
      <formula>"Oui"</formula>
    </cfRule>
    <cfRule type="cellIs" dxfId="3" priority="115" operator="equal">
      <formula>"n.r."</formula>
    </cfRule>
  </conditionalFormatting>
  <conditionalFormatting sqref="E248">
    <cfRule type="cellIs" dxfId="0" priority="116" operator="equal">
      <formula>"Oui"</formula>
    </cfRule>
    <cfRule type="cellIs" dxfId="3" priority="117" operator="equal">
      <formula>"n.r."</formula>
    </cfRule>
  </conditionalFormatting>
  <conditionalFormatting sqref="E249">
    <cfRule type="cellIs" dxfId="0" priority="118" operator="equal">
      <formula>"Oui"</formula>
    </cfRule>
    <cfRule type="cellIs" dxfId="3" priority="119" operator="equal">
      <formula>"n.r."</formula>
    </cfRule>
  </conditionalFormatting>
  <conditionalFormatting sqref="E250">
    <cfRule type="cellIs" dxfId="0" priority="120" operator="equal">
      <formula>"Oui"</formula>
    </cfRule>
    <cfRule type="cellIs" dxfId="3" priority="121" operator="equal">
      <formula>"n.r."</formula>
    </cfRule>
  </conditionalFormatting>
  <conditionalFormatting sqref="E251">
    <cfRule type="cellIs" dxfId="0" priority="122" operator="equal">
      <formula>"Oui"</formula>
    </cfRule>
    <cfRule type="cellIs" dxfId="3" priority="123" operator="equal">
      <formula>"n.r."</formula>
    </cfRule>
  </conditionalFormatting>
  <conditionalFormatting sqref="E39">
    <cfRule type="expression" dxfId="2" priority="140">
      <formula>NOT(N($E$47)&gt;0)</formula>
    </cfRule>
  </conditionalFormatting>
  <conditionalFormatting sqref="E72:E131">
    <cfRule type="cellIs" dxfId="0" priority="13" operator="equal">
      <formula>"Critique"</formula>
    </cfRule>
    <cfRule type="cellIs" dxfId="3" priority="14" operator="equal">
      <formula>"Vigilance"</formula>
    </cfRule>
    <cfRule type="cellIs" dxfId="1" priority="15" operator="equal">
      <formula>"Très favorable"</formula>
    </cfRule>
  </conditionalFormatting>
  <conditionalFormatting sqref="F222">
    <cfRule type="cellIs" dxfId="0" priority="71" operator="equal">
      <formula>"Oui"</formula>
    </cfRule>
  </conditionalFormatting>
  <conditionalFormatting sqref="F223">
    <cfRule type="cellIs" dxfId="0" priority="73" operator="equal">
      <formula>"Oui"</formula>
    </cfRule>
  </conditionalFormatting>
  <conditionalFormatting sqref="F224">
    <cfRule type="cellIs" dxfId="0" priority="75" operator="equal">
      <formula>"Oui"</formula>
    </cfRule>
  </conditionalFormatting>
  <conditionalFormatting sqref="F225">
    <cfRule type="cellIs" dxfId="0" priority="77" operator="equal">
      <formula>"Oui"</formula>
    </cfRule>
  </conditionalFormatting>
  <conditionalFormatting sqref="F226">
    <cfRule type="cellIs" dxfId="0" priority="79" operator="equal">
      <formula>"Oui"</formula>
    </cfRule>
  </conditionalFormatting>
  <conditionalFormatting sqref="F227">
    <cfRule type="cellIs" dxfId="0" priority="81" operator="equal">
      <formula>"Oui"</formula>
    </cfRule>
  </conditionalFormatting>
  <conditionalFormatting sqref="F228">
    <cfRule type="cellIs" dxfId="0" priority="83" operator="equal">
      <formula>"Oui"</formula>
    </cfRule>
  </conditionalFormatting>
  <conditionalFormatting sqref="F229">
    <cfRule type="cellIs" dxfId="0" priority="85" operator="equal">
      <formula>"Oui"</formula>
    </cfRule>
  </conditionalFormatting>
  <conditionalFormatting sqref="F230">
    <cfRule type="cellIs" dxfId="0" priority="87" operator="equal">
      <formula>"Oui"</formula>
    </cfRule>
  </conditionalFormatting>
  <conditionalFormatting sqref="F231">
    <cfRule type="cellIs" dxfId="0" priority="89" operator="equal">
      <formula>"Oui"</formula>
    </cfRule>
  </conditionalFormatting>
  <conditionalFormatting sqref="F232">
    <cfRule type="cellIs" dxfId="0" priority="91" operator="equal">
      <formula>"Oui"</formula>
    </cfRule>
  </conditionalFormatting>
  <conditionalFormatting sqref="F233">
    <cfRule type="cellIs" dxfId="0" priority="93" operator="equal">
      <formula>"Oui"</formula>
    </cfRule>
  </conditionalFormatting>
  <conditionalFormatting sqref="F39:F46">
    <cfRule type="expression" dxfId="2" priority="10">
      <formula>AND(ISNUMBER($E39),$F39="")</formula>
    </cfRule>
  </conditionalFormatting>
  <dataValidations count="100">
    <dataValidation allowBlank="1" showInputMessage="1" showErrorMessage="1" promptTitle="Intitulé du dossier" prompt="Référence et nom du projet, ex. « PF-2026-014 · Centrale solaire de Ouarzazate »."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5">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sectoriel Δ au seuil DSCR du régime (onglet Paramètres)." sqref="B16">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17">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18">
      <formula1>L_Periodicite</formula1>
    </dataValidation>
    <dataValidation allowBlank="1" showInputMessage="1" showErrorMessage="1" promptTitle="Famille de financement" prompt="PF-FLUX : société de projet remboursée par les flux du projet. La vente d'actifs (R5) est hors outil." sqref="B19"/>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3">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4">
      <formula1>L_OuiNon</formula1>
    </dataValidation>
    <dataValidation type="decimal" allowBlank="1" showInputMessage="1" showErrorMessage="1" errorTitle="Valeur non admise" error="Saisissez une durée en années (0 à 99)." promptTitle="Durée du financement" prompt="Durée totale de la dette, en années. Ex. : 15." sqref="B25">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6">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27">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28">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29">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0">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1">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2">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3">
      <formula1>0</formula1>
      <formula2>99</formula2>
    </dataValidation>
    <dataValidation allowBlank="1" showInputMessage="1" showErrorMessage="1" promptTitle="Emploi" prompt="Poste du besoin à terminaison : CAPEX, intérêts intercalaires, DSRA initiale, aléas…" sqref="A39:A46"/>
    <dataValidation type="decimal" operator="greaterThanOrEqual" allowBlank="1" showInputMessage="1" showErrorMessage="1" errorTitle="Valeur non admise" error="Saisissez un nombre positif ou nul." promptTitle="Montant de l'emploi" prompt="Montant en millions de dirhams (MMAD)." sqref="B39:B46">
      <formula1>0</formula1>
    </dataValidation>
    <dataValidation allowBlank="1" showInputMessage="1" showErrorMessage="1" promptTitle="Ressource" prompt="Ressource engagée : dette senior, capital, quasi-fonds propres, subvention…" sqref="D39:D46"/>
    <dataValidation type="decimal" operator="greaterThanOrEqual" allowBlank="1" showInputMessage="1" showErrorMessage="1" errorTitle="Valeur non admise" error="Saisissez un nombre positif ou nul." promptTitle="Montant de la ressource" prompt="Montant engagé, en millions de dirhams (MMAD)." sqref="E39:E46">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39:F46">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0">
      <formula1>L_OuiNon</formula1>
    </dataValidation>
    <dataValidation allowBlank="1" showInputMessage="1" showErrorMessage="1" promptTitle="Hypothèse d'exploitation" prompt="Information libre, non utilisée par le calcul." sqref="A53:B60"/>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70">
      <formula1>0</formula1>
      <formula2>0.95</formula2>
    </dataValidation>
    <dataValidation allowBlank="1" showInputMessage="1" showErrorMessage="1" promptTitle="Description du stress" prompt="Décrivez le scénario défavorable, ex. « production P90 et tarif −10 % »." sqref="C70"/>
    <dataValidation allowBlank="1" showInputMessage="1" showErrorMessage="1" promptTitle="Période" prompt="Libellé de l'échéance, ex. « An 1 · S1 ». Le bouton « Préparer l'échéancier » les génère." sqref="A72:A131"/>
    <dataValidation type="decimal" allowBlank="1" showInputMessage="1" showErrorMessage="1" errorTitle="Valeur non admise" error="Saisissez un nombre." promptTitle="CFADS central" prompt="Flux disponible pour le service de la dette sur la période, en MMAD. Un CFADS négatif est noté Critique d'office." sqref="B72:B131">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72:C131">
      <formula1>0</formula1>
    </dataValidation>
    <dataValidation type="decimal" allowBlank="1" showInputMessage="1" showErrorMessage="1" errorTitle="Valeur non admise" error="Saisissez un nombre." promptTitle="CFADS stressé (facultatif)" prompt="Laisser vide pour appliquer le choc de la ligne 70. Sinon, CFADS du scénario défavorable issu du modèle de flux." sqref="F72:F131">
      <formula1>-1000000000.0</formula1>
      <formula2>1000000000.0</formula2>
    </dataValidation>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5">
      <formula1>L_Notes</formula1>
    </dataValidation>
    <dataValidation allowBlank="1" showInputMessage="1" showErrorMessage="1" promptTitle="Justification" prompt="Mesure et pièce justificative, ex. « DSRA 6 mois, cascade de paiement signée »." sqref="E145"/>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6">
      <formula1>L_Notes</formula1>
    </dataValidation>
    <dataValidation allowBlank="1" showInputMessage="1" showErrorMessage="1" promptTitle="Justification" prompt="Mesure et pièce justificative, ex. « DSRA 6 mois, cascade de paiement signée »." sqref="E146"/>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7">
      <formula1>L_Notes</formula1>
    </dataValidation>
    <dataValidation allowBlank="1" showInputMessage="1" showErrorMessage="1" promptTitle="Justification" prompt="Mesure et pièce justificative, ex. « DSRA 6 mois, cascade de paiement signée »." sqref="E147"/>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50">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51">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52">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53">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54">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55">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56">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57">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58">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59">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60">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61">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62">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63">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64">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65">
      <formula1>L_OuiNon</formula1>
    </dataValidation>
    <dataValidation allowBlank="1" showInputMessage="1" showErrorMessage="1" promptTitle="Commentaire du domaine" prompt="Constats et pièces qui justifient les notes du domaine." sqref="E16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2">
      <formula1>L_Notes</formula1>
    </dataValidation>
    <dataValidation allowBlank="1" showInputMessage="1" showErrorMessage="1" promptTitle="Commentaire du domaine" prompt="Constats et pièces qui justifient les notes du domaine." sqref="E17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6">
      <formula1>L_Notes</formula1>
    </dataValidation>
    <dataValidation allowBlank="1" showInputMessage="1" showErrorMessage="1" promptTitle="Commentaire du domaine" prompt="Constats et pièces qui justifient les notes du domaine." sqref="E17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0">
      <formula1>L_Notes</formula1>
    </dataValidation>
    <dataValidation allowBlank="1" showInputMessage="1" showErrorMessage="1" promptTitle="Commentaire du domaine" prompt="Constats et pièces qui justifient les notes du domaine." sqref="E181"/>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2">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3">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4">
      <formula1>L_Notes</formula1>
    </dataValidation>
    <dataValidation allowBlank="1" showInputMessage="1" showErrorMessage="1" promptTitle="Commentaire du domaine" prompt="Constats et pièces qui justifient les notes du domaine." sqref="E185"/>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6">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7">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8">
      <formula1>L_Notes</formula1>
    </dataValidation>
    <dataValidation allowBlank="1" showInputMessage="1" showErrorMessage="1" promptTitle="Commentaire du domaine" prompt="Constats et pièces qui justifient les notes du domaine." sqref="E18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2">
      <formula1>L_Notes</formula1>
    </dataValidation>
    <dataValidation allowBlank="1" showInputMessage="1" showErrorMessage="1" promptTitle="Commentaire du domaine" prompt="Constats et pièces qui justifient les notes du domaine." sqref="E19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6">
      <formula1>L_Notes</formula1>
    </dataValidation>
    <dataValidation allowBlank="1" showInputMessage="1" showErrorMessage="1" promptTitle="Commentaire du domaine" prompt="Constats et pièces qui justifient les notes du domaine." sqref="E19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1">
      <formula1>L_Notes</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0">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31">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3">
      <formula1>L_OuiNon</formula1>
    </dataValidation>
    <dataValidation allowBlank="1" showInputMessage="1" showErrorMessage="1" promptTitle="Conclusion" prompt="Ce que le dossier enseigne, ou la recommandation de l'analyste au comité." sqref="A259"/>
  </dataValidations>
  <pageMargins left="0.7" right="0.7" top="0.75" bottom="0.75" header="0.3" footer="0.3"/>
  <pageSetup paperSize="9" fitToHeight="0" orientation="landscape"/>
  <legacyDrawing r:id="rId1"/>
</worksheet>
</file>

<file path=xl/worksheets/sheet10.xml><?xml version="1.0" encoding="utf-8"?>
<worksheet xmlns="http://schemas.openxmlformats.org/spreadsheetml/2006/main" xmlns:r="http://schemas.openxmlformats.org/officeDocument/2006/relationships">
  <sheetPr>
    <pageSetUpPr fitToPage="1"/>
  </sheetPr>
  <dimension ref="A1:R259"/>
  <sheetViews>
    <sheetView showGridLines="0" workbookViewId="0">
      <pane ySplit="12" topLeftCell="A13" activePane="bottomLeft" state="frozen"/>
      <selection pane="bottomLeft"/>
    </sheetView>
  </sheetViews>
  <sheetFormatPr defaultRowHeight="15"/>
  <cols>
    <col min="1" max="1" width="46.7109375" customWidth="1"/>
    <col min="2" max="7" width="14.7109375" customWidth="1"/>
    <col min="8" max="8" width="18.7109375" customWidth="1"/>
    <col min="9" max="9" width="3.7109375" customWidth="1"/>
    <col min="10" max="13" width="10.7109375" hidden="1" customWidth="1"/>
    <col min="14" max="14" width="24.7109375" customWidth="1"/>
    <col min="15" max="15" width="3.7109375" customWidth="1"/>
    <col min="16" max="18" width="10.7109375" hidden="1" customWidth="1"/>
  </cols>
  <sheetData>
    <row r="1" spans="1:18">
      <c r="A1" s="30" t="s">
        <v>728</v>
      </c>
      <c r="J1" s="31" t="s">
        <v>727</v>
      </c>
    </row>
    <row r="2" spans="1:18">
      <c r="A2" s="32" t="s">
        <v>729</v>
      </c>
    </row>
    <row r="3" spans="1:18" ht="42" customHeight="1">
      <c r="A3" s="33" t="s">
        <v>730</v>
      </c>
      <c r="B3" s="33"/>
      <c r="C3" s="33"/>
      <c r="D3" s="33"/>
      <c r="E3" s="33"/>
      <c r="F3" s="33"/>
      <c r="G3" s="33"/>
      <c r="H3" s="33"/>
    </row>
    <row r="4" spans="1:18" ht="22" customHeight="1">
      <c r="A4" s="22" t="s">
        <v>282</v>
      </c>
      <c r="B4" s="14">
        <f>COUNTIF($R$14:$R$56,0)</f>
        <v>0</v>
      </c>
      <c r="C4" s="34">
        <f>IF(B4=0,"Saisie complète : lisez la note ci-dessous, puis « Fiche comité ».","Prochaine saisie : "&amp;INDEX($P$14:$P$56,MATCH(0,$R$14:$R$56,0)))</f>
        <v>0</v>
      </c>
      <c r="D4" s="34"/>
      <c r="E4" s="34"/>
      <c r="F4" s="34"/>
      <c r="G4" s="12">
        <f>IF(B4=0,"",HYPERLINK("#"&amp;INDEX($Q$14:$Q$56,MATCH(0,$R$14:$R$56,0)),"→ Aller à la cellule "&amp;INDEX($Q$14:$Q$56,MATCH(0,$R$14:$R$56,0))))</f>
        <v>0</v>
      </c>
      <c r="H4" s="12"/>
    </row>
    <row r="5" spans="1:18">
      <c r="A5" s="3" t="s">
        <v>284</v>
      </c>
      <c r="B5" s="3"/>
      <c r="C5" s="3"/>
      <c r="D5" s="3"/>
      <c r="E5" s="3"/>
      <c r="F5" s="3"/>
      <c r="G5" s="3"/>
      <c r="H5" s="3"/>
    </row>
    <row r="6" spans="1:18" ht="34" customHeight="1">
      <c r="A6" s="22" t="s">
        <v>285</v>
      </c>
      <c r="B6" s="25">
        <f>B255</f>
        <v>0</v>
      </c>
      <c r="C6" s="22" t="s">
        <v>4</v>
      </c>
      <c r="D6" s="34">
        <f>IFERROR(INDEX(P_ConvLib,MATCH(B255,P_ConvNote,0)),"")</f>
        <v>0</v>
      </c>
      <c r="E6" s="22" t="s">
        <v>286</v>
      </c>
      <c r="F6" s="34">
        <f>B256</f>
        <v>0</v>
      </c>
      <c r="G6" s="34"/>
      <c r="H6" s="34"/>
    </row>
    <row r="7" spans="1:18">
      <c r="A7" s="22" t="s">
        <v>287</v>
      </c>
      <c r="B7" s="14">
        <f>B217</f>
        <v>0</v>
      </c>
      <c r="C7" s="22" t="s">
        <v>288</v>
      </c>
      <c r="D7" s="14">
        <f>B218</f>
        <v>0</v>
      </c>
      <c r="E7" s="22" t="s">
        <v>289</v>
      </c>
      <c r="F7" s="34">
        <f>IF(B252&gt;=10,"Aucun (10)",B252)</f>
        <v>0</v>
      </c>
      <c r="G7" s="34"/>
      <c r="H7" s="34"/>
    </row>
    <row r="8" spans="1:18">
      <c r="A8" s="22" t="s">
        <v>290</v>
      </c>
      <c r="B8" s="34">
        <f>IF(TRIM(IF(E237="Oui","C1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",""))="","Aucun",TRIM(IF(E237="Oui","C1 ("&amp;F237&amp;")  ","")&amp;IF(E238="Oui","C2 ("&amp;F238&amp;")  ","")&amp;IF(E239="Oui","C3 ("&amp;F239&amp;")  ","")&amp;IF(E240="Oui","C4 ("&amp;F240&amp;")  ","")&amp;IF(E241="Oui","C5 ("&amp;F241&amp;")  ","")&amp;IF(E242="Oui","C6 ("&amp;F242&amp;")  ","")&amp;IF(E243="Oui","C7 ("&amp;F243&amp;")  ","")&amp;IF(E244="Oui","C8 ("&amp;F244&amp;")  ","")&amp;IF(E245="Oui","C9 ("&amp;F245&amp;")  ","")&amp;IF(E246="Oui","C10 ("&amp;F246&amp;")  ","")&amp;IF(E247="Oui","C11 ("&amp;F247&amp;")  ","")&amp;IF(E248="Oui","C12 ("&amp;F248&amp;")  ","")&amp;IF(E249="Oui","C13 ("&amp;F249&amp;")  ","")&amp;IF(E250="Oui","C14 ("&amp;F250&amp;")  ","")&amp;IF(E251="Oui","C15 ("&amp;F251&amp;")  ","")))&amp;IF(COUNTIF(E237:E251,"n.r.")&gt;0,"   —   "&amp;COUNTIF(E237:E251,"n.r.")&amp;" plafond(s) non évalué(s) faute de donnée","")</f>
        <v>0</v>
      </c>
      <c r="C8" s="34"/>
      <c r="D8" s="34"/>
      <c r="E8" s="34"/>
      <c r="F8" s="34"/>
      <c r="G8" s="34"/>
      <c r="H8" s="34"/>
    </row>
    <row r="9" spans="1:18">
      <c r="A9" s="22" t="s">
        <v>291</v>
      </c>
      <c r="B9" s="34">
        <f>IF(TRIM(IF(F222="Oui","X1  ","")&amp;IF(F223="Oui","X2  ","")&amp;IF(F224="Oui","X3  ","")&amp;IF(F225="Oui","X4  ","")&amp;IF(F226="Oui","B1  ","")&amp;IF(F227="Oui","B2  ","")&amp;IF(F228="Oui","B3  ","")&amp;IF(F229="Oui","B4  ","")&amp;IF(F230="Oui","B5  ","")&amp;IF(F231="Oui","B6  ","")&amp;IF(F232="Oui","B7  ","")&amp;IF(F233="Oui","B8  ",""))="","Aucun",TRIM(IF(F222="Oui","X1  ","")&amp;IF(F223="Oui","X2  ","")&amp;IF(F224="Oui","X3  ","")&amp;IF(F225="Oui","X4  ","")&amp;IF(F226="Oui","B1  ","")&amp;IF(F227="Oui","B2  ","")&amp;IF(F228="Oui","B3  ","")&amp;IF(F229="Oui","B4  ","")&amp;IF(F230="Oui","B5  ","")&amp;IF(F231="Oui","B6  ","")&amp;IF(F232="Oui","B7  ","")&amp;IF(F233="Oui","B8  ","")))</f>
        <v>0</v>
      </c>
      <c r="C9" s="34"/>
      <c r="D9" s="34"/>
      <c r="E9" s="34"/>
      <c r="F9" s="34"/>
      <c r="G9" s="34"/>
      <c r="H9" s="34"/>
    </row>
    <row r="10" spans="1:18">
      <c r="A10" s="22" t="s">
        <v>292</v>
      </c>
      <c r="B10" s="14">
        <f>B35</f>
        <v>0</v>
      </c>
      <c r="C10" s="22" t="s">
        <v>293</v>
      </c>
      <c r="D10" s="35">
        <f>D133</f>
        <v>0</v>
      </c>
      <c r="E10" s="22" t="s">
        <v>294</v>
      </c>
      <c r="F10" s="35">
        <f>D134</f>
        <v>0</v>
      </c>
    </row>
    <row r="11" spans="1:18">
      <c r="A11" s="22" t="s">
        <v>295</v>
      </c>
      <c r="B11" s="36">
        <f>B204</f>
        <v>0</v>
      </c>
      <c r="C11" s="22" t="s">
        <v>296</v>
      </c>
      <c r="D11" s="14">
        <f>D148</f>
        <v>0</v>
      </c>
      <c r="E11" s="22" t="s">
        <v>109</v>
      </c>
      <c r="F11" s="34">
        <f>IFERROR(INDEX(P_ConvOrient,MATCH(B255,P_ConvNote,0)),"")</f>
        <v>0</v>
      </c>
      <c r="G11" s="34"/>
      <c r="H11" s="34"/>
    </row>
    <row r="12" spans="1:18">
      <c r="A12" s="37" t="s">
        <v>283</v>
      </c>
      <c r="B12" s="38">
        <f>HYPERLINK("#A13","1 · Routage")</f>
        <v>0</v>
      </c>
      <c r="C12" s="38">
        <f>HYPERLINK("#A37","3 · Sources")</f>
        <v>0</v>
      </c>
      <c r="D12" s="38">
        <f>HYPERLINK("#A69","6 · Échéancier")</f>
        <v>0</v>
      </c>
      <c r="E12" s="38">
        <f>HYPERLINK("#A140","7 · Noyau")</f>
        <v>0</v>
      </c>
      <c r="F12" s="38">
        <f>HYPERLINK("#A167","8 · Grille")</f>
        <v>0</v>
      </c>
      <c r="G12" s="38">
        <f>HYPERLINK("#A220","10 · Verrous")</f>
        <v>0</v>
      </c>
      <c r="H12" s="38">
        <f>HYPERLINK("#A235","11 · Plafonds")</f>
        <v>0</v>
      </c>
    </row>
    <row r="13" spans="1:18">
      <c r="A13" s="3" t="s">
        <v>297</v>
      </c>
      <c r="B13" s="3"/>
      <c r="C13" s="3"/>
      <c r="D13" s="3"/>
      <c r="E13" s="3"/>
      <c r="F13" s="3"/>
      <c r="G13" s="3"/>
      <c r="H13" s="3"/>
    </row>
    <row r="14" spans="1:18">
      <c r="A14" s="11" t="s">
        <v>298</v>
      </c>
      <c r="B14" s="11" t="s">
        <v>94</v>
      </c>
      <c r="C14" s="11" t="s">
        <v>4</v>
      </c>
      <c r="D14" s="11"/>
      <c r="E14" s="11"/>
      <c r="F14" s="11"/>
      <c r="G14" s="11"/>
      <c r="H14" s="11"/>
      <c r="P14" s="31" t="s">
        <v>509</v>
      </c>
      <c r="Q14" s="31" t="s">
        <v>510</v>
      </c>
      <c r="R14" s="31">
        <f>IF($B$15&lt;&gt;"",1,0)</f>
        <v>0</v>
      </c>
    </row>
    <row r="15" spans="1:18">
      <c r="A15" s="17" t="s">
        <v>299</v>
      </c>
      <c r="B15" s="5"/>
      <c r="C15" s="13">
        <f>IFERROR(INDEX(P_RegLib,MATCH(B15,P_Regimes,0)),"")</f>
        <v>0</v>
      </c>
      <c r="D15" s="13"/>
      <c r="E15" s="13"/>
      <c r="F15" s="13"/>
      <c r="G15" s="13"/>
      <c r="H15" s="13"/>
      <c r="P15" s="31" t="s">
        <v>511</v>
      </c>
      <c r="Q15" s="31" t="s">
        <v>512</v>
      </c>
      <c r="R15" s="31">
        <f>IF($B$16&lt;&gt;"",1,0)</f>
        <v>0</v>
      </c>
    </row>
    <row r="16" spans="1:18">
      <c r="A16" s="17" t="s">
        <v>300</v>
      </c>
      <c r="B16" s="5"/>
      <c r="C16" s="13">
        <f>IFERROR(INDEX(P_SecLib,MATCH(B16,P_SecCodes,0)),"")</f>
        <v>0</v>
      </c>
      <c r="D16" s="13"/>
      <c r="E16" s="13"/>
      <c r="F16" s="13"/>
      <c r="G16" s="13"/>
      <c r="H16" s="13"/>
      <c r="P16" s="31" t="s">
        <v>513</v>
      </c>
      <c r="Q16" s="31" t="s">
        <v>514</v>
      </c>
      <c r="R16" s="31">
        <f>IF($B$17&lt;&gt;"",1,0)</f>
        <v>0</v>
      </c>
    </row>
    <row r="17" spans="1:18">
      <c r="A17" s="17" t="s">
        <v>301</v>
      </c>
      <c r="B17" s="5"/>
      <c r="C17" s="13">
        <f>IFERROR(INDEX(P_PhaseLib,MATCH(B17,P_PhaseCodes,0)),"")</f>
        <v>0</v>
      </c>
      <c r="D17" s="13"/>
      <c r="E17" s="13"/>
      <c r="F17" s="13"/>
      <c r="G17" s="13"/>
      <c r="H17" s="13"/>
      <c r="P17" s="31" t="s">
        <v>515</v>
      </c>
      <c r="Q17" s="31" t="s">
        <v>516</v>
      </c>
      <c r="R17" s="31">
        <f>IF($B$18&lt;&gt;"",1,0)</f>
        <v>0</v>
      </c>
    </row>
    <row r="18" spans="1:18">
      <c r="A18" s="17" t="s">
        <v>302</v>
      </c>
      <c r="B18" s="5"/>
      <c r="C18" s="13" t="s">
        <v>303</v>
      </c>
      <c r="D18" s="13"/>
      <c r="E18" s="13"/>
      <c r="F18" s="13"/>
      <c r="G18" s="13"/>
      <c r="H18" s="13"/>
      <c r="P18" s="31" t="s">
        <v>517</v>
      </c>
      <c r="Q18" s="31" t="s">
        <v>518</v>
      </c>
      <c r="R18" s="31">
        <f>IF(ISNUMBER($B$23),1,0)</f>
        <v>0</v>
      </c>
    </row>
    <row r="19" spans="1:18">
      <c r="A19" s="17" t="s">
        <v>304</v>
      </c>
      <c r="B19" s="5" t="s">
        <v>305</v>
      </c>
      <c r="C19" s="13" t="s">
        <v>306</v>
      </c>
      <c r="D19" s="13"/>
      <c r="E19" s="13"/>
      <c r="F19" s="13"/>
      <c r="G19" s="13"/>
      <c r="H19" s="13"/>
      <c r="P19" s="31" t="s">
        <v>519</v>
      </c>
      <c r="Q19" s="31" t="s">
        <v>520</v>
      </c>
      <c r="R19" s="31">
        <f>IF($B$24&lt;&gt;"",1,0)</f>
        <v>0</v>
      </c>
    </row>
    <row r="20" spans="1:18">
      <c r="P20" s="31" t="s">
        <v>521</v>
      </c>
      <c r="Q20" s="31" t="s">
        <v>522</v>
      </c>
      <c r="R20" s="31">
        <f>IF(ISNUMBER($B$25),1,0)</f>
        <v>0</v>
      </c>
    </row>
    <row r="21" spans="1:18">
      <c r="A21" s="3" t="s">
        <v>307</v>
      </c>
      <c r="B21" s="3"/>
      <c r="C21" s="3"/>
      <c r="D21" s="3"/>
      <c r="E21" s="3"/>
      <c r="F21" s="3"/>
      <c r="G21" s="3"/>
      <c r="H21" s="3"/>
      <c r="P21" s="31" t="s">
        <v>523</v>
      </c>
      <c r="Q21" s="31" t="s">
        <v>524</v>
      </c>
      <c r="R21" s="31">
        <f>IF($B$26&lt;&gt;"",1,0)</f>
        <v>0</v>
      </c>
    </row>
    <row r="22" spans="1:18">
      <c r="A22" s="17" t="s">
        <v>308</v>
      </c>
      <c r="B22" s="28">
        <f>B47</f>
        <v>0</v>
      </c>
      <c r="C22" s="13" t="s">
        <v>309</v>
      </c>
      <c r="D22" s="13"/>
      <c r="E22" s="13"/>
      <c r="F22" s="13"/>
      <c r="G22" s="13"/>
      <c r="H22" s="13"/>
      <c r="P22" s="31" t="s">
        <v>525</v>
      </c>
      <c r="Q22" s="31" t="s">
        <v>526</v>
      </c>
      <c r="R22" s="31">
        <f>IF(OR(NOT($B$17="P1"),$B$27&lt;&gt;""),1,0)</f>
        <v>0</v>
      </c>
    </row>
    <row r="23" spans="1:18">
      <c r="A23" s="17" t="s">
        <v>310</v>
      </c>
      <c r="B23" s="39"/>
      <c r="P23" s="31" t="s">
        <v>527</v>
      </c>
      <c r="Q23" s="31" t="s">
        <v>528</v>
      </c>
      <c r="R23" s="31">
        <f>IF($B$28&lt;&gt;"",1,0)</f>
        <v>0</v>
      </c>
    </row>
    <row r="24" spans="1:18">
      <c r="A24" s="17" t="s">
        <v>311</v>
      </c>
      <c r="B24" s="5"/>
      <c r="P24" s="31" t="s">
        <v>529</v>
      </c>
      <c r="Q24" s="31" t="s">
        <v>530</v>
      </c>
      <c r="R24" s="31">
        <f>IF($B$29&lt;&gt;"",1,0)</f>
        <v>0</v>
      </c>
    </row>
    <row r="25" spans="1:18">
      <c r="A25" s="17" t="s">
        <v>312</v>
      </c>
      <c r="B25" s="40"/>
      <c r="P25" s="31" t="s">
        <v>531</v>
      </c>
      <c r="Q25" s="31" t="s">
        <v>532</v>
      </c>
      <c r="R25" s="31">
        <f>IF($B$30&lt;&gt;"",1,0)</f>
        <v>0</v>
      </c>
    </row>
    <row r="26" spans="1:18">
      <c r="A26" s="17" t="s">
        <v>313</v>
      </c>
      <c r="B26" s="5"/>
      <c r="P26" s="31" t="s">
        <v>533</v>
      </c>
      <c r="Q26" s="31" t="s">
        <v>534</v>
      </c>
      <c r="R26" s="31">
        <f>IF($B$31&lt;&gt;"",1,0)</f>
        <v>0</v>
      </c>
    </row>
    <row r="27" spans="1:18">
      <c r="A27" s="17" t="s">
        <v>314</v>
      </c>
      <c r="B27" s="5"/>
      <c r="P27" s="31" t="s">
        <v>535</v>
      </c>
      <c r="Q27" s="31" t="s">
        <v>536</v>
      </c>
      <c r="R27" s="31">
        <f>IF($B$32&lt;&gt;"",1,0)</f>
        <v>0</v>
      </c>
    </row>
    <row r="28" spans="1:18">
      <c r="A28" s="17" t="s">
        <v>315</v>
      </c>
      <c r="B28" s="5"/>
      <c r="P28" s="31" t="s">
        <v>537</v>
      </c>
      <c r="Q28" s="31" t="s">
        <v>538</v>
      </c>
      <c r="R28" s="31">
        <f>IF(ISNUMBER($B$33),1,0)</f>
        <v>0</v>
      </c>
    </row>
    <row r="29" spans="1:18">
      <c r="A29" s="17" t="s">
        <v>316</v>
      </c>
      <c r="B29" s="5"/>
      <c r="P29" s="31" t="s">
        <v>539</v>
      </c>
      <c r="Q29" s="31" t="s">
        <v>540</v>
      </c>
      <c r="R29" s="31">
        <f>IF(N($B$47)&gt;0,1,0)</f>
        <v>0</v>
      </c>
    </row>
    <row r="30" spans="1:18">
      <c r="A30" s="17" t="s">
        <v>317</v>
      </c>
      <c r="B30" s="5"/>
      <c r="P30" s="31" t="s">
        <v>541</v>
      </c>
      <c r="Q30" s="31" t="s">
        <v>542</v>
      </c>
      <c r="R30" s="31">
        <f>IF(N($E$47)&gt;0,1,0)</f>
        <v>0</v>
      </c>
    </row>
    <row r="31" spans="1:18">
      <c r="A31" s="17" t="s">
        <v>318</v>
      </c>
      <c r="B31" s="5"/>
      <c r="P31" s="31" t="s">
        <v>543</v>
      </c>
      <c r="Q31" s="31" t="s">
        <v>544</v>
      </c>
      <c r="R31" s="31">
        <f>IF(SUMPRODUCT(ISNUMBER($E$39:$E$46)*($F$39:$F$46=""))=0,1,0)</f>
        <v>0</v>
      </c>
    </row>
    <row r="32" spans="1:18">
      <c r="A32" s="17" t="s">
        <v>319</v>
      </c>
      <c r="B32" s="5"/>
      <c r="P32" s="31" t="s">
        <v>545</v>
      </c>
      <c r="Q32" s="31" t="s">
        <v>546</v>
      </c>
      <c r="R32" s="31">
        <f>IF(OR(NOT(AND($B$17="P1",ISNUMBER($B$48),N($B$48)&gt;=P_N3_V,N($B$48)&lt;P_N3_F)),$B$50&lt;&gt;""),1,0)</f>
        <v>0</v>
      </c>
    </row>
    <row r="33" spans="1:18">
      <c r="A33" s="17" t="s">
        <v>320</v>
      </c>
      <c r="B33" s="40"/>
      <c r="P33" s="31" t="s">
        <v>547</v>
      </c>
      <c r="Q33" s="31" t="s">
        <v>548</v>
      </c>
      <c r="R33" s="31">
        <f>IF(ISNUMBER($B$70),1,0)</f>
        <v>0</v>
      </c>
    </row>
    <row r="34" spans="1:18" ht="30" customHeight="1">
      <c r="A34" s="21" t="s">
        <v>321</v>
      </c>
      <c r="B34" s="14">
        <f>IF(OR(B22="",B22=0,B15=""),"",IF(OR(B22&gt;P_L_CAPEX,N(B23)&gt;P_L_EXPO,B15="R4",B29="Oui",N(B153)&gt;0,B30="Oui",B31="Oui",B32="Oui",N(B33)&gt;P_L_NBCP),"L",IF(AND(B22&lt;=P_S_CAPEX,B23&lt;&gt;"",N(B23)&lt;=P_S_EXPO,OR(B15="R1",B15="R2"),B26="Oui",B24="Oui",B25&lt;&gt;"",N(B25)&lt;=P_S_DUREE,OR(B17&lt;&gt;"P1",B27="Oui"),B28="Oui",COUNTIF($F$222:$F$233,"Oui")=0),"S","M")))</f>
        <v>0</v>
      </c>
      <c r="C34" s="13">
        <f>IF(B34="","",IF(B34="L","Escalade : "&amp;IF(B22&gt;P_L_CAPEX,"CAPEX &gt; "&amp;P_L_CAPEX&amp;" MMAD ; ","")&amp;IF(N(B23)&gt;P_L_EXPO,"exposition &gt; "&amp;P_L_EXPO&amp;" MMAD ; ","")&amp;IF(B15="R4","régime de revenus R4 ; ","")&amp;IF(B29="Oui","première référence technologique ; ","")&amp;IF(N(B153)&gt;0,"devises non intégralement couvertes ; ","")&amp;IF(B30="Oui","opération consortiale ; ","")&amp;IF(B31="Oui","contrat de revenus &gt; 20 ans ; ","")&amp;IF(B32="Oui","risque climatique élevé ; ","")&amp;IF(N(B33)&gt;P_L_NBCP,"plus de "&amp;P_L_NBCP&amp;" contreparties clés ; ",""),IF(B34="S","Toutes les conditions du régime simplifié sont réunies.","Régime standard par défaut : une condition du régime S manque, aucune condition d'escalade.")))</f>
        <v>0</v>
      </c>
      <c r="D34" s="13"/>
      <c r="E34" s="13"/>
      <c r="F34" s="13"/>
      <c r="G34" s="13"/>
      <c r="H34" s="13"/>
      <c r="P34" s="31" t="s">
        <v>549</v>
      </c>
      <c r="Q34" s="31" t="s">
        <v>550</v>
      </c>
      <c r="R34" s="31">
        <f>IF(COUNT($B$72:$B$131)&gt;=2,1,0)</f>
        <v>0</v>
      </c>
    </row>
    <row r="35" spans="1:18">
      <c r="A35" s="21" t="s">
        <v>322</v>
      </c>
      <c r="B35" s="14">
        <f>IF(B34="","",IF(AND(IF(AND(B34="S",COUNTIF($F$222:$F$233,"Oui")&gt;0),"M",B34)="M",COUNTIF($E$237:$E$251,"Oui")&gt;0),"L",IF(AND(B34="S",COUNTIF($F$222:$F$233,"Oui")&gt;0),"M",B34)))</f>
        <v>0</v>
      </c>
      <c r="C35" s="13">
        <f>IF(B35=B34,"Aucune escalade.",IF(B35="L","Escalade : un plafond de note est actif (M passe en L).","Escalade : un verrou est actif (S passe en M)."))</f>
        <v>0</v>
      </c>
      <c r="D35" s="13"/>
      <c r="E35" s="13"/>
      <c r="F35" s="13"/>
      <c r="G35" s="13"/>
      <c r="H35" s="13"/>
      <c r="P35" s="31" t="s">
        <v>551</v>
      </c>
      <c r="Q35" s="31" t="s">
        <v>552</v>
      </c>
      <c r="R35" s="31">
        <f>IF(SUMPRODUCT(ISNUMBER($B$72:$B$131)*(1-ISNUMBER($C$72:$C$131)))=0,1,0)</f>
        <v>0</v>
      </c>
    </row>
    <row r="36" spans="1:18">
      <c r="P36" s="31" t="s">
        <v>553</v>
      </c>
      <c r="Q36" s="31" t="s">
        <v>554</v>
      </c>
      <c r="R36" s="31">
        <f>IF($B$145&lt;&gt;"",1,0)</f>
        <v>0</v>
      </c>
    </row>
    <row r="37" spans="1:18">
      <c r="A37" s="3" t="s">
        <v>323</v>
      </c>
      <c r="B37" s="3"/>
      <c r="C37" s="3"/>
      <c r="D37" s="3"/>
      <c r="E37" s="3"/>
      <c r="F37" s="3"/>
      <c r="G37" s="3"/>
      <c r="H37" s="3"/>
      <c r="P37" s="31" t="s">
        <v>555</v>
      </c>
      <c r="Q37" s="31" t="s">
        <v>556</v>
      </c>
      <c r="R37" s="31">
        <f>IF($B$146&lt;&gt;"",1,0)</f>
        <v>0</v>
      </c>
    </row>
    <row r="38" spans="1:18">
      <c r="A38" s="11" t="s">
        <v>324</v>
      </c>
      <c r="B38" s="11" t="s">
        <v>325</v>
      </c>
      <c r="C38" s="11"/>
      <c r="D38" s="11" t="s">
        <v>326</v>
      </c>
      <c r="E38" s="11" t="s">
        <v>325</v>
      </c>
      <c r="F38" s="11" t="s">
        <v>327</v>
      </c>
      <c r="P38" s="31" t="s">
        <v>557</v>
      </c>
      <c r="Q38" s="31" t="s">
        <v>558</v>
      </c>
      <c r="R38" s="31">
        <f>IF($B$147&lt;&gt;"",1,0)</f>
        <v>0</v>
      </c>
    </row>
    <row r="39" spans="1:18">
      <c r="A39" s="41"/>
      <c r="B39" s="39"/>
      <c r="D39" s="41"/>
      <c r="E39" s="39"/>
      <c r="F39" s="41"/>
      <c r="P39" s="31" t="s">
        <v>559</v>
      </c>
      <c r="Q39" s="31" t="s">
        <v>560</v>
      </c>
      <c r="R39" s="31">
        <f>IF(OR($B$17="P1",$B$150&lt;&gt;""),1,0)</f>
        <v>0</v>
      </c>
    </row>
    <row r="40" spans="1:18">
      <c r="A40" s="41"/>
      <c r="B40" s="39"/>
      <c r="D40" s="41"/>
      <c r="E40" s="39"/>
      <c r="F40" s="41"/>
      <c r="P40" s="31" t="s">
        <v>561</v>
      </c>
      <c r="Q40" s="31" t="s">
        <v>562</v>
      </c>
      <c r="R40" s="31">
        <f>IF(ISNUMBER($B$151),1,0)</f>
        <v>0</v>
      </c>
    </row>
    <row r="41" spans="1:18">
      <c r="A41" s="41"/>
      <c r="B41" s="39"/>
      <c r="D41" s="41"/>
      <c r="E41" s="39"/>
      <c r="F41" s="41"/>
      <c r="P41" s="31" t="s">
        <v>563</v>
      </c>
      <c r="Q41" s="31" t="s">
        <v>564</v>
      </c>
      <c r="R41" s="31">
        <f>IF(ISNUMBER($B$152),1,0)</f>
        <v>0</v>
      </c>
    </row>
    <row r="42" spans="1:18">
      <c r="A42" s="41"/>
      <c r="B42" s="39"/>
      <c r="D42" s="41"/>
      <c r="E42" s="39"/>
      <c r="F42" s="41"/>
      <c r="P42" s="31" t="s">
        <v>565</v>
      </c>
      <c r="Q42" s="31" t="s">
        <v>566</v>
      </c>
      <c r="R42" s="31">
        <f>IF(ISNUMBER($B$153),1,0)</f>
        <v>0</v>
      </c>
    </row>
    <row r="43" spans="1:18">
      <c r="A43" s="41"/>
      <c r="B43" s="39"/>
      <c r="D43" s="41"/>
      <c r="E43" s="39"/>
      <c r="F43" s="41"/>
      <c r="P43" s="31" t="s">
        <v>567</v>
      </c>
      <c r="Q43" s="31" t="s">
        <v>568</v>
      </c>
      <c r="R43" s="31">
        <f>IF(ISNUMBER($B$154),1,0)</f>
        <v>0</v>
      </c>
    </row>
    <row r="44" spans="1:18">
      <c r="A44" s="41"/>
      <c r="B44" s="39"/>
      <c r="D44" s="41"/>
      <c r="E44" s="39"/>
      <c r="F44" s="41"/>
      <c r="P44" s="31" t="s">
        <v>569</v>
      </c>
      <c r="Q44" s="31" t="s">
        <v>570</v>
      </c>
      <c r="R44" s="31">
        <f>IF(OR(N($B$154)&lt;=P_C8,$B$155&lt;&gt;""),1,0)</f>
        <v>0</v>
      </c>
    </row>
    <row r="45" spans="1:18">
      <c r="A45" s="41"/>
      <c r="B45" s="39"/>
      <c r="D45" s="41"/>
      <c r="E45" s="39"/>
      <c r="F45" s="41"/>
      <c r="P45" s="31" t="s">
        <v>571</v>
      </c>
      <c r="Q45" s="31" t="s">
        <v>572</v>
      </c>
      <c r="R45" s="31">
        <f>IF(ISNUMBER($B$156),1,0)</f>
        <v>0</v>
      </c>
    </row>
    <row r="46" spans="1:18">
      <c r="A46" s="41"/>
      <c r="B46" s="39"/>
      <c r="D46" s="41"/>
      <c r="E46" s="39"/>
      <c r="F46" s="41"/>
      <c r="P46" s="31" t="s">
        <v>573</v>
      </c>
      <c r="Q46" s="31" t="s">
        <v>574</v>
      </c>
      <c r="R46" s="31">
        <f>IF($B$157&lt;&gt;"",1,0)</f>
        <v>0</v>
      </c>
    </row>
    <row r="47" spans="1:18">
      <c r="A47" s="21" t="s">
        <v>338</v>
      </c>
      <c r="B47" s="42">
        <f>SUM(B39:B46)</f>
        <v>0</v>
      </c>
      <c r="D47" s="21" t="s">
        <v>339</v>
      </c>
      <c r="E47" s="42">
        <f>SUM(E39:E46)</f>
        <v>0</v>
      </c>
      <c r="P47" s="31" t="s">
        <v>575</v>
      </c>
      <c r="Q47" s="31" t="s">
        <v>576</v>
      </c>
      <c r="R47" s="31">
        <f>IF(OR($B$15="R4",ISNUMBER($B$158)),1,0)</f>
        <v>0</v>
      </c>
    </row>
    <row r="48" spans="1:18">
      <c r="A48" s="17" t="s">
        <v>340</v>
      </c>
      <c r="B48" s="27">
        <f>IF(N(B47)=0,"",E47/B47)</f>
        <v>0</v>
      </c>
      <c r="P48" s="31" t="s">
        <v>577</v>
      </c>
      <c r="Q48" s="31" t="s">
        <v>578</v>
      </c>
      <c r="R48" s="31">
        <f>IF(ISNUMBER($B$159),1,0)</f>
        <v>0</v>
      </c>
    </row>
    <row r="49" spans="1:18">
      <c r="A49" s="17" t="s">
        <v>341</v>
      </c>
      <c r="B49" s="27">
        <f>IF(N(B47)=0,"",(SUMIF(F39:F46,"Dette senior",E39:E46)+SUMIF(F39:F46,"Dette subordonnée",E39:E46))/B47)</f>
        <v>0</v>
      </c>
      <c r="P49" s="31" t="s">
        <v>579</v>
      </c>
      <c r="Q49" s="31" t="s">
        <v>580</v>
      </c>
      <c r="R49" s="31">
        <f>IF(OR(NOT(AND(ISNUMBER($B$158),ISNUMBER($B$159))),N($B$158)&gt;=N($B$159),$B$160&lt;&gt;""),1,0)</f>
        <v>0</v>
      </c>
    </row>
    <row r="50" spans="1:18">
      <c r="A50" s="17" t="s">
        <v>342</v>
      </c>
      <c r="B50" s="5"/>
      <c r="P50" s="31" t="s">
        <v>581</v>
      </c>
      <c r="Q50" s="31" t="s">
        <v>582</v>
      </c>
      <c r="R50" s="31">
        <f>IF(OR($B$32&lt;&gt;"Oui",$B$161&lt;&gt;""),1,0)</f>
        <v>0</v>
      </c>
    </row>
    <row r="51" spans="1:18">
      <c r="P51" s="31" t="s">
        <v>583</v>
      </c>
      <c r="Q51" s="31" t="s">
        <v>584</v>
      </c>
      <c r="R51" s="31">
        <f>IF($B$162&lt;&gt;"",1,0)</f>
        <v>0</v>
      </c>
    </row>
    <row r="52" spans="1:18">
      <c r="A52" s="3" t="s">
        <v>343</v>
      </c>
      <c r="B52" s="3"/>
      <c r="C52" s="3"/>
      <c r="D52" s="3"/>
      <c r="E52" s="3"/>
      <c r="F52" s="3"/>
      <c r="G52" s="3"/>
      <c r="H52" s="3"/>
      <c r="P52" s="31" t="s">
        <v>585</v>
      </c>
      <c r="Q52" s="31" t="s">
        <v>586</v>
      </c>
      <c r="R52" s="31">
        <f>IF($B$163&lt;&gt;"",1,0)</f>
        <v>0</v>
      </c>
    </row>
    <row r="53" spans="1:18">
      <c r="A53" s="41"/>
      <c r="B53" s="41"/>
      <c r="C53" s="41"/>
      <c r="D53" s="41"/>
      <c r="E53" s="41"/>
      <c r="F53" s="41"/>
      <c r="G53" s="41"/>
      <c r="H53" s="41"/>
      <c r="P53" s="31" t="s">
        <v>587</v>
      </c>
      <c r="Q53" s="31" t="s">
        <v>588</v>
      </c>
      <c r="R53" s="31">
        <f>IF(OR($B$163&lt;&gt;"Non",ISNUMBER($B$164)),1,0)</f>
        <v>0</v>
      </c>
    </row>
    <row r="54" spans="1:18">
      <c r="A54" s="41"/>
      <c r="B54" s="41"/>
      <c r="C54" s="41"/>
      <c r="D54" s="41"/>
      <c r="E54" s="41"/>
      <c r="F54" s="41"/>
      <c r="G54" s="41"/>
      <c r="H54" s="41"/>
      <c r="P54" s="31" t="s">
        <v>589</v>
      </c>
      <c r="Q54" s="31" t="s">
        <v>590</v>
      </c>
      <c r="R54" s="31">
        <f>IF($B$165&lt;&gt;"",1,0)</f>
        <v>0</v>
      </c>
    </row>
    <row r="55" spans="1:18">
      <c r="A55" s="41"/>
      <c r="B55" s="41"/>
      <c r="C55" s="41"/>
      <c r="D55" s="41"/>
      <c r="E55" s="41"/>
      <c r="F55" s="41"/>
      <c r="G55" s="41"/>
      <c r="H55" s="41"/>
      <c r="P55" s="31" t="s">
        <v>591</v>
      </c>
      <c r="Q55" s="31">
        <f>"B"&amp;IF(COUNT($P$169:$P$201)=0,169,MIN($P$169:$P$201))</f>
        <v>0</v>
      </c>
      <c r="R55" s="31">
        <f>IF(COUNT($P$169:$P$201)=0,1,0)</f>
        <v>0</v>
      </c>
    </row>
    <row r="56" spans="1:18">
      <c r="A56" s="41"/>
      <c r="B56" s="41"/>
      <c r="C56" s="41"/>
      <c r="D56" s="41"/>
      <c r="E56" s="41"/>
      <c r="F56" s="41"/>
      <c r="G56" s="41"/>
      <c r="H56" s="41"/>
      <c r="P56" s="31" t="s">
        <v>592</v>
      </c>
      <c r="Q56" s="31" t="s">
        <v>593</v>
      </c>
      <c r="R56" s="31">
        <f>IF(COUNTBLANK($E$222:$E$233)=0,1,0)</f>
        <v>0</v>
      </c>
    </row>
    <row r="57" spans="1:18">
      <c r="A57" s="41"/>
      <c r="B57" s="41"/>
      <c r="C57" s="41"/>
      <c r="D57" s="41"/>
      <c r="E57" s="41"/>
      <c r="F57" s="41"/>
      <c r="G57" s="41"/>
      <c r="H57" s="41"/>
    </row>
    <row r="58" spans="1:18">
      <c r="A58" s="41"/>
      <c r="B58" s="41"/>
      <c r="C58" s="41"/>
      <c r="D58" s="41"/>
      <c r="E58" s="41"/>
      <c r="F58" s="41"/>
      <c r="G58" s="41"/>
      <c r="H58" s="41"/>
    </row>
    <row r="59" spans="1:18">
      <c r="A59" s="41"/>
      <c r="B59" s="41"/>
      <c r="C59" s="41"/>
      <c r="D59" s="41"/>
      <c r="E59" s="41"/>
      <c r="F59" s="41"/>
      <c r="G59" s="41"/>
      <c r="H59" s="41"/>
    </row>
    <row r="60" spans="1:18">
      <c r="A60" s="41"/>
      <c r="B60" s="41"/>
      <c r="C60" s="41"/>
      <c r="D60" s="41"/>
      <c r="E60" s="41"/>
      <c r="F60" s="41"/>
      <c r="G60" s="41"/>
      <c r="H60" s="41"/>
    </row>
    <row r="62" spans="1:18">
      <c r="A62" s="3" t="s">
        <v>358</v>
      </c>
      <c r="B62" s="3"/>
      <c r="C62" s="3"/>
      <c r="D62" s="3"/>
      <c r="E62" s="3"/>
      <c r="F62" s="3"/>
      <c r="G62" s="3"/>
      <c r="H62" s="3"/>
    </row>
    <row r="63" spans="1:18">
      <c r="A63" s="17" t="s">
        <v>359</v>
      </c>
      <c r="B63" s="18">
        <f>IFERROR(INDEX(P_Crit,MATCH($B$15,P_Regimes,0)),"")</f>
        <v>0</v>
      </c>
    </row>
    <row r="64" spans="1:18">
      <c r="A64" s="17" t="s">
        <v>360</v>
      </c>
      <c r="B64" s="18">
        <f>IFERROR(INDEX(P_SecDelta,MATCH($B$16,P_SecCodes,0)),"")</f>
        <v>0</v>
      </c>
    </row>
    <row r="65" spans="1:8">
      <c r="A65" s="17" t="s">
        <v>361</v>
      </c>
      <c r="B65" s="18">
        <f>IFERROR(INDEX(P_PhaseMaj,MATCH($B$17,P_PhaseCodes,0)),"")</f>
        <v>0</v>
      </c>
    </row>
    <row r="66" spans="1:8">
      <c r="A66" s="11" t="s">
        <v>362</v>
      </c>
      <c r="B66" s="11" t="s">
        <v>5</v>
      </c>
      <c r="C66" s="11" t="s">
        <v>6</v>
      </c>
      <c r="D66" s="11" t="s">
        <v>7</v>
      </c>
      <c r="E66" s="11" t="s">
        <v>363</v>
      </c>
    </row>
    <row r="67" spans="1:8">
      <c r="A67" s="21" t="s">
        <v>364</v>
      </c>
      <c r="B67" s="18">
        <f>IFERROR(INDEX(P_Crit,MATCH($B$15,P_Regimes,0))+$B$64+$B$65,"")</f>
        <v>0</v>
      </c>
      <c r="C67" s="18">
        <f>IFERROR(INDEX(P_Vig,MATCH($B$15,P_Regimes,0))+$B$64+$B$65,"")</f>
        <v>0</v>
      </c>
      <c r="D67" s="18">
        <f>IFERROR(INDEX(P_Fav,MATCH($B$15,P_Regimes,0))+$B$64+$B$65,"")</f>
        <v>0</v>
      </c>
      <c r="E67" s="18">
        <f>D67</f>
        <v>0</v>
      </c>
    </row>
    <row r="69" spans="1:8">
      <c r="A69" s="3" t="s">
        <v>365</v>
      </c>
      <c r="B69" s="3"/>
      <c r="C69" s="3"/>
      <c r="D69" s="3"/>
      <c r="E69" s="3"/>
      <c r="F69" s="3"/>
      <c r="G69" s="3"/>
      <c r="H69" s="3"/>
    </row>
    <row r="70" spans="1:8">
      <c r="A70" s="17" t="s">
        <v>366</v>
      </c>
      <c r="B70" s="43"/>
      <c r="C70" s="44" t="s">
        <v>731</v>
      </c>
      <c r="D70" s="44"/>
      <c r="E70" s="44"/>
      <c r="F70" s="44"/>
      <c r="G70" s="44"/>
      <c r="H70" s="44"/>
    </row>
    <row r="71" spans="1:8" ht="30" customHeight="1">
      <c r="A71" s="11" t="s">
        <v>368</v>
      </c>
      <c r="B71" s="11" t="s">
        <v>369</v>
      </c>
      <c r="C71" s="11" t="s">
        <v>356</v>
      </c>
      <c r="D71" s="11" t="s">
        <v>370</v>
      </c>
      <c r="E71" s="11" t="s">
        <v>371</v>
      </c>
      <c r="F71" s="11" t="s">
        <v>372</v>
      </c>
      <c r="G71" s="11" t="s">
        <v>373</v>
      </c>
      <c r="H71" s="11" t="s">
        <v>374</v>
      </c>
    </row>
    <row r="72" spans="1:8">
      <c r="A72" s="41"/>
      <c r="B72" s="39"/>
      <c r="C72" s="45"/>
      <c r="D72" s="19">
        <f>IF(OR(B72="",C72=""),"",IF(C72=0,"",B72/C72))</f>
        <v>0</v>
      </c>
      <c r="E72" s="7">
        <f>IF(B72="","",IF(C72=0,"Différé",IF(B72&lt;0,"Critique",IF(D72&lt;$B$67,"Critique",IF(D72&lt;$C$67,"Vigilance",IF(D72&lt;$D$67,"Favorable","Très favorable"))))))</f>
        <v>0</v>
      </c>
      <c r="F72" s="39"/>
      <c r="G72" s="19">
        <f>IF(OR(B72="",C72="",C72=0),"",IF(F72&lt;&gt;"",F72,B72*(1-$B$70))/C72)</f>
        <v>0</v>
      </c>
      <c r="H72" s="19"/>
    </row>
    <row r="73" spans="1:8">
      <c r="A73" s="41"/>
      <c r="B73" s="39"/>
      <c r="C73" s="45"/>
      <c r="D73" s="19">
        <f>IF(OR(B73="",C73=""),"",IF(C73=0,"",B73/C73))</f>
        <v>0</v>
      </c>
      <c r="E73" s="7">
        <f>IF(B73="","",IF(C73=0,"Différé",IF(B73&lt;0,"Critique",IF(D73&lt;$B$67,"Critique",IF(D73&lt;$C$67,"Vigilance",IF(D73&lt;$D$67,"Favorable","Très favorable"))))))</f>
        <v>0</v>
      </c>
      <c r="F73" s="39"/>
      <c r="G73" s="19">
        <f>IF(OR(B73="",C73="",C73=0),"",IF(F73&lt;&gt;"",F73,B73*(1-$B$70))/C73)</f>
        <v>0</v>
      </c>
      <c r="H73" s="19">
        <f>IF(AND($B$18="Semestrielle",B73&lt;&gt;"",B72&lt;&gt;"",N(C73)+N(C72)&gt;0),(B73+B72)/(C73+C72),"")</f>
        <v>0</v>
      </c>
    </row>
    <row r="74" spans="1:8">
      <c r="A74" s="41"/>
      <c r="B74" s="39"/>
      <c r="C74" s="45"/>
      <c r="D74" s="19">
        <f>IF(OR(B74="",C74=""),"",IF(C74=0,"",B74/C74))</f>
        <v>0</v>
      </c>
      <c r="E74" s="7">
        <f>IF(B74="","",IF(C74=0,"Différé",IF(B74&lt;0,"Critique",IF(D74&lt;$B$67,"Critique",IF(D74&lt;$C$67,"Vigilance",IF(D74&lt;$D$67,"Favorable","Très favorable"))))))</f>
        <v>0</v>
      </c>
      <c r="F74" s="39"/>
      <c r="G74" s="19">
        <f>IF(OR(B74="",C74="",C74=0),"",IF(F74&lt;&gt;"",F74,B74*(1-$B$70))/C74)</f>
        <v>0</v>
      </c>
      <c r="H74" s="19"/>
    </row>
    <row r="75" spans="1:8">
      <c r="A75" s="41"/>
      <c r="B75" s="39"/>
      <c r="C75" s="45"/>
      <c r="D75" s="19">
        <f>IF(OR(B75="",C75=""),"",IF(C75=0,"",B75/C75))</f>
        <v>0</v>
      </c>
      <c r="E75" s="7">
        <f>IF(B75="","",IF(C75=0,"Différé",IF(B75&lt;0,"Critique",IF(D75&lt;$B$67,"Critique",IF(D75&lt;$C$67,"Vigilance",IF(D75&lt;$D$67,"Favorable","Très favorable"))))))</f>
        <v>0</v>
      </c>
      <c r="F75" s="39"/>
      <c r="G75" s="19">
        <f>IF(OR(B75="",C75="",C75=0),"",IF(F75&lt;&gt;"",F75,B75*(1-$B$70))/C75)</f>
        <v>0</v>
      </c>
      <c r="H75" s="19">
        <f>IF(AND($B$18="Semestrielle",B75&lt;&gt;"",B74&lt;&gt;"",N(C75)+N(C74)&gt;0),(B75+B74)/(C75+C74),"")</f>
        <v>0</v>
      </c>
    </row>
    <row r="76" spans="1:8">
      <c r="A76" s="41"/>
      <c r="B76" s="39"/>
      <c r="C76" s="45"/>
      <c r="D76" s="19">
        <f>IF(OR(B76="",C76=""),"",IF(C76=0,"",B76/C76))</f>
        <v>0</v>
      </c>
      <c r="E76" s="7">
        <f>IF(B76="","",IF(C76=0,"Différé",IF(B76&lt;0,"Critique",IF(D76&lt;$B$67,"Critique",IF(D76&lt;$C$67,"Vigilance",IF(D76&lt;$D$67,"Favorable","Très favorable"))))))</f>
        <v>0</v>
      </c>
      <c r="F76" s="39"/>
      <c r="G76" s="19">
        <f>IF(OR(B76="",C76="",C76=0),"",IF(F76&lt;&gt;"",F76,B76*(1-$B$70))/C76)</f>
        <v>0</v>
      </c>
      <c r="H76" s="19"/>
    </row>
    <row r="77" spans="1:8">
      <c r="A77" s="41"/>
      <c r="B77" s="39"/>
      <c r="C77" s="45"/>
      <c r="D77" s="19">
        <f>IF(OR(B77="",C77=""),"",IF(C77=0,"",B77/C77))</f>
        <v>0</v>
      </c>
      <c r="E77" s="7">
        <f>IF(B77="","",IF(C77=0,"Différé",IF(B77&lt;0,"Critique",IF(D77&lt;$B$67,"Critique",IF(D77&lt;$C$67,"Vigilance",IF(D77&lt;$D$67,"Favorable","Très favorable"))))))</f>
        <v>0</v>
      </c>
      <c r="F77" s="39"/>
      <c r="G77" s="19">
        <f>IF(OR(B77="",C77="",C77=0),"",IF(F77&lt;&gt;"",F77,B77*(1-$B$70))/C77)</f>
        <v>0</v>
      </c>
      <c r="H77" s="19">
        <f>IF(AND($B$18="Semestrielle",B77&lt;&gt;"",B76&lt;&gt;"",N(C77)+N(C76)&gt;0),(B77+B76)/(C77+C76),"")</f>
        <v>0</v>
      </c>
    </row>
    <row r="78" spans="1:8">
      <c r="A78" s="41"/>
      <c r="B78" s="39"/>
      <c r="C78" s="45"/>
      <c r="D78" s="19">
        <f>IF(OR(B78="",C78=""),"",IF(C78=0,"",B78/C78))</f>
        <v>0</v>
      </c>
      <c r="E78" s="7">
        <f>IF(B78="","",IF(C78=0,"Différé",IF(B78&lt;0,"Critique",IF(D78&lt;$B$67,"Critique",IF(D78&lt;$C$67,"Vigilance",IF(D78&lt;$D$67,"Favorable","Très favorable"))))))</f>
        <v>0</v>
      </c>
      <c r="F78" s="39"/>
      <c r="G78" s="19">
        <f>IF(OR(B78="",C78="",C78=0),"",IF(F78&lt;&gt;"",F78,B78*(1-$B$70))/C78)</f>
        <v>0</v>
      </c>
      <c r="H78" s="19"/>
    </row>
    <row r="79" spans="1:8">
      <c r="A79" s="41"/>
      <c r="B79" s="39"/>
      <c r="C79" s="45"/>
      <c r="D79" s="19">
        <f>IF(OR(B79="",C79=""),"",IF(C79=0,"",B79/C79))</f>
        <v>0</v>
      </c>
      <c r="E79" s="7">
        <f>IF(B79="","",IF(C79=0,"Différé",IF(B79&lt;0,"Critique",IF(D79&lt;$B$67,"Critique",IF(D79&lt;$C$67,"Vigilance",IF(D79&lt;$D$67,"Favorable","Très favorable"))))))</f>
        <v>0</v>
      </c>
      <c r="F79" s="39"/>
      <c r="G79" s="19">
        <f>IF(OR(B79="",C79="",C79=0),"",IF(F79&lt;&gt;"",F79,B79*(1-$B$70))/C79)</f>
        <v>0</v>
      </c>
      <c r="H79" s="19">
        <f>IF(AND($B$18="Semestrielle",B79&lt;&gt;"",B78&lt;&gt;"",N(C79)+N(C78)&gt;0),(B79+B78)/(C79+C78),"")</f>
        <v>0</v>
      </c>
    </row>
    <row r="80" spans="1:8">
      <c r="A80" s="41"/>
      <c r="B80" s="39"/>
      <c r="C80" s="45"/>
      <c r="D80" s="19">
        <f>IF(OR(B80="",C80=""),"",IF(C80=0,"",B80/C80))</f>
        <v>0</v>
      </c>
      <c r="E80" s="7">
        <f>IF(B80="","",IF(C80=0,"Différé",IF(B80&lt;0,"Critique",IF(D80&lt;$B$67,"Critique",IF(D80&lt;$C$67,"Vigilance",IF(D80&lt;$D$67,"Favorable","Très favorable"))))))</f>
        <v>0</v>
      </c>
      <c r="F80" s="39"/>
      <c r="G80" s="19">
        <f>IF(OR(B80="",C80="",C80=0),"",IF(F80&lt;&gt;"",F80,B80*(1-$B$70))/C80)</f>
        <v>0</v>
      </c>
      <c r="H80" s="19"/>
    </row>
    <row r="81" spans="1:8">
      <c r="A81" s="41"/>
      <c r="B81" s="39"/>
      <c r="C81" s="45"/>
      <c r="D81" s="19">
        <f>IF(OR(B81="",C81=""),"",IF(C81=0,"",B81/C81))</f>
        <v>0</v>
      </c>
      <c r="E81" s="7">
        <f>IF(B81="","",IF(C81=0,"Différé",IF(B81&lt;0,"Critique",IF(D81&lt;$B$67,"Critique",IF(D81&lt;$C$67,"Vigilance",IF(D81&lt;$D$67,"Favorable","Très favorable"))))))</f>
        <v>0</v>
      </c>
      <c r="F81" s="39"/>
      <c r="G81" s="19">
        <f>IF(OR(B81="",C81="",C81=0),"",IF(F81&lt;&gt;"",F81,B81*(1-$B$70))/C81)</f>
        <v>0</v>
      </c>
      <c r="H81" s="19">
        <f>IF(AND($B$18="Semestrielle",B81&lt;&gt;"",B80&lt;&gt;"",N(C81)+N(C80)&gt;0),(B81+B80)/(C81+C80),"")</f>
        <v>0</v>
      </c>
    </row>
    <row r="82" spans="1:8">
      <c r="A82" s="41"/>
      <c r="B82" s="39"/>
      <c r="C82" s="45"/>
      <c r="D82" s="19">
        <f>IF(OR(B82="",C82=""),"",IF(C82=0,"",B82/C82))</f>
        <v>0</v>
      </c>
      <c r="E82" s="7">
        <f>IF(B82="","",IF(C82=0,"Différé",IF(B82&lt;0,"Critique",IF(D82&lt;$B$67,"Critique",IF(D82&lt;$C$67,"Vigilance",IF(D82&lt;$D$67,"Favorable","Très favorable"))))))</f>
        <v>0</v>
      </c>
      <c r="F82" s="39"/>
      <c r="G82" s="19">
        <f>IF(OR(B82="",C82="",C82=0),"",IF(F82&lt;&gt;"",F82,B82*(1-$B$70))/C82)</f>
        <v>0</v>
      </c>
      <c r="H82" s="19"/>
    </row>
    <row r="83" spans="1:8">
      <c r="A83" s="41"/>
      <c r="B83" s="39"/>
      <c r="C83" s="45"/>
      <c r="D83" s="19">
        <f>IF(OR(B83="",C83=""),"",IF(C83=0,"",B83/C83))</f>
        <v>0</v>
      </c>
      <c r="E83" s="7">
        <f>IF(B83="","",IF(C83=0,"Différé",IF(B83&lt;0,"Critique",IF(D83&lt;$B$67,"Critique",IF(D83&lt;$C$67,"Vigilance",IF(D83&lt;$D$67,"Favorable","Très favorable"))))))</f>
        <v>0</v>
      </c>
      <c r="F83" s="39"/>
      <c r="G83" s="19">
        <f>IF(OR(B83="",C83="",C83=0),"",IF(F83&lt;&gt;"",F83,B83*(1-$B$70))/C83)</f>
        <v>0</v>
      </c>
      <c r="H83" s="19">
        <f>IF(AND($B$18="Semestrielle",B83&lt;&gt;"",B82&lt;&gt;"",N(C83)+N(C82)&gt;0),(B83+B82)/(C83+C82),"")</f>
        <v>0</v>
      </c>
    </row>
    <row r="84" spans="1:8">
      <c r="A84" s="41"/>
      <c r="B84" s="39"/>
      <c r="C84" s="45"/>
      <c r="D84" s="19">
        <f>IF(OR(B84="",C84=""),"",IF(C84=0,"",B84/C84))</f>
        <v>0</v>
      </c>
      <c r="E84" s="7">
        <f>IF(B84="","",IF(C84=0,"Différé",IF(B84&lt;0,"Critique",IF(D84&lt;$B$67,"Critique",IF(D84&lt;$C$67,"Vigilance",IF(D84&lt;$D$67,"Favorable","Très favorable"))))))</f>
        <v>0</v>
      </c>
      <c r="F84" s="39"/>
      <c r="G84" s="19">
        <f>IF(OR(B84="",C84="",C84=0),"",IF(F84&lt;&gt;"",F84,B84*(1-$B$70))/C84)</f>
        <v>0</v>
      </c>
      <c r="H84" s="19"/>
    </row>
    <row r="85" spans="1:8">
      <c r="A85" s="41"/>
      <c r="B85" s="39"/>
      <c r="C85" s="45"/>
      <c r="D85" s="19">
        <f>IF(OR(B85="",C85=""),"",IF(C85=0,"",B85/C85))</f>
        <v>0</v>
      </c>
      <c r="E85" s="7">
        <f>IF(B85="","",IF(C85=0,"Différé",IF(B85&lt;0,"Critique",IF(D85&lt;$B$67,"Critique",IF(D85&lt;$C$67,"Vigilance",IF(D85&lt;$D$67,"Favorable","Très favorable"))))))</f>
        <v>0</v>
      </c>
      <c r="F85" s="39"/>
      <c r="G85" s="19">
        <f>IF(OR(B85="",C85="",C85=0),"",IF(F85&lt;&gt;"",F85,B85*(1-$B$70))/C85)</f>
        <v>0</v>
      </c>
      <c r="H85" s="19">
        <f>IF(AND($B$18="Semestrielle",B85&lt;&gt;"",B84&lt;&gt;"",N(C85)+N(C84)&gt;0),(B85+B84)/(C85+C84),"")</f>
        <v>0</v>
      </c>
    </row>
    <row r="86" spans="1:8">
      <c r="A86" s="41"/>
      <c r="B86" s="39"/>
      <c r="C86" s="45"/>
      <c r="D86" s="19">
        <f>IF(OR(B86="",C86=""),"",IF(C86=0,"",B86/C86))</f>
        <v>0</v>
      </c>
      <c r="E86" s="7">
        <f>IF(B86="","",IF(C86=0,"Différé",IF(B86&lt;0,"Critique",IF(D86&lt;$B$67,"Critique",IF(D86&lt;$C$67,"Vigilance",IF(D86&lt;$D$67,"Favorable","Très favorable"))))))</f>
        <v>0</v>
      </c>
      <c r="F86" s="39"/>
      <c r="G86" s="19">
        <f>IF(OR(B86="",C86="",C86=0),"",IF(F86&lt;&gt;"",F86,B86*(1-$B$70))/C86)</f>
        <v>0</v>
      </c>
      <c r="H86" s="19"/>
    </row>
    <row r="87" spans="1:8">
      <c r="A87" s="41"/>
      <c r="B87" s="39"/>
      <c r="C87" s="45"/>
      <c r="D87" s="19">
        <f>IF(OR(B87="",C87=""),"",IF(C87=0,"",B87/C87))</f>
        <v>0</v>
      </c>
      <c r="E87" s="7">
        <f>IF(B87="","",IF(C87=0,"Différé",IF(B87&lt;0,"Critique",IF(D87&lt;$B$67,"Critique",IF(D87&lt;$C$67,"Vigilance",IF(D87&lt;$D$67,"Favorable","Très favorable"))))))</f>
        <v>0</v>
      </c>
      <c r="F87" s="39"/>
      <c r="G87" s="19">
        <f>IF(OR(B87="",C87="",C87=0),"",IF(F87&lt;&gt;"",F87,B87*(1-$B$70))/C87)</f>
        <v>0</v>
      </c>
      <c r="H87" s="19">
        <f>IF(AND($B$18="Semestrielle",B87&lt;&gt;"",B86&lt;&gt;"",N(C87)+N(C86)&gt;0),(B87+B86)/(C87+C86),"")</f>
        <v>0</v>
      </c>
    </row>
    <row r="88" spans="1:8">
      <c r="A88" s="41"/>
      <c r="B88" s="39"/>
      <c r="C88" s="45"/>
      <c r="D88" s="19">
        <f>IF(OR(B88="",C88=""),"",IF(C88=0,"",B88/C88))</f>
        <v>0</v>
      </c>
      <c r="E88" s="7">
        <f>IF(B88="","",IF(C88=0,"Différé",IF(B88&lt;0,"Critique",IF(D88&lt;$B$67,"Critique",IF(D88&lt;$C$67,"Vigilance",IF(D88&lt;$D$67,"Favorable","Très favorable"))))))</f>
        <v>0</v>
      </c>
      <c r="F88" s="39"/>
      <c r="G88" s="19">
        <f>IF(OR(B88="",C88="",C88=0),"",IF(F88&lt;&gt;"",F88,B88*(1-$B$70))/C88)</f>
        <v>0</v>
      </c>
      <c r="H88" s="19"/>
    </row>
    <row r="89" spans="1:8">
      <c r="A89" s="41"/>
      <c r="B89" s="39"/>
      <c r="C89" s="45"/>
      <c r="D89" s="19">
        <f>IF(OR(B89="",C89=""),"",IF(C89=0,"",B89/C89))</f>
        <v>0</v>
      </c>
      <c r="E89" s="7">
        <f>IF(B89="","",IF(C89=0,"Différé",IF(B89&lt;0,"Critique",IF(D89&lt;$B$67,"Critique",IF(D89&lt;$C$67,"Vigilance",IF(D89&lt;$D$67,"Favorable","Très favorable"))))))</f>
        <v>0</v>
      </c>
      <c r="F89" s="39"/>
      <c r="G89" s="19">
        <f>IF(OR(B89="",C89="",C89=0),"",IF(F89&lt;&gt;"",F89,B89*(1-$B$70))/C89)</f>
        <v>0</v>
      </c>
      <c r="H89" s="19">
        <f>IF(AND($B$18="Semestrielle",B89&lt;&gt;"",B88&lt;&gt;"",N(C89)+N(C88)&gt;0),(B89+B88)/(C89+C88),"")</f>
        <v>0</v>
      </c>
    </row>
    <row r="90" spans="1:8">
      <c r="A90" s="41"/>
      <c r="B90" s="39"/>
      <c r="C90" s="45"/>
      <c r="D90" s="19">
        <f>IF(OR(B90="",C90=""),"",IF(C90=0,"",B90/C90))</f>
        <v>0</v>
      </c>
      <c r="E90" s="7">
        <f>IF(B90="","",IF(C90=0,"Différé",IF(B90&lt;0,"Critique",IF(D90&lt;$B$67,"Critique",IF(D90&lt;$C$67,"Vigilance",IF(D90&lt;$D$67,"Favorable","Très favorable"))))))</f>
        <v>0</v>
      </c>
      <c r="F90" s="39"/>
      <c r="G90" s="19">
        <f>IF(OR(B90="",C90="",C90=0),"",IF(F90&lt;&gt;"",F90,B90*(1-$B$70))/C90)</f>
        <v>0</v>
      </c>
      <c r="H90" s="19"/>
    </row>
    <row r="91" spans="1:8">
      <c r="A91" s="41"/>
      <c r="B91" s="39"/>
      <c r="C91" s="45"/>
      <c r="D91" s="19">
        <f>IF(OR(B91="",C91=""),"",IF(C91=0,"",B91/C91))</f>
        <v>0</v>
      </c>
      <c r="E91" s="7">
        <f>IF(B91="","",IF(C91=0,"Différé",IF(B91&lt;0,"Critique",IF(D91&lt;$B$67,"Critique",IF(D91&lt;$C$67,"Vigilance",IF(D91&lt;$D$67,"Favorable","Très favorable"))))))</f>
        <v>0</v>
      </c>
      <c r="F91" s="39"/>
      <c r="G91" s="19">
        <f>IF(OR(B91="",C91="",C91=0),"",IF(F91&lt;&gt;"",F91,B91*(1-$B$70))/C91)</f>
        <v>0</v>
      </c>
      <c r="H91" s="19">
        <f>IF(AND($B$18="Semestrielle",B91&lt;&gt;"",B90&lt;&gt;"",N(C91)+N(C90)&gt;0),(B91+B90)/(C91+C90),"")</f>
        <v>0</v>
      </c>
    </row>
    <row r="92" spans="1:8">
      <c r="A92" s="41"/>
      <c r="B92" s="39"/>
      <c r="C92" s="45"/>
      <c r="D92" s="19">
        <f>IF(OR(B92="",C92=""),"",IF(C92=0,"",B92/C92))</f>
        <v>0</v>
      </c>
      <c r="E92" s="7">
        <f>IF(B92="","",IF(C92=0,"Différé",IF(B92&lt;0,"Critique",IF(D92&lt;$B$67,"Critique",IF(D92&lt;$C$67,"Vigilance",IF(D92&lt;$D$67,"Favorable","Très favorable"))))))</f>
        <v>0</v>
      </c>
      <c r="F92" s="39"/>
      <c r="G92" s="19">
        <f>IF(OR(B92="",C92="",C92=0),"",IF(F92&lt;&gt;"",F92,B92*(1-$B$70))/C92)</f>
        <v>0</v>
      </c>
      <c r="H92" s="19"/>
    </row>
    <row r="93" spans="1:8">
      <c r="A93" s="41"/>
      <c r="B93" s="39"/>
      <c r="C93" s="45"/>
      <c r="D93" s="19">
        <f>IF(OR(B93="",C93=""),"",IF(C93=0,"",B93/C93))</f>
        <v>0</v>
      </c>
      <c r="E93" s="7">
        <f>IF(B93="","",IF(C93=0,"Différé",IF(B93&lt;0,"Critique",IF(D93&lt;$B$67,"Critique",IF(D93&lt;$C$67,"Vigilance",IF(D93&lt;$D$67,"Favorable","Très favorable"))))))</f>
        <v>0</v>
      </c>
      <c r="F93" s="39"/>
      <c r="G93" s="19">
        <f>IF(OR(B93="",C93="",C93=0),"",IF(F93&lt;&gt;"",F93,B93*(1-$B$70))/C93)</f>
        <v>0</v>
      </c>
      <c r="H93" s="19">
        <f>IF(AND($B$18="Semestrielle",B93&lt;&gt;"",B92&lt;&gt;"",N(C93)+N(C92)&gt;0),(B93+B92)/(C93+C92),"")</f>
        <v>0</v>
      </c>
    </row>
    <row r="94" spans="1:8">
      <c r="A94" s="41"/>
      <c r="B94" s="39"/>
      <c r="C94" s="45"/>
      <c r="D94" s="19">
        <f>IF(OR(B94="",C94=""),"",IF(C94=0,"",B94/C94))</f>
        <v>0</v>
      </c>
      <c r="E94" s="7">
        <f>IF(B94="","",IF(C94=0,"Différé",IF(B94&lt;0,"Critique",IF(D94&lt;$B$67,"Critique",IF(D94&lt;$C$67,"Vigilance",IF(D94&lt;$D$67,"Favorable","Très favorable"))))))</f>
        <v>0</v>
      </c>
      <c r="F94" s="39"/>
      <c r="G94" s="19">
        <f>IF(OR(B94="",C94="",C94=0),"",IF(F94&lt;&gt;"",F94,B94*(1-$B$70))/C94)</f>
        <v>0</v>
      </c>
      <c r="H94" s="19"/>
    </row>
    <row r="95" spans="1:8">
      <c r="A95" s="41"/>
      <c r="B95" s="39"/>
      <c r="C95" s="45"/>
      <c r="D95" s="19">
        <f>IF(OR(B95="",C95=""),"",IF(C95=0,"",B95/C95))</f>
        <v>0</v>
      </c>
      <c r="E95" s="7">
        <f>IF(B95="","",IF(C95=0,"Différé",IF(B95&lt;0,"Critique",IF(D95&lt;$B$67,"Critique",IF(D95&lt;$C$67,"Vigilance",IF(D95&lt;$D$67,"Favorable","Très favorable"))))))</f>
        <v>0</v>
      </c>
      <c r="F95" s="39"/>
      <c r="G95" s="19">
        <f>IF(OR(B95="",C95="",C95=0),"",IF(F95&lt;&gt;"",F95,B95*(1-$B$70))/C95)</f>
        <v>0</v>
      </c>
      <c r="H95" s="19">
        <f>IF(AND($B$18="Semestrielle",B95&lt;&gt;"",B94&lt;&gt;"",N(C95)+N(C94)&gt;0),(B95+B94)/(C95+C94),"")</f>
        <v>0</v>
      </c>
    </row>
    <row r="96" spans="1:8">
      <c r="A96" s="41"/>
      <c r="B96" s="39"/>
      <c r="C96" s="45"/>
      <c r="D96" s="19">
        <f>IF(OR(B96="",C96=""),"",IF(C96=0,"",B96/C96))</f>
        <v>0</v>
      </c>
      <c r="E96" s="7">
        <f>IF(B96="","",IF(C96=0,"Différé",IF(B96&lt;0,"Critique",IF(D96&lt;$B$67,"Critique",IF(D96&lt;$C$67,"Vigilance",IF(D96&lt;$D$67,"Favorable","Très favorable"))))))</f>
        <v>0</v>
      </c>
      <c r="F96" s="39"/>
      <c r="G96" s="19">
        <f>IF(OR(B96="",C96="",C96=0),"",IF(F96&lt;&gt;"",F96,B96*(1-$B$70))/C96)</f>
        <v>0</v>
      </c>
      <c r="H96" s="19"/>
    </row>
    <row r="97" spans="1:8">
      <c r="A97" s="41"/>
      <c r="B97" s="39"/>
      <c r="C97" s="45"/>
      <c r="D97" s="19">
        <f>IF(OR(B97="",C97=""),"",IF(C97=0,"",B97/C97))</f>
        <v>0</v>
      </c>
      <c r="E97" s="7">
        <f>IF(B97="","",IF(C97=0,"Différé",IF(B97&lt;0,"Critique",IF(D97&lt;$B$67,"Critique",IF(D97&lt;$C$67,"Vigilance",IF(D97&lt;$D$67,"Favorable","Très favorable"))))))</f>
        <v>0</v>
      </c>
      <c r="F97" s="39"/>
      <c r="G97" s="19">
        <f>IF(OR(B97="",C97="",C97=0),"",IF(F97&lt;&gt;"",F97,B97*(1-$B$70))/C97)</f>
        <v>0</v>
      </c>
      <c r="H97" s="19">
        <f>IF(AND($B$18="Semestrielle",B97&lt;&gt;"",B96&lt;&gt;"",N(C97)+N(C96)&gt;0),(B97+B96)/(C97+C96),"")</f>
        <v>0</v>
      </c>
    </row>
    <row r="98" spans="1:8">
      <c r="A98" s="41"/>
      <c r="B98" s="39"/>
      <c r="C98" s="45"/>
      <c r="D98" s="19">
        <f>IF(OR(B98="",C98=""),"",IF(C98=0,"",B98/C98))</f>
        <v>0</v>
      </c>
      <c r="E98" s="7">
        <f>IF(B98="","",IF(C98=0,"Différé",IF(B98&lt;0,"Critique",IF(D98&lt;$B$67,"Critique",IF(D98&lt;$C$67,"Vigilance",IF(D98&lt;$D$67,"Favorable","Très favorable"))))))</f>
        <v>0</v>
      </c>
      <c r="F98" s="39"/>
      <c r="G98" s="19">
        <f>IF(OR(B98="",C98="",C98=0),"",IF(F98&lt;&gt;"",F98,B98*(1-$B$70))/C98)</f>
        <v>0</v>
      </c>
      <c r="H98" s="19"/>
    </row>
    <row r="99" spans="1:8">
      <c r="A99" s="41"/>
      <c r="B99" s="39"/>
      <c r="C99" s="45"/>
      <c r="D99" s="19">
        <f>IF(OR(B99="",C99=""),"",IF(C99=0,"",B99/C99))</f>
        <v>0</v>
      </c>
      <c r="E99" s="7">
        <f>IF(B99="","",IF(C99=0,"Différé",IF(B99&lt;0,"Critique",IF(D99&lt;$B$67,"Critique",IF(D99&lt;$C$67,"Vigilance",IF(D99&lt;$D$67,"Favorable","Très favorable"))))))</f>
        <v>0</v>
      </c>
      <c r="F99" s="39"/>
      <c r="G99" s="19">
        <f>IF(OR(B99="",C99="",C99=0),"",IF(F99&lt;&gt;"",F99,B99*(1-$B$70))/C99)</f>
        <v>0</v>
      </c>
      <c r="H99" s="19">
        <f>IF(AND($B$18="Semestrielle",B99&lt;&gt;"",B98&lt;&gt;"",N(C99)+N(C98)&gt;0),(B99+B98)/(C99+C98),"")</f>
        <v>0</v>
      </c>
    </row>
    <row r="100" spans="1:8">
      <c r="A100" s="41"/>
      <c r="B100" s="39"/>
      <c r="C100" s="45"/>
      <c r="D100" s="19">
        <f>IF(OR(B100="",C100=""),"",IF(C100=0,"",B100/C100))</f>
        <v>0</v>
      </c>
      <c r="E100" s="7">
        <f>IF(B100="","",IF(C100=0,"Différé",IF(B100&lt;0,"Critique",IF(D100&lt;$B$67,"Critique",IF(D100&lt;$C$67,"Vigilance",IF(D100&lt;$D$67,"Favorable","Très favorable"))))))</f>
        <v>0</v>
      </c>
      <c r="F100" s="39"/>
      <c r="G100" s="19">
        <f>IF(OR(B100="",C100="",C100=0),"",IF(F100&lt;&gt;"",F100,B100*(1-$B$70))/C100)</f>
        <v>0</v>
      </c>
      <c r="H100" s="19"/>
    </row>
    <row r="101" spans="1:8">
      <c r="A101" s="41"/>
      <c r="B101" s="39"/>
      <c r="C101" s="45"/>
      <c r="D101" s="19">
        <f>IF(OR(B101="",C101=""),"",IF(C101=0,"",B101/C101))</f>
        <v>0</v>
      </c>
      <c r="E101" s="7">
        <f>IF(B101="","",IF(C101=0,"Différé",IF(B101&lt;0,"Critique",IF(D101&lt;$B$67,"Critique",IF(D101&lt;$C$67,"Vigilance",IF(D101&lt;$D$67,"Favorable","Très favorable"))))))</f>
        <v>0</v>
      </c>
      <c r="F101" s="39"/>
      <c r="G101" s="19">
        <f>IF(OR(B101="",C101="",C101=0),"",IF(F101&lt;&gt;"",F101,B101*(1-$B$70))/C101)</f>
        <v>0</v>
      </c>
      <c r="H101" s="19">
        <f>IF(AND($B$18="Semestrielle",B101&lt;&gt;"",B100&lt;&gt;"",N(C101)+N(C100)&gt;0),(B101+B100)/(C101+C100),"")</f>
        <v>0</v>
      </c>
    </row>
    <row r="102" spans="1:8">
      <c r="A102" s="41"/>
      <c r="B102" s="39"/>
      <c r="C102" s="45"/>
      <c r="D102" s="19">
        <f>IF(OR(B102="",C102=""),"",IF(C102=0,"",B102/C102))</f>
        <v>0</v>
      </c>
      <c r="E102" s="7">
        <f>IF(B102="","",IF(C102=0,"Différé",IF(B102&lt;0,"Critique",IF(D102&lt;$B$67,"Critique",IF(D102&lt;$C$67,"Vigilance",IF(D102&lt;$D$67,"Favorable","Très favorable"))))))</f>
        <v>0</v>
      </c>
      <c r="F102" s="39"/>
      <c r="G102" s="19">
        <f>IF(OR(B102="",C102="",C102=0),"",IF(F102&lt;&gt;"",F102,B102*(1-$B$70))/C102)</f>
        <v>0</v>
      </c>
      <c r="H102" s="19"/>
    </row>
    <row r="103" spans="1:8">
      <c r="A103" s="41"/>
      <c r="B103" s="39"/>
      <c r="C103" s="45"/>
      <c r="D103" s="19">
        <f>IF(OR(B103="",C103=""),"",IF(C103=0,"",B103/C103))</f>
        <v>0</v>
      </c>
      <c r="E103" s="7">
        <f>IF(B103="","",IF(C103=0,"Différé",IF(B103&lt;0,"Critique",IF(D103&lt;$B$67,"Critique",IF(D103&lt;$C$67,"Vigilance",IF(D103&lt;$D$67,"Favorable","Très favorable"))))))</f>
        <v>0</v>
      </c>
      <c r="F103" s="39"/>
      <c r="G103" s="19">
        <f>IF(OR(B103="",C103="",C103=0),"",IF(F103&lt;&gt;"",F103,B103*(1-$B$70))/C103)</f>
        <v>0</v>
      </c>
      <c r="H103" s="19">
        <f>IF(AND($B$18="Semestrielle",B103&lt;&gt;"",B102&lt;&gt;"",N(C103)+N(C102)&gt;0),(B103+B102)/(C103+C102),"")</f>
        <v>0</v>
      </c>
    </row>
    <row r="104" spans="1:8">
      <c r="A104" s="41"/>
      <c r="B104" s="39"/>
      <c r="C104" s="45"/>
      <c r="D104" s="19">
        <f>IF(OR(B104="",C104=""),"",IF(C104=0,"",B104/C104))</f>
        <v>0</v>
      </c>
      <c r="E104" s="7">
        <f>IF(B104="","",IF(C104=0,"Différé",IF(B104&lt;0,"Critique",IF(D104&lt;$B$67,"Critique",IF(D104&lt;$C$67,"Vigilance",IF(D104&lt;$D$67,"Favorable","Très favorable"))))))</f>
        <v>0</v>
      </c>
      <c r="F104" s="39"/>
      <c r="G104" s="19">
        <f>IF(OR(B104="",C104="",C104=0),"",IF(F104&lt;&gt;"",F104,B104*(1-$B$70))/C104)</f>
        <v>0</v>
      </c>
      <c r="H104" s="19"/>
    </row>
    <row r="105" spans="1:8">
      <c r="A105" s="41"/>
      <c r="B105" s="39"/>
      <c r="C105" s="45"/>
      <c r="D105" s="19">
        <f>IF(OR(B105="",C105=""),"",IF(C105=0,"",B105/C105))</f>
        <v>0</v>
      </c>
      <c r="E105" s="7">
        <f>IF(B105="","",IF(C105=0,"Différé",IF(B105&lt;0,"Critique",IF(D105&lt;$B$67,"Critique",IF(D105&lt;$C$67,"Vigilance",IF(D105&lt;$D$67,"Favorable","Très favorable"))))))</f>
        <v>0</v>
      </c>
      <c r="F105" s="39"/>
      <c r="G105" s="19">
        <f>IF(OR(B105="",C105="",C105=0),"",IF(F105&lt;&gt;"",F105,B105*(1-$B$70))/C105)</f>
        <v>0</v>
      </c>
      <c r="H105" s="19">
        <f>IF(AND($B$18="Semestrielle",B105&lt;&gt;"",B104&lt;&gt;"",N(C105)+N(C104)&gt;0),(B105+B104)/(C105+C104),"")</f>
        <v>0</v>
      </c>
    </row>
    <row r="106" spans="1:8">
      <c r="A106" s="41"/>
      <c r="B106" s="39"/>
      <c r="C106" s="45"/>
      <c r="D106" s="19">
        <f>IF(OR(B106="",C106=""),"",IF(C106=0,"",B106/C106))</f>
        <v>0</v>
      </c>
      <c r="E106" s="7">
        <f>IF(B106="","",IF(C106=0,"Différé",IF(B106&lt;0,"Critique",IF(D106&lt;$B$67,"Critique",IF(D106&lt;$C$67,"Vigilance",IF(D106&lt;$D$67,"Favorable","Très favorable"))))))</f>
        <v>0</v>
      </c>
      <c r="F106" s="39"/>
      <c r="G106" s="19">
        <f>IF(OR(B106="",C106="",C106=0),"",IF(F106&lt;&gt;"",F106,B106*(1-$B$70))/C106)</f>
        <v>0</v>
      </c>
      <c r="H106" s="19"/>
    </row>
    <row r="107" spans="1:8">
      <c r="A107" s="41"/>
      <c r="B107" s="39"/>
      <c r="C107" s="45"/>
      <c r="D107" s="19">
        <f>IF(OR(B107="",C107=""),"",IF(C107=0,"",B107/C107))</f>
        <v>0</v>
      </c>
      <c r="E107" s="7">
        <f>IF(B107="","",IF(C107=0,"Différé",IF(B107&lt;0,"Critique",IF(D107&lt;$B$67,"Critique",IF(D107&lt;$C$67,"Vigilance",IF(D107&lt;$D$67,"Favorable","Très favorable"))))))</f>
        <v>0</v>
      </c>
      <c r="F107" s="39"/>
      <c r="G107" s="19">
        <f>IF(OR(B107="",C107="",C107=0),"",IF(F107&lt;&gt;"",F107,B107*(1-$B$70))/C107)</f>
        <v>0</v>
      </c>
      <c r="H107" s="19">
        <f>IF(AND($B$18="Semestrielle",B107&lt;&gt;"",B106&lt;&gt;"",N(C107)+N(C106)&gt;0),(B107+B106)/(C107+C106),"")</f>
        <v>0</v>
      </c>
    </row>
    <row r="108" spans="1:8">
      <c r="A108" s="41"/>
      <c r="B108" s="39"/>
      <c r="C108" s="45"/>
      <c r="D108" s="19">
        <f>IF(OR(B108="",C108=""),"",IF(C108=0,"",B108/C108))</f>
        <v>0</v>
      </c>
      <c r="E108" s="7">
        <f>IF(B108="","",IF(C108=0,"Différé",IF(B108&lt;0,"Critique",IF(D108&lt;$B$67,"Critique",IF(D108&lt;$C$67,"Vigilance",IF(D108&lt;$D$67,"Favorable","Très favorable"))))))</f>
        <v>0</v>
      </c>
      <c r="F108" s="39"/>
      <c r="G108" s="19">
        <f>IF(OR(B108="",C108="",C108=0),"",IF(F108&lt;&gt;"",F108,B108*(1-$B$70))/C108)</f>
        <v>0</v>
      </c>
      <c r="H108" s="19"/>
    </row>
    <row r="109" spans="1:8">
      <c r="A109" s="41"/>
      <c r="B109" s="39"/>
      <c r="C109" s="45"/>
      <c r="D109" s="19">
        <f>IF(OR(B109="",C109=""),"",IF(C109=0,"",B109/C109))</f>
        <v>0</v>
      </c>
      <c r="E109" s="7">
        <f>IF(B109="","",IF(C109=0,"Différé",IF(B109&lt;0,"Critique",IF(D109&lt;$B$67,"Critique",IF(D109&lt;$C$67,"Vigilance",IF(D109&lt;$D$67,"Favorable","Très favorable"))))))</f>
        <v>0</v>
      </c>
      <c r="F109" s="39"/>
      <c r="G109" s="19">
        <f>IF(OR(B109="",C109="",C109=0),"",IF(F109&lt;&gt;"",F109,B109*(1-$B$70))/C109)</f>
        <v>0</v>
      </c>
      <c r="H109" s="19">
        <f>IF(AND($B$18="Semestrielle",B109&lt;&gt;"",B108&lt;&gt;"",N(C109)+N(C108)&gt;0),(B109+B108)/(C109+C108),"")</f>
        <v>0</v>
      </c>
    </row>
    <row r="110" spans="1:8">
      <c r="A110" s="41"/>
      <c r="B110" s="39"/>
      <c r="C110" s="45"/>
      <c r="D110" s="19">
        <f>IF(OR(B110="",C110=""),"",IF(C110=0,"",B110/C110))</f>
        <v>0</v>
      </c>
      <c r="E110" s="7">
        <f>IF(B110="","",IF(C110=0,"Différé",IF(B110&lt;0,"Critique",IF(D110&lt;$B$67,"Critique",IF(D110&lt;$C$67,"Vigilance",IF(D110&lt;$D$67,"Favorable","Très favorable"))))))</f>
        <v>0</v>
      </c>
      <c r="F110" s="39"/>
      <c r="G110" s="19">
        <f>IF(OR(B110="",C110="",C110=0),"",IF(F110&lt;&gt;"",F110,B110*(1-$B$70))/C110)</f>
        <v>0</v>
      </c>
      <c r="H110" s="19"/>
    </row>
    <row r="111" spans="1:8">
      <c r="A111" s="41"/>
      <c r="B111" s="39"/>
      <c r="C111" s="45"/>
      <c r="D111" s="19">
        <f>IF(OR(B111="",C111=""),"",IF(C111=0,"",B111/C111))</f>
        <v>0</v>
      </c>
      <c r="E111" s="7">
        <f>IF(B111="","",IF(C111=0,"Différé",IF(B111&lt;0,"Critique",IF(D111&lt;$B$67,"Critique",IF(D111&lt;$C$67,"Vigilance",IF(D111&lt;$D$67,"Favorable","Très favorable"))))))</f>
        <v>0</v>
      </c>
      <c r="F111" s="39"/>
      <c r="G111" s="19">
        <f>IF(OR(B111="",C111="",C111=0),"",IF(F111&lt;&gt;"",F111,B111*(1-$B$70))/C111)</f>
        <v>0</v>
      </c>
      <c r="H111" s="19">
        <f>IF(AND($B$18="Semestrielle",B111&lt;&gt;"",B110&lt;&gt;"",N(C111)+N(C110)&gt;0),(B111+B110)/(C111+C110),"")</f>
        <v>0</v>
      </c>
    </row>
    <row r="112" spans="1:8">
      <c r="A112" s="41"/>
      <c r="B112" s="39"/>
      <c r="C112" s="45"/>
      <c r="D112" s="19">
        <f>IF(OR(B112="",C112=""),"",IF(C112=0,"",B112/C112))</f>
        <v>0</v>
      </c>
      <c r="E112" s="7">
        <f>IF(B112="","",IF(C112=0,"Différé",IF(B112&lt;0,"Critique",IF(D112&lt;$B$67,"Critique",IF(D112&lt;$C$67,"Vigilance",IF(D112&lt;$D$67,"Favorable","Très favorable"))))))</f>
        <v>0</v>
      </c>
      <c r="F112" s="39"/>
      <c r="G112" s="19">
        <f>IF(OR(B112="",C112="",C112=0),"",IF(F112&lt;&gt;"",F112,B112*(1-$B$70))/C112)</f>
        <v>0</v>
      </c>
      <c r="H112" s="19"/>
    </row>
    <row r="113" spans="1:8">
      <c r="A113" s="41"/>
      <c r="B113" s="39"/>
      <c r="C113" s="45"/>
      <c r="D113" s="19">
        <f>IF(OR(B113="",C113=""),"",IF(C113=0,"",B113/C113))</f>
        <v>0</v>
      </c>
      <c r="E113" s="7">
        <f>IF(B113="","",IF(C113=0,"Différé",IF(B113&lt;0,"Critique",IF(D113&lt;$B$67,"Critique",IF(D113&lt;$C$67,"Vigilance",IF(D113&lt;$D$67,"Favorable","Très favorable"))))))</f>
        <v>0</v>
      </c>
      <c r="F113" s="39"/>
      <c r="G113" s="19">
        <f>IF(OR(B113="",C113="",C113=0),"",IF(F113&lt;&gt;"",F113,B113*(1-$B$70))/C113)</f>
        <v>0</v>
      </c>
      <c r="H113" s="19">
        <f>IF(AND($B$18="Semestrielle",B113&lt;&gt;"",B112&lt;&gt;"",N(C113)+N(C112)&gt;0),(B113+B112)/(C113+C112),"")</f>
        <v>0</v>
      </c>
    </row>
    <row r="114" spans="1:8">
      <c r="A114" s="41"/>
      <c r="B114" s="39"/>
      <c r="C114" s="45"/>
      <c r="D114" s="19">
        <f>IF(OR(B114="",C114=""),"",IF(C114=0,"",B114/C114))</f>
        <v>0</v>
      </c>
      <c r="E114" s="7">
        <f>IF(B114="","",IF(C114=0,"Différé",IF(B114&lt;0,"Critique",IF(D114&lt;$B$67,"Critique",IF(D114&lt;$C$67,"Vigilance",IF(D114&lt;$D$67,"Favorable","Très favorable"))))))</f>
        <v>0</v>
      </c>
      <c r="F114" s="39"/>
      <c r="G114" s="19">
        <f>IF(OR(B114="",C114="",C114=0),"",IF(F114&lt;&gt;"",F114,B114*(1-$B$70))/C114)</f>
        <v>0</v>
      </c>
      <c r="H114" s="19"/>
    </row>
    <row r="115" spans="1:8">
      <c r="A115" s="41"/>
      <c r="B115" s="39"/>
      <c r="C115" s="45"/>
      <c r="D115" s="19">
        <f>IF(OR(B115="",C115=""),"",IF(C115=0,"",B115/C115))</f>
        <v>0</v>
      </c>
      <c r="E115" s="7">
        <f>IF(B115="","",IF(C115=0,"Différé",IF(B115&lt;0,"Critique",IF(D115&lt;$B$67,"Critique",IF(D115&lt;$C$67,"Vigilance",IF(D115&lt;$D$67,"Favorable","Très favorable"))))))</f>
        <v>0</v>
      </c>
      <c r="F115" s="39"/>
      <c r="G115" s="19">
        <f>IF(OR(B115="",C115="",C115=0),"",IF(F115&lt;&gt;"",F115,B115*(1-$B$70))/C115)</f>
        <v>0</v>
      </c>
      <c r="H115" s="19">
        <f>IF(AND($B$18="Semestrielle",B115&lt;&gt;"",B114&lt;&gt;"",N(C115)+N(C114)&gt;0),(B115+B114)/(C115+C114),"")</f>
        <v>0</v>
      </c>
    </row>
    <row r="116" spans="1:8">
      <c r="A116" s="41"/>
      <c r="B116" s="39"/>
      <c r="C116" s="45"/>
      <c r="D116" s="19">
        <f>IF(OR(B116="",C116=""),"",IF(C116=0,"",B116/C116))</f>
        <v>0</v>
      </c>
      <c r="E116" s="7">
        <f>IF(B116="","",IF(C116=0,"Différé",IF(B116&lt;0,"Critique",IF(D116&lt;$B$67,"Critique",IF(D116&lt;$C$67,"Vigilance",IF(D116&lt;$D$67,"Favorable","Très favorable"))))))</f>
        <v>0</v>
      </c>
      <c r="F116" s="39"/>
      <c r="G116" s="19">
        <f>IF(OR(B116="",C116="",C116=0),"",IF(F116&lt;&gt;"",F116,B116*(1-$B$70))/C116)</f>
        <v>0</v>
      </c>
      <c r="H116" s="19"/>
    </row>
    <row r="117" spans="1:8">
      <c r="A117" s="41"/>
      <c r="B117" s="39"/>
      <c r="C117" s="45"/>
      <c r="D117" s="19">
        <f>IF(OR(B117="",C117=""),"",IF(C117=0,"",B117/C117))</f>
        <v>0</v>
      </c>
      <c r="E117" s="7">
        <f>IF(B117="","",IF(C117=0,"Différé",IF(B117&lt;0,"Critique",IF(D117&lt;$B$67,"Critique",IF(D117&lt;$C$67,"Vigilance",IF(D117&lt;$D$67,"Favorable","Très favorable"))))))</f>
        <v>0</v>
      </c>
      <c r="F117" s="39"/>
      <c r="G117" s="19">
        <f>IF(OR(B117="",C117="",C117=0),"",IF(F117&lt;&gt;"",F117,B117*(1-$B$70))/C117)</f>
        <v>0</v>
      </c>
      <c r="H117" s="19">
        <f>IF(AND($B$18="Semestrielle",B117&lt;&gt;"",B116&lt;&gt;"",N(C117)+N(C116)&gt;0),(B117+B116)/(C117+C116),"")</f>
        <v>0</v>
      </c>
    </row>
    <row r="118" spans="1:8">
      <c r="A118" s="41"/>
      <c r="B118" s="39"/>
      <c r="C118" s="45"/>
      <c r="D118" s="19">
        <f>IF(OR(B118="",C118=""),"",IF(C118=0,"",B118/C118))</f>
        <v>0</v>
      </c>
      <c r="E118" s="7">
        <f>IF(B118="","",IF(C118=0,"Différé",IF(B118&lt;0,"Critique",IF(D118&lt;$B$67,"Critique",IF(D118&lt;$C$67,"Vigilance",IF(D118&lt;$D$67,"Favorable","Très favorable"))))))</f>
        <v>0</v>
      </c>
      <c r="F118" s="39"/>
      <c r="G118" s="19">
        <f>IF(OR(B118="",C118="",C118=0),"",IF(F118&lt;&gt;"",F118,B118*(1-$B$70))/C118)</f>
        <v>0</v>
      </c>
      <c r="H118" s="19"/>
    </row>
    <row r="119" spans="1:8">
      <c r="A119" s="41"/>
      <c r="B119" s="39"/>
      <c r="C119" s="45"/>
      <c r="D119" s="19">
        <f>IF(OR(B119="",C119=""),"",IF(C119=0,"",B119/C119))</f>
        <v>0</v>
      </c>
      <c r="E119" s="7">
        <f>IF(B119="","",IF(C119=0,"Différé",IF(B119&lt;0,"Critique",IF(D119&lt;$B$67,"Critique",IF(D119&lt;$C$67,"Vigilance",IF(D119&lt;$D$67,"Favorable","Très favorable"))))))</f>
        <v>0</v>
      </c>
      <c r="F119" s="39"/>
      <c r="G119" s="19">
        <f>IF(OR(B119="",C119="",C119=0),"",IF(F119&lt;&gt;"",F119,B119*(1-$B$70))/C119)</f>
        <v>0</v>
      </c>
      <c r="H119" s="19">
        <f>IF(AND($B$18="Semestrielle",B119&lt;&gt;"",B118&lt;&gt;"",N(C119)+N(C118)&gt;0),(B119+B118)/(C119+C118),"")</f>
        <v>0</v>
      </c>
    </row>
    <row r="120" spans="1:8">
      <c r="A120" s="41"/>
      <c r="B120" s="39"/>
      <c r="C120" s="45"/>
      <c r="D120" s="19">
        <f>IF(OR(B120="",C120=""),"",IF(C120=0,"",B120/C120))</f>
        <v>0</v>
      </c>
      <c r="E120" s="7">
        <f>IF(B120="","",IF(C120=0,"Différé",IF(B120&lt;0,"Critique",IF(D120&lt;$B$67,"Critique",IF(D120&lt;$C$67,"Vigilance",IF(D120&lt;$D$67,"Favorable","Très favorable"))))))</f>
        <v>0</v>
      </c>
      <c r="F120" s="39"/>
      <c r="G120" s="19">
        <f>IF(OR(B120="",C120="",C120=0),"",IF(F120&lt;&gt;"",F120,B120*(1-$B$70))/C120)</f>
        <v>0</v>
      </c>
      <c r="H120" s="19"/>
    </row>
    <row r="121" spans="1:8">
      <c r="A121" s="41"/>
      <c r="B121" s="39"/>
      <c r="C121" s="45"/>
      <c r="D121" s="19">
        <f>IF(OR(B121="",C121=""),"",IF(C121=0,"",B121/C121))</f>
        <v>0</v>
      </c>
      <c r="E121" s="7">
        <f>IF(B121="","",IF(C121=0,"Différé",IF(B121&lt;0,"Critique",IF(D121&lt;$B$67,"Critique",IF(D121&lt;$C$67,"Vigilance",IF(D121&lt;$D$67,"Favorable","Très favorable"))))))</f>
        <v>0</v>
      </c>
      <c r="F121" s="39"/>
      <c r="G121" s="19">
        <f>IF(OR(B121="",C121="",C121=0),"",IF(F121&lt;&gt;"",F121,B121*(1-$B$70))/C121)</f>
        <v>0</v>
      </c>
      <c r="H121" s="19">
        <f>IF(AND($B$18="Semestrielle",B121&lt;&gt;"",B120&lt;&gt;"",N(C121)+N(C120)&gt;0),(B121+B120)/(C121+C120),"")</f>
        <v>0</v>
      </c>
    </row>
    <row r="122" spans="1:8">
      <c r="A122" s="41"/>
      <c r="B122" s="39"/>
      <c r="C122" s="45"/>
      <c r="D122" s="19">
        <f>IF(OR(B122="",C122=""),"",IF(C122=0,"",B122/C122))</f>
        <v>0</v>
      </c>
      <c r="E122" s="7">
        <f>IF(B122="","",IF(C122=0,"Différé",IF(B122&lt;0,"Critique",IF(D122&lt;$B$67,"Critique",IF(D122&lt;$C$67,"Vigilance",IF(D122&lt;$D$67,"Favorable","Très favorable"))))))</f>
        <v>0</v>
      </c>
      <c r="F122" s="39"/>
      <c r="G122" s="19">
        <f>IF(OR(B122="",C122="",C122=0),"",IF(F122&lt;&gt;"",F122,B122*(1-$B$70))/C122)</f>
        <v>0</v>
      </c>
      <c r="H122" s="19"/>
    </row>
    <row r="123" spans="1:8">
      <c r="A123" s="41"/>
      <c r="B123" s="39"/>
      <c r="C123" s="45"/>
      <c r="D123" s="19">
        <f>IF(OR(B123="",C123=""),"",IF(C123=0,"",B123/C123))</f>
        <v>0</v>
      </c>
      <c r="E123" s="7">
        <f>IF(B123="","",IF(C123=0,"Différé",IF(B123&lt;0,"Critique",IF(D123&lt;$B$67,"Critique",IF(D123&lt;$C$67,"Vigilance",IF(D123&lt;$D$67,"Favorable","Très favorable"))))))</f>
        <v>0</v>
      </c>
      <c r="F123" s="39"/>
      <c r="G123" s="19">
        <f>IF(OR(B123="",C123="",C123=0),"",IF(F123&lt;&gt;"",F123,B123*(1-$B$70))/C123)</f>
        <v>0</v>
      </c>
      <c r="H123" s="19">
        <f>IF(AND($B$18="Semestrielle",B123&lt;&gt;"",B122&lt;&gt;"",N(C123)+N(C122)&gt;0),(B123+B122)/(C123+C122),"")</f>
        <v>0</v>
      </c>
    </row>
    <row r="124" spans="1:8">
      <c r="A124" s="41"/>
      <c r="B124" s="39"/>
      <c r="C124" s="45"/>
      <c r="D124" s="19">
        <f>IF(OR(B124="",C124=""),"",IF(C124=0,"",B124/C124))</f>
        <v>0</v>
      </c>
      <c r="E124" s="7">
        <f>IF(B124="","",IF(C124=0,"Différé",IF(B124&lt;0,"Critique",IF(D124&lt;$B$67,"Critique",IF(D124&lt;$C$67,"Vigilance",IF(D124&lt;$D$67,"Favorable","Très favorable"))))))</f>
        <v>0</v>
      </c>
      <c r="F124" s="39"/>
      <c r="G124" s="19">
        <f>IF(OR(B124="",C124="",C124=0),"",IF(F124&lt;&gt;"",F124,B124*(1-$B$70))/C124)</f>
        <v>0</v>
      </c>
      <c r="H124" s="19"/>
    </row>
    <row r="125" spans="1:8">
      <c r="A125" s="41"/>
      <c r="B125" s="39"/>
      <c r="C125" s="45"/>
      <c r="D125" s="19">
        <f>IF(OR(B125="",C125=""),"",IF(C125=0,"",B125/C125))</f>
        <v>0</v>
      </c>
      <c r="E125" s="7">
        <f>IF(B125="","",IF(C125=0,"Différé",IF(B125&lt;0,"Critique",IF(D125&lt;$B$67,"Critique",IF(D125&lt;$C$67,"Vigilance",IF(D125&lt;$D$67,"Favorable","Très favorable"))))))</f>
        <v>0</v>
      </c>
      <c r="F125" s="39"/>
      <c r="G125" s="19">
        <f>IF(OR(B125="",C125="",C125=0),"",IF(F125&lt;&gt;"",F125,B125*(1-$B$70))/C125)</f>
        <v>0</v>
      </c>
      <c r="H125" s="19">
        <f>IF(AND($B$18="Semestrielle",B125&lt;&gt;"",B124&lt;&gt;"",N(C125)+N(C124)&gt;0),(B125+B124)/(C125+C124),"")</f>
        <v>0</v>
      </c>
    </row>
    <row r="126" spans="1:8">
      <c r="A126" s="41"/>
      <c r="B126" s="39"/>
      <c r="C126" s="45"/>
      <c r="D126" s="19">
        <f>IF(OR(B126="",C126=""),"",IF(C126=0,"",B126/C126))</f>
        <v>0</v>
      </c>
      <c r="E126" s="7">
        <f>IF(B126="","",IF(C126=0,"Différé",IF(B126&lt;0,"Critique",IF(D126&lt;$B$67,"Critique",IF(D126&lt;$C$67,"Vigilance",IF(D126&lt;$D$67,"Favorable","Très favorable"))))))</f>
        <v>0</v>
      </c>
      <c r="F126" s="39"/>
      <c r="G126" s="19">
        <f>IF(OR(B126="",C126="",C126=0),"",IF(F126&lt;&gt;"",F126,B126*(1-$B$70))/C126)</f>
        <v>0</v>
      </c>
      <c r="H126" s="19"/>
    </row>
    <row r="127" spans="1:8">
      <c r="A127" s="41"/>
      <c r="B127" s="39"/>
      <c r="C127" s="45"/>
      <c r="D127" s="19">
        <f>IF(OR(B127="",C127=""),"",IF(C127=0,"",B127/C127))</f>
        <v>0</v>
      </c>
      <c r="E127" s="7">
        <f>IF(B127="","",IF(C127=0,"Différé",IF(B127&lt;0,"Critique",IF(D127&lt;$B$67,"Critique",IF(D127&lt;$C$67,"Vigilance",IF(D127&lt;$D$67,"Favorable","Très favorable"))))))</f>
        <v>0</v>
      </c>
      <c r="F127" s="39"/>
      <c r="G127" s="19">
        <f>IF(OR(B127="",C127="",C127=0),"",IF(F127&lt;&gt;"",F127,B127*(1-$B$70))/C127)</f>
        <v>0</v>
      </c>
      <c r="H127" s="19">
        <f>IF(AND($B$18="Semestrielle",B127&lt;&gt;"",B126&lt;&gt;"",N(C127)+N(C126)&gt;0),(B127+B126)/(C127+C126),"")</f>
        <v>0</v>
      </c>
    </row>
    <row r="128" spans="1:8">
      <c r="A128" s="41"/>
      <c r="B128" s="39"/>
      <c r="C128" s="45"/>
      <c r="D128" s="19">
        <f>IF(OR(B128="",C128=""),"",IF(C128=0,"",B128/C128))</f>
        <v>0</v>
      </c>
      <c r="E128" s="7">
        <f>IF(B128="","",IF(C128=0,"Différé",IF(B128&lt;0,"Critique",IF(D128&lt;$B$67,"Critique",IF(D128&lt;$C$67,"Vigilance",IF(D128&lt;$D$67,"Favorable","Très favorable"))))))</f>
        <v>0</v>
      </c>
      <c r="F128" s="39"/>
      <c r="G128" s="19">
        <f>IF(OR(B128="",C128="",C128=0),"",IF(F128&lt;&gt;"",F128,B128*(1-$B$70))/C128)</f>
        <v>0</v>
      </c>
      <c r="H128" s="19"/>
    </row>
    <row r="129" spans="1:8">
      <c r="A129" s="41"/>
      <c r="B129" s="39"/>
      <c r="C129" s="45"/>
      <c r="D129" s="19">
        <f>IF(OR(B129="",C129=""),"",IF(C129=0,"",B129/C129))</f>
        <v>0</v>
      </c>
      <c r="E129" s="7">
        <f>IF(B129="","",IF(C129=0,"Différé",IF(B129&lt;0,"Critique",IF(D129&lt;$B$67,"Critique",IF(D129&lt;$C$67,"Vigilance",IF(D129&lt;$D$67,"Favorable","Très favorable"))))))</f>
        <v>0</v>
      </c>
      <c r="F129" s="39"/>
      <c r="G129" s="19">
        <f>IF(OR(B129="",C129="",C129=0),"",IF(F129&lt;&gt;"",F129,B129*(1-$B$70))/C129)</f>
        <v>0</v>
      </c>
      <c r="H129" s="19">
        <f>IF(AND($B$18="Semestrielle",B129&lt;&gt;"",B128&lt;&gt;"",N(C129)+N(C128)&gt;0),(B129+B128)/(C129+C128),"")</f>
        <v>0</v>
      </c>
    </row>
    <row r="130" spans="1:8">
      <c r="A130" s="41"/>
      <c r="B130" s="39"/>
      <c r="C130" s="45"/>
      <c r="D130" s="19">
        <f>IF(OR(B130="",C130=""),"",IF(C130=0,"",B130/C130))</f>
        <v>0</v>
      </c>
      <c r="E130" s="7">
        <f>IF(B130="","",IF(C130=0,"Différé",IF(B130&lt;0,"Critique",IF(D130&lt;$B$67,"Critique",IF(D130&lt;$C$67,"Vigilance",IF(D130&lt;$D$67,"Favorable","Très favorable"))))))</f>
        <v>0</v>
      </c>
      <c r="F130" s="39"/>
      <c r="G130" s="19">
        <f>IF(OR(B130="",C130="",C130=0),"",IF(F130&lt;&gt;"",F130,B130*(1-$B$70))/C130)</f>
        <v>0</v>
      </c>
      <c r="H130" s="19"/>
    </row>
    <row r="131" spans="1:8">
      <c r="A131" s="41"/>
      <c r="B131" s="39"/>
      <c r="C131" s="45"/>
      <c r="D131" s="19">
        <f>IF(OR(B131="",C131=""),"",IF(C131=0,"",B131/C131))</f>
        <v>0</v>
      </c>
      <c r="E131" s="7">
        <f>IF(B131="","",IF(C131=0,"Différé",IF(B131&lt;0,"Critique",IF(D131&lt;$B$67,"Critique",IF(D131&lt;$C$67,"Vigilance",IF(D131&lt;$D$67,"Favorable","Très favorable"))))))</f>
        <v>0</v>
      </c>
      <c r="F131" s="39"/>
      <c r="G131" s="19">
        <f>IF(OR(B131="",C131="",C131=0),"",IF(F131&lt;&gt;"",F131,B131*(1-$B$70))/C131)</f>
        <v>0</v>
      </c>
      <c r="H131" s="19">
        <f>IF(AND($B$18="Semestrielle",B131&lt;&gt;"",B130&lt;&gt;"",N(C131)+N(C130)&gt;0),(B131+B130)/(C131+C130),"")</f>
        <v>0</v>
      </c>
    </row>
    <row r="133" spans="1:8">
      <c r="A133" s="21" t="s">
        <v>381</v>
      </c>
      <c r="D133" s="35">
        <f>IF(COUNT(D72:D131)=0,"",MIN(D72:D131))</f>
        <v>0</v>
      </c>
      <c r="E133" s="7">
        <f>IF(D133="","",IF(F133&gt;0,"Critique",IF(D133&lt;$B$67,"Critique",IF(D133&lt;$C$67,"Vigilance",IF(D133&lt;$D$67,"Favorable","Très favorable")))))</f>
        <v>0</v>
      </c>
      <c r="F133" s="31">
        <f>COUNTIF(B72:B131,"&lt;0")</f>
        <v>0</v>
      </c>
    </row>
    <row r="134" spans="1:8">
      <c r="A134" s="21" t="s">
        <v>382</v>
      </c>
      <c r="D134" s="35">
        <f>IF(COUNT(G72:G131)=0,"",MIN(G72:G131))</f>
        <v>0</v>
      </c>
      <c r="E134" s="7">
        <f>IF(D134="","",IF(D134&lt;$B$67,"Critique",IF(D134&lt;$C$67,"Vigilance",IF(D134&lt;$D$67,"Favorable","Très favorable"))))</f>
        <v>0</v>
      </c>
    </row>
    <row r="135" spans="1:8">
      <c r="A135" s="17" t="s">
        <v>383</v>
      </c>
      <c r="D135" s="19">
        <f>IF(SUM(C72:C131)=0,"",SUM(B72:B131)/SUM(C72:C131))</f>
        <v>0</v>
      </c>
    </row>
    <row r="136" spans="1:8">
      <c r="A136" s="17" t="s">
        <v>384</v>
      </c>
      <c r="D136" s="19">
        <f>IF(COUNT(H72:H131)=0,"",MIN(H72:H131))</f>
        <v>0</v>
      </c>
    </row>
    <row r="137" spans="1:8">
      <c r="A137" s="17" t="s">
        <v>385</v>
      </c>
      <c r="D137" s="15">
        <f>COUNT(B72:B131)</f>
        <v>0</v>
      </c>
    </row>
    <row r="140" spans="1:8">
      <c r="A140" s="3" t="s">
        <v>386</v>
      </c>
      <c r="B140" s="3"/>
      <c r="C140" s="3"/>
      <c r="D140" s="3"/>
      <c r="E140" s="3"/>
      <c r="F140" s="3"/>
      <c r="G140" s="3"/>
      <c r="H140" s="3"/>
    </row>
    <row r="141" spans="1:8">
      <c r="A141" s="11" t="s">
        <v>76</v>
      </c>
      <c r="B141" s="11" t="s">
        <v>108</v>
      </c>
      <c r="C141" s="11" t="s">
        <v>77</v>
      </c>
      <c r="D141" s="11" t="s">
        <v>387</v>
      </c>
      <c r="E141" s="11" t="s">
        <v>388</v>
      </c>
      <c r="F141" s="11"/>
      <c r="G141" s="11"/>
      <c r="H141" s="11"/>
    </row>
    <row r="142" spans="1:8">
      <c r="A142" s="17" t="s">
        <v>389</v>
      </c>
      <c r="B142" s="7">
        <f>IF($D$133="","",IF($F$133&gt;0,P_Ancre_C,IF($D$133&lt;$B$67,P_Ancre_C,IF($D$133&lt;$C$67,P_Ancre_V,IF($D$133&lt;$D$67,P_Ancre_F,P_Ancre_TF)))))</f>
        <v>0</v>
      </c>
      <c r="C142" s="27">
        <f>INDEX(P_PoidsN,1)</f>
        <v>0</v>
      </c>
      <c r="D142" s="20">
        <f>IF(ISNUMBER(B142),B142,P_InfoInsuff)*C142</f>
        <v>0</v>
      </c>
      <c r="E142" s="13">
        <f>IF($D$133="","",IF($F$133&gt;0,"CFADS négatif sur au moins une période : Critique d'office","DSCR minimum "&amp;FIXED($D$133,3)&amp;" face au seuil critique "&amp;FIXED($B$67,2)&amp;" du couple "&amp;$B$15&amp;" × "&amp;$B$16))</f>
        <v>0</v>
      </c>
      <c r="F142" s="13"/>
      <c r="G142" s="13"/>
      <c r="H142" s="13"/>
    </row>
    <row r="143" spans="1:8">
      <c r="A143" s="17" t="s">
        <v>390</v>
      </c>
      <c r="B143" s="7">
        <f>IF($D$134="","",IF($D$134&lt;$B$67,P_Ancre_C,IF($D$134&lt;$C$67,P_Ancre_V,IF($D$134&lt;$D$67,P_Ancre_F,P_Ancre_TF))))</f>
        <v>0</v>
      </c>
      <c r="C143" s="27">
        <f>INDEX(P_PoidsN,2)</f>
        <v>0</v>
      </c>
      <c r="D143" s="20">
        <f>IF(ISNUMBER(B143),B143,P_InfoInsuff)*C143</f>
        <v>0</v>
      </c>
      <c r="E143" s="13">
        <f>IF($D$134="","","DSCR stressé minimum "&amp;FIXED($D$134,3)&amp;" — "&amp;$C$70)</f>
        <v>0</v>
      </c>
      <c r="F143" s="13"/>
      <c r="G143" s="13"/>
      <c r="H143" s="13"/>
    </row>
    <row r="144" spans="1:8">
      <c r="A144" s="17" t="s">
        <v>391</v>
      </c>
      <c r="B144" s="7">
        <f>IF($B$17="P1",IF($B$48="","",IF($B$48&gt;=P_N3_TF,P_Ancre_TF,IF($B$48&gt;=P_N3_F,P_Ancre_F,IF(AND($B$48&gt;=P_N3_V,$B$50="Oui"),P_Ancre_V,P_Ancre_C)))),IF($B$150="","",$B$150))</f>
        <v>0</v>
      </c>
      <c r="C144" s="27">
        <f>INDEX(P_PoidsN,3)</f>
        <v>0</v>
      </c>
      <c r="D144" s="20">
        <f>IF(ISNUMBER(B144),B144,P_InfoInsuff)*C144</f>
        <v>0</v>
      </c>
      <c r="E144" s="13">
        <f>IF($B$17="P1",IF($B$48="","","Phase P1 : test de financement à terminaison, couverture "&amp;FIXED($B$48*100,1)&amp;" %"),"LLCR "&amp;IF($B$151="","non renseigné",FIXED($B$151,2))&amp;" — note N3 saisie ligne 150")</f>
        <v>0</v>
      </c>
      <c r="F144" s="13"/>
      <c r="G144" s="13"/>
      <c r="H144" s="13"/>
    </row>
    <row r="145" spans="1:8">
      <c r="A145" s="17" t="s">
        <v>392</v>
      </c>
      <c r="B145" s="5"/>
      <c r="C145" s="27">
        <f>INDEX(P_PoidsN,4)</f>
        <v>0</v>
      </c>
      <c r="D145" s="20">
        <f>IF(ISNUMBER(B145),B145,P_InfoInsuff)*C145</f>
        <v>0</v>
      </c>
      <c r="E145" s="44"/>
      <c r="F145" s="44"/>
      <c r="G145" s="44"/>
      <c r="H145" s="44"/>
    </row>
    <row r="146" spans="1:8">
      <c r="A146" s="17" t="s">
        <v>394</v>
      </c>
      <c r="B146" s="5"/>
      <c r="C146" s="27">
        <f>INDEX(P_PoidsN,5)</f>
        <v>0</v>
      </c>
      <c r="D146" s="20">
        <f>IF(ISNUMBER(B146),B146,P_InfoInsuff)*C146</f>
        <v>0</v>
      </c>
      <c r="E146" s="44"/>
      <c r="F146" s="44"/>
      <c r="G146" s="44"/>
      <c r="H146" s="44"/>
    </row>
    <row r="147" spans="1:8">
      <c r="A147" s="17" t="s">
        <v>396</v>
      </c>
      <c r="B147" s="5"/>
      <c r="C147" s="27">
        <f>INDEX(P_PoidsN,6)</f>
        <v>0</v>
      </c>
      <c r="D147" s="20">
        <f>IF(ISNUMBER(B147),B147,P_InfoInsuff)*C147</f>
        <v>0</v>
      </c>
      <c r="E147" s="44"/>
      <c r="F147" s="44"/>
      <c r="G147" s="44"/>
      <c r="H147" s="44"/>
    </row>
    <row r="148" spans="1:8">
      <c r="A148" s="21" t="s">
        <v>398</v>
      </c>
      <c r="D148" s="14">
        <f>SUM(D142:D147)</f>
        <v>0</v>
      </c>
    </row>
    <row r="149" spans="1:8">
      <c r="A149" s="11" t="s">
        <v>399</v>
      </c>
      <c r="B149" s="11"/>
      <c r="C149" s="11"/>
      <c r="D149" s="11"/>
      <c r="E149" s="11"/>
      <c r="F149" s="11"/>
      <c r="G149" s="11"/>
      <c r="H149" s="11"/>
    </row>
    <row r="150" spans="1:8">
      <c r="A150" s="17" t="s">
        <v>400</v>
      </c>
      <c r="B150" s="5"/>
    </row>
    <row r="151" spans="1:8">
      <c r="A151" s="17" t="s">
        <v>401</v>
      </c>
      <c r="B151" s="45"/>
    </row>
    <row r="152" spans="1:8">
      <c r="A152" s="17" t="s">
        <v>402</v>
      </c>
      <c r="B152" s="39"/>
    </row>
    <row r="153" spans="1:8">
      <c r="A153" s="17" t="s">
        <v>403</v>
      </c>
      <c r="B153" s="43"/>
    </row>
    <row r="154" spans="1:8">
      <c r="A154" s="17" t="s">
        <v>404</v>
      </c>
      <c r="B154" s="43"/>
    </row>
    <row r="155" spans="1:8">
      <c r="A155" s="17" t="s">
        <v>405</v>
      </c>
      <c r="B155" s="5"/>
    </row>
    <row r="156" spans="1:8">
      <c r="A156" s="17" t="s">
        <v>406</v>
      </c>
      <c r="B156" s="43"/>
    </row>
    <row r="157" spans="1:8">
      <c r="A157" s="17" t="s">
        <v>407</v>
      </c>
      <c r="B157" s="5"/>
    </row>
    <row r="158" spans="1:8">
      <c r="A158" s="17" t="s">
        <v>408</v>
      </c>
      <c r="B158" s="39"/>
    </row>
    <row r="159" spans="1:8">
      <c r="A159" s="17" t="s">
        <v>409</v>
      </c>
      <c r="B159" s="39"/>
    </row>
    <row r="160" spans="1:8">
      <c r="A160" s="17" t="s">
        <v>410</v>
      </c>
      <c r="B160" s="5"/>
    </row>
    <row r="161" spans="1:16">
      <c r="A161" s="17" t="s">
        <v>411</v>
      </c>
      <c r="B161" s="5"/>
    </row>
    <row r="162" spans="1:16">
      <c r="A162" s="17" t="s">
        <v>412</v>
      </c>
      <c r="B162" s="5"/>
    </row>
    <row r="163" spans="1:16">
      <c r="A163" s="17" t="s">
        <v>413</v>
      </c>
      <c r="B163" s="5"/>
    </row>
    <row r="164" spans="1:16">
      <c r="A164" s="17" t="s">
        <v>414</v>
      </c>
      <c r="B164" s="39"/>
    </row>
    <row r="165" spans="1:16">
      <c r="A165" s="17" t="s">
        <v>415</v>
      </c>
      <c r="B165" s="5"/>
    </row>
    <row r="167" spans="1:16">
      <c r="A167" s="3" t="s">
        <v>416</v>
      </c>
      <c r="B167" s="3"/>
      <c r="C167" s="3"/>
      <c r="D167" s="3"/>
      <c r="E167" s="3"/>
      <c r="F167" s="3"/>
      <c r="G167" s="3"/>
      <c r="H167" s="3"/>
    </row>
    <row r="168" spans="1:16">
      <c r="A168" s="11" t="s">
        <v>417</v>
      </c>
      <c r="B168" s="11" t="s">
        <v>108</v>
      </c>
      <c r="C168" s="11" t="s">
        <v>77</v>
      </c>
      <c r="D168" s="11" t="s">
        <v>418</v>
      </c>
      <c r="E168" s="11" t="s">
        <v>419</v>
      </c>
      <c r="F168" s="11"/>
      <c r="G168" s="11"/>
      <c r="H168" s="11"/>
    </row>
    <row r="169" spans="1:16">
      <c r="A169" s="21" t="s">
        <v>420</v>
      </c>
      <c r="B169" s="17"/>
      <c r="C169" s="27">
        <f>IFERROR(INDEX(P_PoidsDom,1,MATCH($B$17,P_PoidsHdr,0)),"")</f>
        <v>0</v>
      </c>
      <c r="D169" s="14">
        <f>IF(N(C169)=0,"",SUMPRODUCT(B170:B172,C170:C172)+P_InfoInsuff*SUMPRODUCT((1-ISNUMBER(B170:B172))*C170:C172))</f>
        <v>0</v>
      </c>
      <c r="E169" s="44"/>
      <c r="F169" s="44"/>
      <c r="G169" s="44"/>
      <c r="H169" s="44"/>
      <c r="J169" s="31" t="s">
        <v>422</v>
      </c>
      <c r="K169" s="31">
        <f>IF(N(C169)&gt;0,1,0)</f>
        <v>0</v>
      </c>
      <c r="M169" s="31">
        <f>N(C169)*SUMPRODUCT(ISNUMBER(B170:B172)*C170:C172)</f>
        <v>0</v>
      </c>
    </row>
    <row r="170" spans="1:16">
      <c r="A170" s="17" t="s">
        <v>423</v>
      </c>
      <c r="B170" s="5"/>
      <c r="C170" s="27">
        <f>INDEX(P_SCPoids,MATCH(L170,P_SCCle,0))</f>
        <v>0</v>
      </c>
      <c r="J170" s="31" t="s">
        <v>424</v>
      </c>
      <c r="K170" s="31">
        <f>K169</f>
        <v>0</v>
      </c>
      <c r="L170" s="31" t="s">
        <v>205</v>
      </c>
      <c r="P170" s="31">
        <f>IF(AND(K170=1,B170=""),ROW(),"")</f>
        <v>0</v>
      </c>
    </row>
    <row r="171" spans="1:16">
      <c r="A171" s="17" t="s">
        <v>425</v>
      </c>
      <c r="B171" s="5"/>
      <c r="C171" s="27">
        <f>INDEX(P_SCPoids,MATCH(L171,P_SCCle,0))</f>
        <v>0</v>
      </c>
      <c r="J171" s="31" t="s">
        <v>424</v>
      </c>
      <c r="K171" s="31">
        <f>K169</f>
        <v>0</v>
      </c>
      <c r="L171" s="31" t="s">
        <v>207</v>
      </c>
      <c r="P171" s="31">
        <f>IF(AND(K171=1,B171=""),ROW(),"")</f>
        <v>0</v>
      </c>
    </row>
    <row r="172" spans="1:16">
      <c r="A172" s="17" t="s">
        <v>426</v>
      </c>
      <c r="B172" s="5"/>
      <c r="C172" s="27">
        <f>INDEX(P_SCPoids,MATCH(L172,P_SCCle,0))</f>
        <v>0</v>
      </c>
      <c r="J172" s="31" t="s">
        <v>424</v>
      </c>
      <c r="K172" s="31">
        <f>K169</f>
        <v>0</v>
      </c>
      <c r="L172" s="31" t="s">
        <v>209</v>
      </c>
      <c r="P172" s="31">
        <f>IF(AND(K172=1,B172=""),ROW(),"")</f>
        <v>0</v>
      </c>
    </row>
    <row r="173" spans="1:16">
      <c r="A173" s="21" t="s">
        <v>427</v>
      </c>
      <c r="B173" s="17"/>
      <c r="C173" s="27">
        <f>IFERROR(INDEX(P_PoidsDom,2,MATCH($B$17,P_PoidsHdr,0)),"")</f>
        <v>0</v>
      </c>
      <c r="D173" s="14">
        <f>IF(N(C173)=0,"",SUMPRODUCT(B174:B176,C174:C176)+P_InfoInsuff*SUMPRODUCT((1-ISNUMBER(B174:B176))*C174:C176))</f>
        <v>0</v>
      </c>
      <c r="E173" s="44"/>
      <c r="F173" s="44"/>
      <c r="G173" s="44"/>
      <c r="H173" s="44"/>
      <c r="J173" s="31" t="s">
        <v>422</v>
      </c>
      <c r="K173" s="31">
        <f>IF(N(C173)&gt;0,1,0)</f>
        <v>0</v>
      </c>
      <c r="M173" s="31">
        <f>N(C173)*SUMPRODUCT(ISNUMBER(B174:B176)*C174:C176)</f>
        <v>0</v>
      </c>
    </row>
    <row r="174" spans="1:16">
      <c r="A174" s="17" t="s">
        <v>428</v>
      </c>
      <c r="B174" s="5"/>
      <c r="C174" s="27">
        <f>INDEX(P_SCPoids,MATCH(L174,P_SCCle,0))</f>
        <v>0</v>
      </c>
      <c r="J174" s="31" t="s">
        <v>424</v>
      </c>
      <c r="K174" s="31">
        <f>K173</f>
        <v>0</v>
      </c>
      <c r="L174" s="31" t="s">
        <v>211</v>
      </c>
      <c r="P174" s="31">
        <f>IF(AND(K174=1,B174=""),ROW(),"")</f>
        <v>0</v>
      </c>
    </row>
    <row r="175" spans="1:16">
      <c r="A175" s="17" t="s">
        <v>429</v>
      </c>
      <c r="B175" s="5"/>
      <c r="C175" s="27">
        <f>INDEX(P_SCPoids,MATCH(L175,P_SCCle,0))</f>
        <v>0</v>
      </c>
      <c r="J175" s="31" t="s">
        <v>424</v>
      </c>
      <c r="K175" s="31">
        <f>K173</f>
        <v>0</v>
      </c>
      <c r="L175" s="31" t="s">
        <v>213</v>
      </c>
      <c r="P175" s="31">
        <f>IF(AND(K175=1,B175=""),ROW(),"")</f>
        <v>0</v>
      </c>
    </row>
    <row r="176" spans="1:16">
      <c r="A176" s="17" t="s">
        <v>430</v>
      </c>
      <c r="B176" s="5"/>
      <c r="C176" s="27">
        <f>INDEX(P_SCPoids,MATCH(L176,P_SCCle,0))</f>
        <v>0</v>
      </c>
      <c r="J176" s="31" t="s">
        <v>424</v>
      </c>
      <c r="K176" s="31">
        <f>K173</f>
        <v>0</v>
      </c>
      <c r="L176" s="31" t="s">
        <v>215</v>
      </c>
      <c r="P176" s="31">
        <f>IF(AND(K176=1,B176=""),ROW(),"")</f>
        <v>0</v>
      </c>
    </row>
    <row r="177" spans="1:16">
      <c r="A177" s="21" t="s">
        <v>431</v>
      </c>
      <c r="B177" s="17"/>
      <c r="C177" s="27">
        <f>IFERROR(INDEX(P_PoidsDom,3,MATCH($B$17,P_PoidsHdr,0)),"")</f>
        <v>0</v>
      </c>
      <c r="D177" s="14">
        <f>IF(N(C177)=0,"",SUMPRODUCT(B178:B180,C178:C180)+P_InfoInsuff*SUMPRODUCT((1-ISNUMBER(B178:B180))*C178:C180))</f>
        <v>0</v>
      </c>
      <c r="E177" s="44"/>
      <c r="F177" s="44"/>
      <c r="G177" s="44"/>
      <c r="H177" s="44"/>
      <c r="J177" s="31" t="s">
        <v>422</v>
      </c>
      <c r="K177" s="31">
        <f>IF(N(C177)&gt;0,1,0)</f>
        <v>0</v>
      </c>
      <c r="M177" s="31">
        <f>N(C177)*SUMPRODUCT(ISNUMBER(B178:B180)*C178:C180)</f>
        <v>0</v>
      </c>
    </row>
    <row r="178" spans="1:16">
      <c r="A178" s="17" t="s">
        <v>433</v>
      </c>
      <c r="B178" s="5"/>
      <c r="C178" s="27">
        <f>INDEX(P_SCPoids,MATCH(L178,P_SCCle,0))</f>
        <v>0</v>
      </c>
      <c r="J178" s="31" t="s">
        <v>424</v>
      </c>
      <c r="K178" s="31">
        <f>K177</f>
        <v>0</v>
      </c>
      <c r="L178" s="31" t="s">
        <v>217</v>
      </c>
      <c r="P178" s="31">
        <f>IF(AND(K178=1,B178=""),ROW(),"")</f>
        <v>0</v>
      </c>
    </row>
    <row r="179" spans="1:16">
      <c r="A179" s="17" t="s">
        <v>434</v>
      </c>
      <c r="B179" s="5"/>
      <c r="C179" s="27">
        <f>INDEX(P_SCPoids,MATCH(L179,P_SCCle,0))</f>
        <v>0</v>
      </c>
      <c r="J179" s="31" t="s">
        <v>424</v>
      </c>
      <c r="K179" s="31">
        <f>K177</f>
        <v>0</v>
      </c>
      <c r="L179" s="31" t="s">
        <v>219</v>
      </c>
      <c r="P179" s="31">
        <f>IF(AND(K179=1,B179=""),ROW(),"")</f>
        <v>0</v>
      </c>
    </row>
    <row r="180" spans="1:16">
      <c r="A180" s="17" t="s">
        <v>435</v>
      </c>
      <c r="B180" s="5"/>
      <c r="C180" s="27">
        <f>INDEX(P_SCPoids,MATCH(L180,P_SCCle,0))</f>
        <v>0</v>
      </c>
      <c r="J180" s="31" t="s">
        <v>424</v>
      </c>
      <c r="K180" s="31">
        <f>K177</f>
        <v>0</v>
      </c>
      <c r="L180" s="31" t="s">
        <v>221</v>
      </c>
      <c r="P180" s="31">
        <f>IF(AND(K180=1,B180=""),ROW(),"")</f>
        <v>0</v>
      </c>
    </row>
    <row r="181" spans="1:16">
      <c r="A181" s="21" t="s">
        <v>436</v>
      </c>
      <c r="B181" s="17"/>
      <c r="C181" s="27">
        <f>IFERROR(INDEX(P_PoidsDom,4,MATCH($B$17,P_PoidsHdr,0)),"")</f>
        <v>0</v>
      </c>
      <c r="D181" s="14">
        <f>IF(N(C181)=0,"",SUMPRODUCT(B182:B184,C182:C184)+P_InfoInsuff*SUMPRODUCT((1-ISNUMBER(B182:B184))*C182:C184))</f>
        <v>0</v>
      </c>
      <c r="E181" s="44"/>
      <c r="F181" s="44"/>
      <c r="G181" s="44"/>
      <c r="H181" s="44"/>
      <c r="J181" s="31" t="s">
        <v>422</v>
      </c>
      <c r="K181" s="31">
        <f>IF(N(C181)&gt;0,1,0)</f>
        <v>0</v>
      </c>
      <c r="M181" s="31">
        <f>N(C181)*SUMPRODUCT(ISNUMBER(B182:B184)*C182:C184)</f>
        <v>0</v>
      </c>
    </row>
    <row r="182" spans="1:16">
      <c r="A182" s="17" t="s">
        <v>438</v>
      </c>
      <c r="B182" s="5"/>
      <c r="C182" s="27">
        <f>INDEX(P_SCPoids,MATCH(L182,P_SCCle,0))</f>
        <v>0</v>
      </c>
      <c r="J182" s="31" t="s">
        <v>424</v>
      </c>
      <c r="K182" s="31">
        <f>K181</f>
        <v>0</v>
      </c>
      <c r="L182" s="31" t="s">
        <v>223</v>
      </c>
      <c r="P182" s="31">
        <f>IF(AND(K182=1,B182=""),ROW(),"")</f>
        <v>0</v>
      </c>
    </row>
    <row r="183" spans="1:16">
      <c r="A183" s="17" t="s">
        <v>439</v>
      </c>
      <c r="B183" s="5"/>
      <c r="C183" s="27">
        <f>INDEX(P_SCPoids,MATCH(L183,P_SCCle,0))</f>
        <v>0</v>
      </c>
      <c r="J183" s="31" t="s">
        <v>424</v>
      </c>
      <c r="K183" s="31">
        <f>K181</f>
        <v>0</v>
      </c>
      <c r="L183" s="31" t="s">
        <v>225</v>
      </c>
      <c r="P183" s="31">
        <f>IF(AND(K183=1,B183=""),ROW(),"")</f>
        <v>0</v>
      </c>
    </row>
    <row r="184" spans="1:16">
      <c r="A184" s="17" t="s">
        <v>440</v>
      </c>
      <c r="B184" s="5"/>
      <c r="C184" s="27">
        <f>INDEX(P_SCPoids,MATCH(L184,P_SCCle,0))</f>
        <v>0</v>
      </c>
      <c r="J184" s="31" t="s">
        <v>424</v>
      </c>
      <c r="K184" s="31">
        <f>K181</f>
        <v>0</v>
      </c>
      <c r="L184" s="31" t="s">
        <v>227</v>
      </c>
      <c r="P184" s="31">
        <f>IF(AND(K184=1,B184=""),ROW(),"")</f>
        <v>0</v>
      </c>
    </row>
    <row r="185" spans="1:16">
      <c r="A185" s="21" t="s">
        <v>441</v>
      </c>
      <c r="B185" s="17"/>
      <c r="C185" s="27">
        <f>IFERROR(INDEX(P_PoidsDom,5,MATCH($B$17,P_PoidsHdr,0)),"")</f>
        <v>0</v>
      </c>
      <c r="D185" s="14">
        <f>IF(N(C185)=0,"",SUMPRODUCT(B186:B188,C186:C188)+P_InfoInsuff*SUMPRODUCT((1-ISNUMBER(B186:B188))*C186:C188))</f>
        <v>0</v>
      </c>
      <c r="E185" s="44"/>
      <c r="F185" s="44"/>
      <c r="G185" s="44"/>
      <c r="H185" s="44"/>
      <c r="J185" s="31" t="s">
        <v>422</v>
      </c>
      <c r="K185" s="31">
        <f>IF(N(C185)&gt;0,1,0)</f>
        <v>0</v>
      </c>
      <c r="M185" s="31">
        <f>N(C185)*SUMPRODUCT(ISNUMBER(B186:B188)*C186:C188)</f>
        <v>0</v>
      </c>
    </row>
    <row r="186" spans="1:16">
      <c r="A186" s="17" t="s">
        <v>442</v>
      </c>
      <c r="B186" s="5"/>
      <c r="C186" s="27">
        <f>INDEX(P_SCPoids,MATCH(L186,P_SCCle,0))</f>
        <v>0</v>
      </c>
      <c r="J186" s="31" t="s">
        <v>424</v>
      </c>
      <c r="K186" s="31">
        <f>K185</f>
        <v>0</v>
      </c>
      <c r="L186" s="31" t="s">
        <v>229</v>
      </c>
      <c r="P186" s="31">
        <f>IF(AND(K186=1,B186=""),ROW(),"")</f>
        <v>0</v>
      </c>
    </row>
    <row r="187" spans="1:16">
      <c r="A187" s="17" t="s">
        <v>443</v>
      </c>
      <c r="B187" s="5"/>
      <c r="C187" s="27">
        <f>INDEX(P_SCPoids,MATCH(L187,P_SCCle,0))</f>
        <v>0</v>
      </c>
      <c r="J187" s="31" t="s">
        <v>424</v>
      </c>
      <c r="K187" s="31">
        <f>K185</f>
        <v>0</v>
      </c>
      <c r="L187" s="31" t="s">
        <v>231</v>
      </c>
      <c r="P187" s="31">
        <f>IF(AND(K187=1,B187=""),ROW(),"")</f>
        <v>0</v>
      </c>
    </row>
    <row r="188" spans="1:16">
      <c r="A188" s="17" t="s">
        <v>444</v>
      </c>
      <c r="B188" s="5"/>
      <c r="C188" s="27">
        <f>INDEX(P_SCPoids,MATCH(L188,P_SCCle,0))</f>
        <v>0</v>
      </c>
      <c r="J188" s="31" t="s">
        <v>424</v>
      </c>
      <c r="K188" s="31">
        <f>K185</f>
        <v>0</v>
      </c>
      <c r="L188" s="31" t="s">
        <v>233</v>
      </c>
      <c r="P188" s="31">
        <f>IF(AND(K188=1,B188=""),ROW(),"")</f>
        <v>0</v>
      </c>
    </row>
    <row r="189" spans="1:16">
      <c r="A189" s="21" t="s">
        <v>445</v>
      </c>
      <c r="B189" s="17"/>
      <c r="C189" s="27">
        <f>IFERROR(INDEX(P_PoidsDom,6,MATCH($B$17,P_PoidsHdr,0)),"")</f>
        <v>0</v>
      </c>
      <c r="D189" s="14">
        <f>IF(N(C189)=0,"",SUMPRODUCT(B190:B192,C190:C192)+P_InfoInsuff*SUMPRODUCT((1-ISNUMBER(B190:B192))*C190:C192))</f>
        <v>0</v>
      </c>
      <c r="E189" s="44"/>
      <c r="F189" s="44"/>
      <c r="G189" s="44"/>
      <c r="H189" s="44"/>
      <c r="J189" s="31" t="s">
        <v>422</v>
      </c>
      <c r="K189" s="31">
        <f>IF(N(C189)&gt;0,1,0)</f>
        <v>0</v>
      </c>
      <c r="M189" s="31">
        <f>N(C189)*SUMPRODUCT(ISNUMBER(B190:B192)*C190:C192)</f>
        <v>0</v>
      </c>
    </row>
    <row r="190" spans="1:16">
      <c r="A190" s="17" t="s">
        <v>447</v>
      </c>
      <c r="B190" s="5"/>
      <c r="C190" s="27">
        <f>INDEX(P_SCPoids,MATCH(L190,P_SCCle,0))</f>
        <v>0</v>
      </c>
      <c r="J190" s="31" t="s">
        <v>424</v>
      </c>
      <c r="K190" s="31">
        <f>K189</f>
        <v>0</v>
      </c>
      <c r="L190" s="31" t="s">
        <v>235</v>
      </c>
      <c r="P190" s="31">
        <f>IF(AND(K190=1,B190=""),ROW(),"")</f>
        <v>0</v>
      </c>
    </row>
    <row r="191" spans="1:16">
      <c r="A191" s="17" t="s">
        <v>448</v>
      </c>
      <c r="B191" s="5"/>
      <c r="C191" s="27">
        <f>INDEX(P_SCPoids,MATCH(L191,P_SCCle,0))</f>
        <v>0</v>
      </c>
      <c r="J191" s="31" t="s">
        <v>424</v>
      </c>
      <c r="K191" s="31">
        <f>K189</f>
        <v>0</v>
      </c>
      <c r="L191" s="31" t="s">
        <v>237</v>
      </c>
      <c r="P191" s="31">
        <f>IF(AND(K191=1,B191=""),ROW(),"")</f>
        <v>0</v>
      </c>
    </row>
    <row r="192" spans="1:16">
      <c r="A192" s="17" t="s">
        <v>449</v>
      </c>
      <c r="B192" s="5"/>
      <c r="C192" s="27">
        <f>INDEX(P_SCPoids,MATCH(L192,P_SCCle,0))</f>
        <v>0</v>
      </c>
      <c r="J192" s="31" t="s">
        <v>424</v>
      </c>
      <c r="K192" s="31">
        <f>K189</f>
        <v>0</v>
      </c>
      <c r="L192" s="31" t="s">
        <v>239</v>
      </c>
      <c r="P192" s="31">
        <f>IF(AND(K192=1,B192=""),ROW(),"")</f>
        <v>0</v>
      </c>
    </row>
    <row r="193" spans="1:16">
      <c r="A193" s="21" t="s">
        <v>450</v>
      </c>
      <c r="B193" s="17"/>
      <c r="C193" s="27">
        <f>IFERROR(INDEX(P_PoidsDom,8,MATCH($B$17,P_PoidsHdr,0)),"")</f>
        <v>0</v>
      </c>
      <c r="D193" s="14">
        <f>IF(N(C193)=0,"",SUMPRODUCT(B194:B196,C194:C196)+P_InfoInsuff*SUMPRODUCT((1-ISNUMBER(B194:B196))*C194:C196))</f>
        <v>0</v>
      </c>
      <c r="E193" s="44"/>
      <c r="F193" s="44"/>
      <c r="G193" s="44"/>
      <c r="H193" s="44"/>
      <c r="J193" s="31" t="s">
        <v>422</v>
      </c>
      <c r="K193" s="31">
        <f>IF(N(C193)&gt;0,1,0)</f>
        <v>0</v>
      </c>
      <c r="M193" s="31">
        <f>N(C193)*SUMPRODUCT(ISNUMBER(B194:B196)*C194:C196)</f>
        <v>0</v>
      </c>
    </row>
    <row r="194" spans="1:16">
      <c r="A194" s="17" t="s">
        <v>451</v>
      </c>
      <c r="B194" s="5"/>
      <c r="C194" s="27">
        <f>INDEX(P_SCPoids,MATCH(L194,P_SCCle,0))</f>
        <v>0</v>
      </c>
      <c r="J194" s="31" t="s">
        <v>424</v>
      </c>
      <c r="K194" s="31">
        <f>K193</f>
        <v>0</v>
      </c>
      <c r="L194" s="31" t="s">
        <v>241</v>
      </c>
      <c r="P194" s="31">
        <f>IF(AND(K194=1,B194=""),ROW(),"")</f>
        <v>0</v>
      </c>
    </row>
    <row r="195" spans="1:16">
      <c r="A195" s="17" t="s">
        <v>452</v>
      </c>
      <c r="B195" s="5"/>
      <c r="C195" s="27">
        <f>INDEX(P_SCPoids,MATCH(L195,P_SCCle,0))</f>
        <v>0</v>
      </c>
      <c r="J195" s="31" t="s">
        <v>424</v>
      </c>
      <c r="K195" s="31">
        <f>K193</f>
        <v>0</v>
      </c>
      <c r="L195" s="31" t="s">
        <v>243</v>
      </c>
      <c r="P195" s="31">
        <f>IF(AND(K195=1,B195=""),ROW(),"")</f>
        <v>0</v>
      </c>
    </row>
    <row r="196" spans="1:16">
      <c r="A196" s="17" t="s">
        <v>453</v>
      </c>
      <c r="B196" s="5"/>
      <c r="C196" s="27">
        <f>INDEX(P_SCPoids,MATCH(L196,P_SCCle,0))</f>
        <v>0</v>
      </c>
      <c r="J196" s="31" t="s">
        <v>424</v>
      </c>
      <c r="K196" s="31">
        <f>K193</f>
        <v>0</v>
      </c>
      <c r="L196" s="31" t="s">
        <v>245</v>
      </c>
      <c r="P196" s="31">
        <f>IF(AND(K196=1,B196=""),ROW(),"")</f>
        <v>0</v>
      </c>
    </row>
    <row r="197" spans="1:16">
      <c r="A197" s="21" t="s">
        <v>454</v>
      </c>
      <c r="B197" s="17"/>
      <c r="C197" s="27">
        <f>IFERROR(INDEX(P_PoidsDom,9,MATCH($B$17,P_PoidsHdr,0)),"")</f>
        <v>0</v>
      </c>
      <c r="D197" s="14">
        <f>IF(N(C197)=0,"",SUMPRODUCT(B198:B201,C198:C201)+P_InfoInsuff*SUMPRODUCT((1-ISNUMBER(B198:B201))*C198:C201))</f>
        <v>0</v>
      </c>
      <c r="E197" s="44"/>
      <c r="F197" s="44"/>
      <c r="G197" s="44"/>
      <c r="H197" s="44"/>
      <c r="J197" s="31" t="s">
        <v>422</v>
      </c>
      <c r="K197" s="31">
        <f>IF(N(C197)&gt;0,1,0)</f>
        <v>0</v>
      </c>
      <c r="M197" s="31">
        <f>N(C197)*SUMPRODUCT(ISNUMBER(B198:B201)*C198:C201)</f>
        <v>0</v>
      </c>
    </row>
    <row r="198" spans="1:16">
      <c r="A198" s="17" t="s">
        <v>455</v>
      </c>
      <c r="B198" s="5"/>
      <c r="C198" s="27">
        <f>INDEX(P_SCPoids,MATCH(L198,P_SCCle,0))</f>
        <v>0</v>
      </c>
      <c r="J198" s="31" t="s">
        <v>424</v>
      </c>
      <c r="K198" s="31">
        <f>K197</f>
        <v>0</v>
      </c>
      <c r="L198" s="31" t="s">
        <v>247</v>
      </c>
      <c r="P198" s="31">
        <f>IF(AND(K198=1,B198=""),ROW(),"")</f>
        <v>0</v>
      </c>
    </row>
    <row r="199" spans="1:16">
      <c r="A199" s="17" t="s">
        <v>456</v>
      </c>
      <c r="B199" s="5"/>
      <c r="C199" s="27">
        <f>INDEX(P_SCPoids,MATCH(L199,P_SCCle,0))</f>
        <v>0</v>
      </c>
      <c r="J199" s="31" t="s">
        <v>424</v>
      </c>
      <c r="K199" s="31">
        <f>K197</f>
        <v>0</v>
      </c>
      <c r="L199" s="31" t="s">
        <v>249</v>
      </c>
      <c r="P199" s="31">
        <f>IF(AND(K199=1,B199=""),ROW(),"")</f>
        <v>0</v>
      </c>
    </row>
    <row r="200" spans="1:16">
      <c r="A200" s="17" t="s">
        <v>457</v>
      </c>
      <c r="B200" s="5"/>
      <c r="C200" s="27">
        <f>INDEX(P_SCPoids,MATCH(L200,P_SCCle,0))</f>
        <v>0</v>
      </c>
      <c r="J200" s="31" t="s">
        <v>424</v>
      </c>
      <c r="K200" s="31">
        <f>K197</f>
        <v>0</v>
      </c>
      <c r="L200" s="31" t="s">
        <v>251</v>
      </c>
      <c r="P200" s="31">
        <f>IF(AND(K200=1,B200=""),ROW(),"")</f>
        <v>0</v>
      </c>
    </row>
    <row r="201" spans="1:16">
      <c r="A201" s="17" t="s">
        <v>458</v>
      </c>
      <c r="B201" s="5"/>
      <c r="C201" s="27">
        <f>INDEX(P_SCPoids,MATCH(L201,P_SCCle,0))</f>
        <v>0</v>
      </c>
      <c r="J201" s="31" t="s">
        <v>424</v>
      </c>
      <c r="K201" s="31">
        <f>K197</f>
        <v>0</v>
      </c>
      <c r="L201" s="31" t="s">
        <v>253</v>
      </c>
      <c r="P201" s="31">
        <f>IF(AND(K201=1,B201=""),ROW(),"")</f>
        <v>0</v>
      </c>
    </row>
    <row r="203" spans="1:16">
      <c r="A203" s="17" t="s">
        <v>459</v>
      </c>
      <c r="B203" s="27">
        <f>IF(SUMIF(J169:J201,"DOM",C169:C201)=0,"",SUM(M169:M201)/SUMIF(J169:J201,"DOM",C169:C201))</f>
        <v>0</v>
      </c>
    </row>
    <row r="204" spans="1:16">
      <c r="A204" s="17" t="s">
        <v>460</v>
      </c>
      <c r="B204" s="27">
        <f>IF(SUMIF(J169:J201,"SC",K169:K201)=0,"",(COUNT(B142:B147)+SUMPRODUCT((J169:J201="SC")*(K169:K201=1)*ISNUMBER(B169:B201)))/(6+SUMIF(J169:J201,"SC",K169:K201)))</f>
        <v>0</v>
      </c>
    </row>
    <row r="206" spans="1:16">
      <c r="A206" s="3" t="s">
        <v>461</v>
      </c>
      <c r="B206" s="3"/>
      <c r="C206" s="3"/>
      <c r="D206" s="3"/>
      <c r="E206" s="3"/>
      <c r="F206" s="3"/>
      <c r="G206" s="3"/>
      <c r="H206" s="3"/>
    </row>
    <row r="207" spans="1:16">
      <c r="A207" s="11" t="s">
        <v>55</v>
      </c>
      <c r="B207" s="11" t="s">
        <v>462</v>
      </c>
      <c r="C207" s="11" t="s">
        <v>463</v>
      </c>
      <c r="D207" s="11" t="s">
        <v>387</v>
      </c>
    </row>
    <row r="208" spans="1:16">
      <c r="A208" s="17" t="s">
        <v>420</v>
      </c>
      <c r="B208" s="20">
        <f>D169</f>
        <v>0</v>
      </c>
      <c r="C208" s="27">
        <f>IFERROR(INDEX(P_PoidsDom,1,MATCH($B$17,P_PoidsHdr,0)),"")</f>
        <v>0</v>
      </c>
      <c r="D208" s="20">
        <f>IF(ISNUMBER(B208),B208,0)*N(C208)</f>
        <v>0</v>
      </c>
    </row>
    <row r="209" spans="1:8">
      <c r="A209" s="17" t="s">
        <v>427</v>
      </c>
      <c r="B209" s="20">
        <f>D173</f>
        <v>0</v>
      </c>
      <c r="C209" s="27">
        <f>IFERROR(INDEX(P_PoidsDom,2,MATCH($B$17,P_PoidsHdr,0)),"")</f>
        <v>0</v>
      </c>
      <c r="D209" s="20">
        <f>IF(ISNUMBER(B209),B209,0)*N(C209)</f>
        <v>0</v>
      </c>
    </row>
    <row r="210" spans="1:8">
      <c r="A210" s="17" t="s">
        <v>431</v>
      </c>
      <c r="B210" s="20">
        <f>D177</f>
        <v>0</v>
      </c>
      <c r="C210" s="27">
        <f>IFERROR(INDEX(P_PoidsDom,3,MATCH($B$17,P_PoidsHdr,0)),"")</f>
        <v>0</v>
      </c>
      <c r="D210" s="20">
        <f>IF(ISNUMBER(B210),B210,0)*N(C210)</f>
        <v>0</v>
      </c>
    </row>
    <row r="211" spans="1:8">
      <c r="A211" s="17" t="s">
        <v>436</v>
      </c>
      <c r="B211" s="20">
        <f>D181</f>
        <v>0</v>
      </c>
      <c r="C211" s="27">
        <f>IFERROR(INDEX(P_PoidsDom,4,MATCH($B$17,P_PoidsHdr,0)),"")</f>
        <v>0</v>
      </c>
      <c r="D211" s="20">
        <f>IF(ISNUMBER(B211),B211,0)*N(C211)</f>
        <v>0</v>
      </c>
    </row>
    <row r="212" spans="1:8">
      <c r="A212" s="17" t="s">
        <v>441</v>
      </c>
      <c r="B212" s="20">
        <f>D185</f>
        <v>0</v>
      </c>
      <c r="C212" s="27">
        <f>IFERROR(INDEX(P_PoidsDom,5,MATCH($B$17,P_PoidsHdr,0)),"")</f>
        <v>0</v>
      </c>
      <c r="D212" s="20">
        <f>IF(ISNUMBER(B212),B212,0)*N(C212)</f>
        <v>0</v>
      </c>
    </row>
    <row r="213" spans="1:8">
      <c r="A213" s="17" t="s">
        <v>445</v>
      </c>
      <c r="B213" s="20">
        <f>D189</f>
        <v>0</v>
      </c>
      <c r="C213" s="27">
        <f>IFERROR(INDEX(P_PoidsDom,6,MATCH($B$17,P_PoidsHdr,0)),"")</f>
        <v>0</v>
      </c>
      <c r="D213" s="20">
        <f>IF(ISNUMBER(B213),B213,0)*N(C213)</f>
        <v>0</v>
      </c>
    </row>
    <row r="214" spans="1:8">
      <c r="A214" s="17" t="s">
        <v>464</v>
      </c>
      <c r="B214" s="20">
        <f>D148</f>
        <v>0</v>
      </c>
      <c r="C214" s="27">
        <f>IFERROR(INDEX(P_PoidsDom,7,MATCH($B$17,P_PoidsHdr,0)),"")</f>
        <v>0</v>
      </c>
      <c r="D214" s="20">
        <f>IF(ISNUMBER(B214),B214,0)*N(C214)</f>
        <v>0</v>
      </c>
    </row>
    <row r="215" spans="1:8">
      <c r="A215" s="17" t="s">
        <v>450</v>
      </c>
      <c r="B215" s="20">
        <f>D193</f>
        <v>0</v>
      </c>
      <c r="C215" s="27">
        <f>IFERROR(INDEX(P_PoidsDom,8,MATCH($B$17,P_PoidsHdr,0)),"")</f>
        <v>0</v>
      </c>
      <c r="D215" s="20">
        <f>IF(ISNUMBER(B215),B215,0)*N(C215)</f>
        <v>0</v>
      </c>
    </row>
    <row r="216" spans="1:8">
      <c r="A216" s="17" t="s">
        <v>454</v>
      </c>
      <c r="B216" s="20">
        <f>D197</f>
        <v>0</v>
      </c>
      <c r="C216" s="27">
        <f>IFERROR(INDEX(P_PoidsDom,9,MATCH($B$17,P_PoidsHdr,0)),"")</f>
        <v>0</v>
      </c>
      <c r="D216" s="20">
        <f>IF(ISNUMBER(B216),B216,0)*N(C216)</f>
        <v>0</v>
      </c>
    </row>
    <row r="217" spans="1:8">
      <c r="A217" s="21" t="s">
        <v>465</v>
      </c>
      <c r="B217" s="14">
        <f>IF(N(C208)+N(C216)=0,"",SUM(D208:D216))</f>
        <v>0</v>
      </c>
    </row>
    <row r="218" spans="1:8">
      <c r="A218" s="21" t="s">
        <v>466</v>
      </c>
      <c r="B218" s="14">
        <f>IF(B217="","",INDEX(P_ConvNote,MATCH(B217,P_ConvSeuil,1)))</f>
        <v>0</v>
      </c>
      <c r="C218" s="7">
        <f>IF(B217="","",INDEX(P_ConvLib,MATCH(B217,P_ConvSeuil,1)))</f>
        <v>0</v>
      </c>
    </row>
    <row r="220" spans="1:8">
      <c r="A220" s="3" t="s">
        <v>467</v>
      </c>
      <c r="B220" s="3"/>
      <c r="C220" s="3"/>
      <c r="D220" s="3"/>
      <c r="E220" s="3"/>
      <c r="F220" s="3"/>
      <c r="G220" s="3"/>
      <c r="H220" s="3"/>
    </row>
    <row r="221" spans="1:8">
      <c r="A221" s="11" t="s">
        <v>18</v>
      </c>
      <c r="B221" s="11" t="s">
        <v>130</v>
      </c>
      <c r="C221" s="11"/>
      <c r="D221" s="11"/>
      <c r="E221" s="11" t="s">
        <v>468</v>
      </c>
      <c r="F221" s="11" t="s">
        <v>469</v>
      </c>
      <c r="G221" s="11" t="s">
        <v>470</v>
      </c>
      <c r="H221" s="11" t="s">
        <v>471</v>
      </c>
    </row>
    <row r="222" spans="1:8">
      <c r="A222" s="21" t="s">
        <v>472</v>
      </c>
      <c r="B222" s="13" t="s">
        <v>473</v>
      </c>
      <c r="C222" s="13"/>
      <c r="D222" s="13"/>
      <c r="E222" s="5"/>
      <c r="F222" s="7">
        <f>IF(OR(E222="Oui",H222="Oui"),"Oui","Non")</f>
        <v>0</v>
      </c>
      <c r="G222" s="17" t="s">
        <v>474</v>
      </c>
      <c r="H222" s="7"/>
    </row>
    <row r="223" spans="1:8">
      <c r="A223" s="21" t="s">
        <v>475</v>
      </c>
      <c r="B223" s="13" t="s">
        <v>476</v>
      </c>
      <c r="C223" s="13"/>
      <c r="D223" s="13"/>
      <c r="E223" s="5"/>
      <c r="F223" s="7">
        <f>IF(OR(E223="Oui",H223="Oui"),"Oui","Non")</f>
        <v>0</v>
      </c>
      <c r="G223" s="17" t="s">
        <v>474</v>
      </c>
      <c r="H223" s="7"/>
    </row>
    <row r="224" spans="1:8">
      <c r="A224" s="21" t="s">
        <v>477</v>
      </c>
      <c r="B224" s="13" t="s">
        <v>478</v>
      </c>
      <c r="C224" s="13"/>
      <c r="D224" s="13"/>
      <c r="E224" s="5"/>
      <c r="F224" s="7">
        <f>IF(OR(E224="Oui",H224="Oui"),"Oui","Non")</f>
        <v>0</v>
      </c>
      <c r="G224" s="17" t="s">
        <v>474</v>
      </c>
      <c r="H224" s="7"/>
    </row>
    <row r="225" spans="1:8">
      <c r="A225" s="21" t="s">
        <v>479</v>
      </c>
      <c r="B225" s="13" t="s">
        <v>480</v>
      </c>
      <c r="C225" s="13"/>
      <c r="D225" s="13"/>
      <c r="E225" s="5"/>
      <c r="F225" s="7">
        <f>IF(OR(E225="Oui",H225="Oui"),"Oui","Non")</f>
        <v>0</v>
      </c>
      <c r="G225" s="17" t="s">
        <v>474</v>
      </c>
      <c r="H225" s="7"/>
    </row>
    <row r="226" spans="1:8">
      <c r="A226" s="21" t="s">
        <v>481</v>
      </c>
      <c r="B226" s="13" t="s">
        <v>482</v>
      </c>
      <c r="C226" s="13"/>
      <c r="D226" s="13"/>
      <c r="E226" s="5"/>
      <c r="F226" s="7">
        <f>IF(OR(E226="Oui",H226="Oui"),"Oui","Non")</f>
        <v>0</v>
      </c>
      <c r="G226" s="17" t="s">
        <v>483</v>
      </c>
      <c r="H226" s="7"/>
    </row>
    <row r="227" spans="1:8">
      <c r="A227" s="21" t="s">
        <v>484</v>
      </c>
      <c r="B227" s="13" t="s">
        <v>485</v>
      </c>
      <c r="C227" s="13"/>
      <c r="D227" s="13"/>
      <c r="E227" s="5"/>
      <c r="F227" s="7">
        <f>IF(OR(E227="Oui",H227="Oui"),"Oui","Non")</f>
        <v>0</v>
      </c>
      <c r="G227" s="17" t="s">
        <v>483</v>
      </c>
      <c r="H227" s="7"/>
    </row>
    <row r="228" spans="1:8">
      <c r="A228" s="21" t="s">
        <v>486</v>
      </c>
      <c r="B228" s="13" t="s">
        <v>487</v>
      </c>
      <c r="C228" s="13"/>
      <c r="D228" s="13"/>
      <c r="E228" s="5"/>
      <c r="F228" s="7">
        <f>IF(OR(E228="Oui",H228="Oui"),"Oui","Non")</f>
        <v>0</v>
      </c>
      <c r="G228" s="17" t="s">
        <v>488</v>
      </c>
      <c r="H228" s="7">
        <f>IF(AND($B$17="P1",ISNUMBER($B$48),$B$48&lt;P_N3_V),"Oui","")</f>
        <v>0</v>
      </c>
    </row>
    <row r="229" spans="1:8">
      <c r="A229" s="21" t="s">
        <v>489</v>
      </c>
      <c r="B229" s="13" t="s">
        <v>490</v>
      </c>
      <c r="C229" s="13"/>
      <c r="D229" s="13"/>
      <c r="E229" s="5"/>
      <c r="F229" s="7">
        <f>IF(OR(E229="Oui",H229="Oui"),"Oui","Non")</f>
        <v>0</v>
      </c>
      <c r="G229" s="17" t="s">
        <v>483</v>
      </c>
      <c r="H229" s="7"/>
    </row>
    <row r="230" spans="1:8">
      <c r="A230" s="21" t="s">
        <v>491</v>
      </c>
      <c r="B230" s="13" t="s">
        <v>492</v>
      </c>
      <c r="C230" s="13"/>
      <c r="D230" s="13"/>
      <c r="E230" s="5"/>
      <c r="F230" s="7">
        <f>IF(OR(E230="Oui",H230="Oui"),"Oui","Non")</f>
        <v>0</v>
      </c>
      <c r="G230" s="17" t="s">
        <v>488</v>
      </c>
      <c r="H230" s="7"/>
    </row>
    <row r="231" spans="1:8">
      <c r="A231" s="21" t="s">
        <v>493</v>
      </c>
      <c r="B231" s="13" t="s">
        <v>494</v>
      </c>
      <c r="C231" s="13"/>
      <c r="D231" s="13"/>
      <c r="E231" s="5"/>
      <c r="F231" s="7">
        <f>IF(H231="Oui","Oui","Non")</f>
        <v>0</v>
      </c>
      <c r="G231" s="17" t="s">
        <v>495</v>
      </c>
      <c r="H231" s="7">
        <f>IF(E231="Non","Oui","")</f>
        <v>0</v>
      </c>
    </row>
    <row r="232" spans="1:8">
      <c r="A232" s="21" t="s">
        <v>496</v>
      </c>
      <c r="B232" s="13" t="s">
        <v>497</v>
      </c>
      <c r="C232" s="13"/>
      <c r="D232" s="13"/>
      <c r="E232" s="5"/>
      <c r="F232" s="7">
        <f>IF(OR(E232="Oui",H232="Oui"),"Oui","Non")</f>
        <v>0</v>
      </c>
      <c r="G232" s="17" t="s">
        <v>495</v>
      </c>
      <c r="H232" s="7">
        <f>IF(AND(ISNUMBER($B$204),$B$204&lt;1),"Oui","")</f>
        <v>0</v>
      </c>
    </row>
    <row r="233" spans="1:8">
      <c r="A233" s="21" t="s">
        <v>498</v>
      </c>
      <c r="B233" s="13" t="s">
        <v>499</v>
      </c>
      <c r="C233" s="13"/>
      <c r="D233" s="13"/>
      <c r="E233" s="5"/>
      <c r="F233" s="7">
        <f>IF(OR(E233="Oui",H233="Oui"),"Oui","Non")</f>
        <v>0</v>
      </c>
      <c r="G233" s="17" t="s">
        <v>483</v>
      </c>
      <c r="H233" s="7"/>
    </row>
    <row r="235" spans="1:8">
      <c r="A235" s="3" t="s">
        <v>500</v>
      </c>
      <c r="B235" s="3"/>
      <c r="C235" s="3"/>
      <c r="D235" s="3"/>
      <c r="E235" s="3"/>
      <c r="F235" s="3"/>
      <c r="G235" s="3"/>
      <c r="H235" s="3"/>
    </row>
    <row r="236" spans="1:8">
      <c r="A236" s="11" t="s">
        <v>18</v>
      </c>
      <c r="B236" s="11" t="s">
        <v>130</v>
      </c>
      <c r="C236" s="11" t="s">
        <v>501</v>
      </c>
      <c r="D236" s="11" t="s">
        <v>502</v>
      </c>
      <c r="E236" s="11" t="s">
        <v>469</v>
      </c>
      <c r="F236" s="11" t="s">
        <v>131</v>
      </c>
      <c r="G236" s="11" t="s">
        <v>503</v>
      </c>
    </row>
    <row r="237" spans="1:8" ht="27" customHeight="1">
      <c r="A237" s="21" t="s">
        <v>132</v>
      </c>
      <c r="B237" s="13" t="s">
        <v>133</v>
      </c>
      <c r="C237" s="19">
        <f>$D$133</f>
        <v>0</v>
      </c>
      <c r="D237" s="19">
        <f>P_C1</f>
        <v>0</v>
      </c>
      <c r="E237" s="7">
        <f>IF($D$133="","n.r.",IF($D$133&lt;P_C1,"Oui","Non"))</f>
        <v>0</v>
      </c>
      <c r="F237" s="15">
        <f>INDEX(P_PlafNiv,1)</f>
        <v>0</v>
      </c>
      <c r="G237" s="15">
        <f>IF(E237="Oui",F237,10)</f>
        <v>0</v>
      </c>
    </row>
    <row r="238" spans="1:8" ht="27" customHeight="1">
      <c r="A238" s="21" t="s">
        <v>134</v>
      </c>
      <c r="B238" s="13" t="s">
        <v>135</v>
      </c>
      <c r="C238" s="19">
        <f>$D$133</f>
        <v>0</v>
      </c>
      <c r="D238" s="18">
        <f>$B$67</f>
        <v>0</v>
      </c>
      <c r="E238" s="7">
        <f>IF(OR($D$133="",$B$67=""),"n.r.",IF($D$133&lt;$B$67,"Oui","Non"))</f>
        <v>0</v>
      </c>
      <c r="F238" s="15">
        <f>INDEX(P_PlafNiv,2)</f>
        <v>0</v>
      </c>
      <c r="G238" s="15">
        <f>IF(E238="Oui",F238,10)</f>
        <v>0</v>
      </c>
    </row>
    <row r="239" spans="1:8" ht="27" customHeight="1">
      <c r="A239" s="21" t="s">
        <v>136</v>
      </c>
      <c r="B239" s="13" t="s">
        <v>137</v>
      </c>
      <c r="C239" s="19">
        <f>$D$134</f>
        <v>0</v>
      </c>
      <c r="D239" s="19">
        <f>P_C3</f>
        <v>0</v>
      </c>
      <c r="E239" s="7">
        <f>IF($D$134="","n.r.",IF($D$134&lt;P_C3,"Oui","Non"))</f>
        <v>0</v>
      </c>
      <c r="F239" s="15">
        <f>INDEX(P_PlafNiv,3)</f>
        <v>0</v>
      </c>
      <c r="G239" s="15">
        <f>IF(E239="Oui",F239,10)</f>
        <v>0</v>
      </c>
    </row>
    <row r="240" spans="1:8" ht="27" customHeight="1">
      <c r="A240" s="21" t="s">
        <v>138</v>
      </c>
      <c r="B240" s="13" t="s">
        <v>139</v>
      </c>
      <c r="C240" s="18">
        <f>$B$151</f>
        <v>0</v>
      </c>
      <c r="D240" s="18">
        <f>P_C4</f>
        <v>0</v>
      </c>
      <c r="E240" s="7">
        <f>IF($B$151="","n.r.",IF($B$151&lt;P_C4,"Oui","Non"))</f>
        <v>0</v>
      </c>
      <c r="F240" s="15">
        <f>INDEX(P_PlafNiv,4)</f>
        <v>0</v>
      </c>
      <c r="G240" s="15">
        <f>IF(E240="Oui",F240,10)</f>
        <v>0</v>
      </c>
    </row>
    <row r="241" spans="1:8" ht="27" customHeight="1">
      <c r="A241" s="21" t="s">
        <v>140</v>
      </c>
      <c r="B241" s="13" t="s">
        <v>141</v>
      </c>
      <c r="C241" s="13">
        <f>IF($B$158="","",$B$158&amp;" ans / dette "&amp;$B$159&amp;" ans")</f>
        <v>0</v>
      </c>
      <c r="D241" s="13">
        <f>"contrat &lt; dette"</f>
        <v>0</v>
      </c>
      <c r="E241" s="7">
        <f>IF($B$15="R4","n.a.",IF(OR($B$158="",$B$159=""),"n.r.",IF(AND($B$158&lt;$B$159,$B$160&lt;&gt;"Oui"),"Oui","Non")))</f>
        <v>0</v>
      </c>
      <c r="F241" s="15">
        <f>INDEX(P_PlafNiv,5)</f>
        <v>0</v>
      </c>
      <c r="G241" s="15">
        <f>IF(E241="Oui",F241,10)</f>
        <v>0</v>
      </c>
    </row>
    <row r="242" spans="1:8" ht="27" customHeight="1">
      <c r="A242" s="21" t="s">
        <v>142</v>
      </c>
      <c r="B242" s="13" t="s">
        <v>143</v>
      </c>
      <c r="C242" s="27">
        <f>$B$153</f>
        <v>0</v>
      </c>
      <c r="D242" s="27">
        <f>P_C6</f>
        <v>0</v>
      </c>
      <c r="E242" s="7">
        <f>IF($B$153="","n.r.",IF($B$153&gt;P_C6,"Oui","Non"))</f>
        <v>0</v>
      </c>
      <c r="F242" s="15">
        <f>INDEX(P_PlafNiv,6)</f>
        <v>0</v>
      </c>
      <c r="G242" s="15">
        <f>IF(E242="Oui",F242,10)</f>
        <v>0</v>
      </c>
    </row>
    <row r="243" spans="1:8" ht="27" customHeight="1">
      <c r="A243" s="21" t="s">
        <v>144</v>
      </c>
      <c r="B243" s="13" t="s">
        <v>145</v>
      </c>
      <c r="C243" s="20">
        <f>$B$152</f>
        <v>0</v>
      </c>
      <c r="D243" s="20">
        <f>P_C7</f>
        <v>0</v>
      </c>
      <c r="E243" s="7">
        <f>IF($B$152="","n.r.",IF($B$152&lt;P_C7,"Oui","Non"))</f>
        <v>0</v>
      </c>
      <c r="F243" s="15">
        <f>INDEX(P_PlafNiv,7)</f>
        <v>0</v>
      </c>
      <c r="G243" s="15">
        <f>IF(E243="Oui",F243,10)</f>
        <v>0</v>
      </c>
    </row>
    <row r="244" spans="1:8" ht="27" customHeight="1">
      <c r="A244" s="21" t="s">
        <v>146</v>
      </c>
      <c r="B244" s="13" t="s">
        <v>147</v>
      </c>
      <c r="C244" s="27">
        <f>$B$154</f>
        <v>0</v>
      </c>
      <c r="D244" s="27">
        <f>P_C8</f>
        <v>0</v>
      </c>
      <c r="E244" s="7">
        <f>IF($B$154="","n.r.",IF(AND($B$154&gt;P_C8,$B$155&lt;&gt;"Oui"),"Oui","Non"))</f>
        <v>0</v>
      </c>
      <c r="F244" s="15">
        <f>INDEX(P_PlafNiv,8)</f>
        <v>0</v>
      </c>
      <c r="G244" s="15">
        <f>IF(E244="Oui",F244,10)</f>
        <v>0</v>
      </c>
    </row>
    <row r="245" spans="1:8" ht="27" customHeight="1">
      <c r="A245" s="21" t="s">
        <v>148</v>
      </c>
      <c r="B245" s="13" t="s">
        <v>149</v>
      </c>
      <c r="C245" s="27">
        <f>$B$49</f>
        <v>0</v>
      </c>
      <c r="D245" s="27">
        <f>P_C9</f>
        <v>0</v>
      </c>
      <c r="E245" s="7">
        <f>IF($B$49="","n.r.",IF($B$49&gt;P_C9,"Oui","Non"))</f>
        <v>0</v>
      </c>
      <c r="F245" s="15">
        <f>INDEX(P_PlafNiv,9)</f>
        <v>0</v>
      </c>
      <c r="G245" s="15">
        <f>IF(E245="Oui",F245,10)</f>
        <v>0</v>
      </c>
    </row>
    <row r="246" spans="1:8" ht="27" customHeight="1">
      <c r="A246" s="21" t="s">
        <v>150</v>
      </c>
      <c r="B246" s="13" t="s">
        <v>151</v>
      </c>
      <c r="C246" s="13">
        <f>IF($B$156="","",FIXED($B$156*100,0)&amp;" % — "&amp;$B$157)</f>
        <v>0</v>
      </c>
      <c r="D246" s="13">
        <f>P_C10</f>
        <v>0</v>
      </c>
      <c r="E246" s="7">
        <f>IF(OR($B$156="",$B$157=""),"n.r.",IF(AND($B$156&gt;P_C10,$B$157&lt;&gt;INDEX(L_QualAch,1)),"Oui","Non"))</f>
        <v>0</v>
      </c>
      <c r="F246" s="15">
        <f>INDEX(P_PlafNiv,10)</f>
        <v>0</v>
      </c>
      <c r="G246" s="15">
        <f>IF(E246="Oui",F246,10)</f>
        <v>0</v>
      </c>
    </row>
    <row r="247" spans="1:8" ht="27" customHeight="1">
      <c r="A247" s="21" t="s">
        <v>152</v>
      </c>
      <c r="B247" s="13" t="s">
        <v>153</v>
      </c>
      <c r="C247" s="13">
        <f>$B$32</f>
        <v>0</v>
      </c>
      <c r="D247" s="13">
        <f>"élevé sans plan"</f>
        <v>0</v>
      </c>
      <c r="E247" s="7">
        <f>IF($B$32="","n.r.",IF(AND($B$32="Oui",$B$161&lt;&gt;"Oui"),"Oui","Non"))</f>
        <v>0</v>
      </c>
      <c r="F247" s="15">
        <f>INDEX(P_PlafNiv,11)</f>
        <v>0</v>
      </c>
      <c r="G247" s="15">
        <f>IF(E247="Oui",F247,10)</f>
        <v>0</v>
      </c>
    </row>
    <row r="248" spans="1:8" ht="27" customHeight="1">
      <c r="A248" s="21" t="s">
        <v>154</v>
      </c>
      <c r="B248" s="13" t="s">
        <v>155</v>
      </c>
      <c r="C248" s="13">
        <f>$B$162</f>
        <v>0</v>
      </c>
      <c r="D248" s="13">
        <f>"insuffisante"</f>
        <v>0</v>
      </c>
      <c r="E248" s="7">
        <f>IF($B$162="","n.r.",IF($B$162="Non","Oui","Non"))</f>
        <v>0</v>
      </c>
      <c r="F248" s="15">
        <f>INDEX(P_PlafNiv,12)</f>
        <v>0</v>
      </c>
      <c r="G248" s="15">
        <f>IF(E248="Oui",F248,10)</f>
        <v>0</v>
      </c>
    </row>
    <row r="249" spans="1:8" ht="27" customHeight="1">
      <c r="A249" s="21" t="s">
        <v>156</v>
      </c>
      <c r="B249" s="13" t="s">
        <v>157</v>
      </c>
      <c r="C249" s="13">
        <f>IF($B$163="","",$B$163&amp;IF($B$164="",""," — écart "&amp;$B$164&amp;" ans"))</f>
        <v>0</v>
      </c>
      <c r="D249" s="13">
        <f>P_C13</f>
        <v>0</v>
      </c>
      <c r="E249" s="7">
        <f>IF($B$163="","n.r.",IF(AND($B$163="Non",N($B$164)&gt;P_C13),"Oui","Non"))</f>
        <v>0</v>
      </c>
      <c r="F249" s="15">
        <f>INDEX(P_PlafNiv,13)</f>
        <v>0</v>
      </c>
      <c r="G249" s="15">
        <f>IF(E249="Oui",F249,10)</f>
        <v>0</v>
      </c>
    </row>
    <row r="250" spans="1:8" ht="27" customHeight="1">
      <c r="A250" s="21" t="s">
        <v>158</v>
      </c>
      <c r="B250" s="13" t="s">
        <v>159</v>
      </c>
      <c r="C250" s="13">
        <f>$B$165</f>
        <v>0</v>
      </c>
      <c r="D250" s="13">
        <f>"au-delà limite"</f>
        <v>0</v>
      </c>
      <c r="E250" s="7">
        <f>IF($B$165="","n.r.",IF($B$165="Oui","Oui","Non"))</f>
        <v>0</v>
      </c>
      <c r="F250" s="15">
        <f>INDEX(P_PlafNiv,14)</f>
        <v>0</v>
      </c>
      <c r="G250" s="15">
        <f>IF(E250="Oui",F250,10)</f>
        <v>0</v>
      </c>
    </row>
    <row r="251" spans="1:8" ht="27" customHeight="1">
      <c r="A251" s="21" t="s">
        <v>160</v>
      </c>
      <c r="B251" s="13" t="s">
        <v>161</v>
      </c>
      <c r="C251" s="27">
        <f>$B$203</f>
        <v>0</v>
      </c>
      <c r="D251" s="27">
        <f>P_COUV</f>
        <v>0</v>
      </c>
      <c r="E251" s="7">
        <f>IF(OR($B$203="",$B$204=""),"n.r.",IF(OR($B$203&lt;P_COUV,$B$204&lt;1),"Oui","Non"))</f>
        <v>0</v>
      </c>
      <c r="F251" s="15">
        <f>INDEX(P_PlafNiv,15)</f>
        <v>0</v>
      </c>
      <c r="G251" s="15">
        <f>IF(E251="Oui",F251,10)</f>
        <v>0</v>
      </c>
    </row>
    <row r="252" spans="1:8">
      <c r="A252" s="21" t="s">
        <v>504</v>
      </c>
      <c r="B252" s="14">
        <f>MIN(G237:G251)</f>
        <v>0</v>
      </c>
    </row>
    <row r="254" spans="1:8">
      <c r="A254" s="3" t="s">
        <v>505</v>
      </c>
      <c r="B254" s="3"/>
      <c r="C254" s="3"/>
      <c r="D254" s="3"/>
      <c r="E254" s="3"/>
      <c r="F254" s="3"/>
      <c r="G254" s="3"/>
      <c r="H254" s="3"/>
    </row>
    <row r="255" spans="1:8" ht="30" customHeight="1">
      <c r="A255" s="21" t="s">
        <v>506</v>
      </c>
      <c r="B255" s="25">
        <f>IF(COUNTIF(F222:F225,"Oui")&gt;0,"—",IF(B218="","",MIN(B218,B252)))</f>
        <v>0</v>
      </c>
    </row>
    <row r="256" spans="1:8">
      <c r="A256" s="21" t="s">
        <v>286</v>
      </c>
      <c r="B256" s="34">
        <f>IF(B218="","Dossier incomplet",IF(COUNTIF(F222:F225,"Oui")&gt;0,"Hors périmètre — aucune note produite",IF(COUNTIF(F226:F233,"Oui")&gt;0,"Note provisoire — stade bloqué : "&amp;TRIM(IF(F226="Oui","B1 (Octroi)  ","")&amp;IF(F227="Oui","B2 (Octroi)  ","")&amp;IF(F228="Oui","B3 (Décaissement)  ","")&amp;IF(F229="Oui","B4 (Octroi)  ","")&amp;IF(F230="Oui","B5 (Décaissement)  ","")&amp;IF(F231="Oui","B6 (Notation validée)  ","")&amp;IF(F232="Oui","B7 (Notation validée)  ","")&amp;IF(F233="Oui","B8 (Octroi)  ","")),IF(E251="Oui","Note provisoire — évaluation partielle (C15)","Note validable, à soumettre au comité"))))</f>
        <v>0</v>
      </c>
      <c r="C256" s="34"/>
      <c r="D256" s="34"/>
      <c r="E256" s="34"/>
      <c r="F256" s="34"/>
      <c r="G256" s="34"/>
      <c r="H256" s="34"/>
    </row>
    <row r="258" spans="1:8">
      <c r="A258" s="3" t="s">
        <v>732</v>
      </c>
      <c r="B258" s="3"/>
      <c r="C258" s="3"/>
      <c r="D258" s="3"/>
      <c r="E258" s="3"/>
      <c r="F258" s="3"/>
      <c r="G258" s="3"/>
      <c r="H258" s="3"/>
    </row>
    <row r="259" spans="1:8" ht="60" customHeight="1">
      <c r="A259" s="33"/>
      <c r="B259" s="33"/>
      <c r="C259" s="33"/>
      <c r="D259" s="33"/>
      <c r="E259" s="33"/>
      <c r="F259" s="33"/>
      <c r="G259" s="33"/>
      <c r="H259" s="33"/>
    </row>
  </sheetData>
  <sheetProtection sheet="1" objects="1" scenarios="1" formatColumns="0" formatRows="0"/>
  <mergeCells count="72">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A21:H21"/>
    <mergeCell ref="C22:H22"/>
    <mergeCell ref="C34:H34"/>
    <mergeCell ref="C35:H35"/>
    <mergeCell ref="A37:H37"/>
    <mergeCell ref="A52:H52"/>
    <mergeCell ref="B53:H53"/>
    <mergeCell ref="B54:H54"/>
    <mergeCell ref="B55:H55"/>
    <mergeCell ref="B56:H56"/>
    <mergeCell ref="B57:H57"/>
    <mergeCell ref="B58:H58"/>
    <mergeCell ref="B59:H59"/>
    <mergeCell ref="B60:H60"/>
    <mergeCell ref="A62:H62"/>
    <mergeCell ref="A69:H69"/>
    <mergeCell ref="C70:H70"/>
    <mergeCell ref="A140:H140"/>
    <mergeCell ref="E141:H141"/>
    <mergeCell ref="E142:H142"/>
    <mergeCell ref="E143:H143"/>
    <mergeCell ref="E144:H144"/>
    <mergeCell ref="E145:H145"/>
    <mergeCell ref="E146:H146"/>
    <mergeCell ref="E147:H147"/>
    <mergeCell ref="A149:H149"/>
    <mergeCell ref="A167:H167"/>
    <mergeCell ref="E168:H168"/>
    <mergeCell ref="E169:H169"/>
    <mergeCell ref="E173:H173"/>
    <mergeCell ref="E177:H177"/>
    <mergeCell ref="E181:H181"/>
    <mergeCell ref="E185:H185"/>
    <mergeCell ref="E189:H189"/>
    <mergeCell ref="E193:H193"/>
    <mergeCell ref="E197:H197"/>
    <mergeCell ref="A206:H206"/>
    <mergeCell ref="A220:H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A235:H235"/>
    <mergeCell ref="A254:H254"/>
    <mergeCell ref="B256:H256"/>
    <mergeCell ref="A258:H258"/>
    <mergeCell ref="A259:H259"/>
  </mergeCells>
  <conditionalFormatting sqref="A170:D170">
    <cfRule type="expression" dxfId="4" priority="20">
      <formula>$K$170=0</formula>
    </cfRule>
  </conditionalFormatting>
  <conditionalFormatting sqref="A171:D171">
    <cfRule type="expression" dxfId="4" priority="22">
      <formula>$K$171=0</formula>
    </cfRule>
  </conditionalFormatting>
  <conditionalFormatting sqref="A172:D172">
    <cfRule type="expression" dxfId="4" priority="24">
      <formula>$K$172=0</formula>
    </cfRule>
  </conditionalFormatting>
  <conditionalFormatting sqref="A174:D174">
    <cfRule type="expression" dxfId="4" priority="26">
      <formula>$K$174=0</formula>
    </cfRule>
  </conditionalFormatting>
  <conditionalFormatting sqref="A175:D175">
    <cfRule type="expression" dxfId="4" priority="28">
      <formula>$K$175=0</formula>
    </cfRule>
  </conditionalFormatting>
  <conditionalFormatting sqref="A176:D176">
    <cfRule type="expression" dxfId="4" priority="30">
      <formula>$K$176=0</formula>
    </cfRule>
  </conditionalFormatting>
  <conditionalFormatting sqref="A178:D178">
    <cfRule type="expression" dxfId="4" priority="32">
      <formula>$K$178=0</formula>
    </cfRule>
  </conditionalFormatting>
  <conditionalFormatting sqref="A179:D179">
    <cfRule type="expression" dxfId="4" priority="34">
      <formula>$K$179=0</formula>
    </cfRule>
  </conditionalFormatting>
  <conditionalFormatting sqref="A180:D180">
    <cfRule type="expression" dxfId="4" priority="36">
      <formula>$K$180=0</formula>
    </cfRule>
  </conditionalFormatting>
  <conditionalFormatting sqref="A182:D182">
    <cfRule type="expression" dxfId="4" priority="38">
      <formula>$K$182=0</formula>
    </cfRule>
  </conditionalFormatting>
  <conditionalFormatting sqref="A183:D183">
    <cfRule type="expression" dxfId="4" priority="40">
      <formula>$K$183=0</formula>
    </cfRule>
  </conditionalFormatting>
  <conditionalFormatting sqref="A184:D184">
    <cfRule type="expression" dxfId="4" priority="42">
      <formula>$K$184=0</formula>
    </cfRule>
  </conditionalFormatting>
  <conditionalFormatting sqref="A186:D186">
    <cfRule type="expression" dxfId="4" priority="44">
      <formula>$K$186=0</formula>
    </cfRule>
  </conditionalFormatting>
  <conditionalFormatting sqref="A187:D187">
    <cfRule type="expression" dxfId="4" priority="46">
      <formula>$K$187=0</formula>
    </cfRule>
  </conditionalFormatting>
  <conditionalFormatting sqref="A188:D188">
    <cfRule type="expression" dxfId="4" priority="48">
      <formula>$K$188=0</formula>
    </cfRule>
  </conditionalFormatting>
  <conditionalFormatting sqref="A190:D190">
    <cfRule type="expression" dxfId="4" priority="50">
      <formula>$K$190=0</formula>
    </cfRule>
  </conditionalFormatting>
  <conditionalFormatting sqref="A191:D191">
    <cfRule type="expression" dxfId="4" priority="52">
      <formula>$K$191=0</formula>
    </cfRule>
  </conditionalFormatting>
  <conditionalFormatting sqref="A192:D192">
    <cfRule type="expression" dxfId="4" priority="54">
      <formula>$K$192=0</formula>
    </cfRule>
  </conditionalFormatting>
  <conditionalFormatting sqref="A194:D194">
    <cfRule type="expression" dxfId="4" priority="56">
      <formula>$K$194=0</formula>
    </cfRule>
  </conditionalFormatting>
  <conditionalFormatting sqref="A195:D195">
    <cfRule type="expression" dxfId="4" priority="58">
      <formula>$K$195=0</formula>
    </cfRule>
  </conditionalFormatting>
  <conditionalFormatting sqref="A196:D196">
    <cfRule type="expression" dxfId="4" priority="60">
      <formula>$K$196=0</formula>
    </cfRule>
  </conditionalFormatting>
  <conditionalFormatting sqref="A198:D198">
    <cfRule type="expression" dxfId="4" priority="62">
      <formula>$K$198=0</formula>
    </cfRule>
  </conditionalFormatting>
  <conditionalFormatting sqref="A199:D199">
    <cfRule type="expression" dxfId="4" priority="64">
      <formula>$K$199=0</formula>
    </cfRule>
  </conditionalFormatting>
  <conditionalFormatting sqref="A200:D200">
    <cfRule type="expression" dxfId="4" priority="66">
      <formula>$K$200=0</formula>
    </cfRule>
  </conditionalFormatting>
  <conditionalFormatting sqref="A201:D201">
    <cfRule type="expression" dxfId="4" priority="68">
      <formula>$K$201=0</formula>
    </cfRule>
  </conditionalFormatting>
  <conditionalFormatting sqref="B145">
    <cfRule type="expression" dxfId="2" priority="143">
      <formula>NOT($B$145&lt;&gt;"")</formula>
    </cfRule>
  </conditionalFormatting>
  <conditionalFormatting sqref="B146">
    <cfRule type="expression" dxfId="2" priority="144">
      <formula>NOT($B$146&lt;&gt;"")</formula>
    </cfRule>
  </conditionalFormatting>
  <conditionalFormatting sqref="B147">
    <cfRule type="expression" dxfId="2" priority="145">
      <formula>NOT($B$147&lt;&gt;"")</formula>
    </cfRule>
  </conditionalFormatting>
  <conditionalFormatting sqref="B15">
    <cfRule type="expression" dxfId="2" priority="124">
      <formula>NOT($B$15&lt;&gt;"")</formula>
    </cfRule>
  </conditionalFormatting>
  <conditionalFormatting sqref="B150">
    <cfRule type="expression" dxfId="2" priority="146">
      <formula>NOT(OR($B$17="P1",$B$150&lt;&gt;""))</formula>
    </cfRule>
  </conditionalFormatting>
  <conditionalFormatting sqref="B151">
    <cfRule type="expression" dxfId="2" priority="147">
      <formula>NOT(ISNUMBER($B$151))</formula>
    </cfRule>
  </conditionalFormatting>
  <conditionalFormatting sqref="B152">
    <cfRule type="expression" dxfId="2" priority="148">
      <formula>NOT(ISNUMBER($B$152))</formula>
    </cfRule>
  </conditionalFormatting>
  <conditionalFormatting sqref="B153">
    <cfRule type="expression" dxfId="2" priority="149">
      <formula>NOT(ISNUMBER($B$153))</formula>
    </cfRule>
  </conditionalFormatting>
  <conditionalFormatting sqref="B154">
    <cfRule type="expression" dxfId="2" priority="150">
      <formula>NOT(ISNUMBER($B$154))</formula>
    </cfRule>
  </conditionalFormatting>
  <conditionalFormatting sqref="B155">
    <cfRule type="expression" dxfId="2" priority="151">
      <formula>NOT(OR(N($B$154)&lt;=P_C8,$B$155&lt;&gt;""))</formula>
    </cfRule>
  </conditionalFormatting>
  <conditionalFormatting sqref="B156">
    <cfRule type="expression" dxfId="2" priority="152">
      <formula>NOT(ISNUMBER($B$156))</formula>
    </cfRule>
  </conditionalFormatting>
  <conditionalFormatting sqref="B157">
    <cfRule type="expression" dxfId="2" priority="153">
      <formula>NOT($B$157&lt;&gt;"")</formula>
    </cfRule>
  </conditionalFormatting>
  <conditionalFormatting sqref="B158">
    <cfRule type="expression" dxfId="2" priority="154">
      <formula>NOT(OR($B$15="R4",ISNUMBER($B$158)))</formula>
    </cfRule>
  </conditionalFormatting>
  <conditionalFormatting sqref="B159">
    <cfRule type="expression" dxfId="2" priority="155">
      <formula>NOT(ISNUMBER($B$159))</formula>
    </cfRule>
  </conditionalFormatting>
  <conditionalFormatting sqref="B16">
    <cfRule type="expression" dxfId="2" priority="125">
      <formula>NOT($B$16&lt;&gt;"")</formula>
    </cfRule>
  </conditionalFormatting>
  <conditionalFormatting sqref="B160">
    <cfRule type="expression" dxfId="2" priority="156">
      <formula>NOT(OR(NOT(AND(ISNUMBER($B$158),ISNUMBER($B$159))),N($B$158)&gt;=N($B$159),$B$160&lt;&gt;""))</formula>
    </cfRule>
  </conditionalFormatting>
  <conditionalFormatting sqref="B161">
    <cfRule type="expression" dxfId="2" priority="157">
      <formula>NOT(OR($B$32&lt;&gt;"Oui",$B$161&lt;&gt;""))</formula>
    </cfRule>
  </conditionalFormatting>
  <conditionalFormatting sqref="B162">
    <cfRule type="expression" dxfId="2" priority="158">
      <formula>NOT($B$162&lt;&gt;"")</formula>
    </cfRule>
  </conditionalFormatting>
  <conditionalFormatting sqref="B163">
    <cfRule type="expression" dxfId="2" priority="159">
      <formula>NOT($B$163&lt;&gt;"")</formula>
    </cfRule>
  </conditionalFormatting>
  <conditionalFormatting sqref="B164">
    <cfRule type="expression" dxfId="2" priority="160">
      <formula>NOT(OR($B$163&lt;&gt;"Non",ISNUMBER($B$164)))</formula>
    </cfRule>
  </conditionalFormatting>
  <conditionalFormatting sqref="B165">
    <cfRule type="expression" dxfId="2" priority="161">
      <formula>NOT($B$165&lt;&gt;"")</formula>
    </cfRule>
  </conditionalFormatting>
  <conditionalFormatting sqref="B17">
    <cfRule type="expression" dxfId="2" priority="126">
      <formula>NOT($B$17&lt;&gt;"")</formula>
    </cfRule>
  </conditionalFormatting>
  <conditionalFormatting sqref="B170">
    <cfRule type="expression" dxfId="2" priority="21">
      <formula>AND($K$170=1,$B$170="")</formula>
    </cfRule>
  </conditionalFormatting>
  <conditionalFormatting sqref="B171">
    <cfRule type="expression" dxfId="2" priority="23">
      <formula>AND($K$171=1,$B$171="")</formula>
    </cfRule>
  </conditionalFormatting>
  <conditionalFormatting sqref="B172">
    <cfRule type="expression" dxfId="2" priority="25">
      <formula>AND($K$172=1,$B$172="")</formula>
    </cfRule>
  </conditionalFormatting>
  <conditionalFormatting sqref="B174">
    <cfRule type="expression" dxfId="2" priority="27">
      <formula>AND($K$174=1,$B$174="")</formula>
    </cfRule>
  </conditionalFormatting>
  <conditionalFormatting sqref="B175">
    <cfRule type="expression" dxfId="2" priority="29">
      <formula>AND($K$175=1,$B$175="")</formula>
    </cfRule>
  </conditionalFormatting>
  <conditionalFormatting sqref="B176">
    <cfRule type="expression" dxfId="2" priority="31">
      <formula>AND($K$176=1,$B$176="")</formula>
    </cfRule>
  </conditionalFormatting>
  <conditionalFormatting sqref="B178">
    <cfRule type="expression" dxfId="2" priority="33">
      <formula>AND($K$178=1,$B$178="")</formula>
    </cfRule>
  </conditionalFormatting>
  <conditionalFormatting sqref="B179">
    <cfRule type="expression" dxfId="2" priority="35">
      <formula>AND($K$179=1,$B$179="")</formula>
    </cfRule>
  </conditionalFormatting>
  <conditionalFormatting sqref="B18">
    <cfRule type="expression" dxfId="2" priority="127">
      <formula>NOT($B$18&lt;&gt;"")</formula>
    </cfRule>
  </conditionalFormatting>
  <conditionalFormatting sqref="B180">
    <cfRule type="expression" dxfId="2" priority="37">
      <formula>AND($K$180=1,$B$180="")</formula>
    </cfRule>
  </conditionalFormatting>
  <conditionalFormatting sqref="B182">
    <cfRule type="expression" dxfId="2" priority="39">
      <formula>AND($K$182=1,$B$182="")</formula>
    </cfRule>
  </conditionalFormatting>
  <conditionalFormatting sqref="B183">
    <cfRule type="expression" dxfId="2" priority="41">
      <formula>AND($K$183=1,$B$183="")</formula>
    </cfRule>
  </conditionalFormatting>
  <conditionalFormatting sqref="B184">
    <cfRule type="expression" dxfId="2" priority="43">
      <formula>AND($K$184=1,$B$184="")</formula>
    </cfRule>
  </conditionalFormatting>
  <conditionalFormatting sqref="B186">
    <cfRule type="expression" dxfId="2" priority="45">
      <formula>AND($K$186=1,$B$186="")</formula>
    </cfRule>
  </conditionalFormatting>
  <conditionalFormatting sqref="B187">
    <cfRule type="expression" dxfId="2" priority="47">
      <formula>AND($K$187=1,$B$187="")</formula>
    </cfRule>
  </conditionalFormatting>
  <conditionalFormatting sqref="B188">
    <cfRule type="expression" dxfId="2" priority="49">
      <formula>AND($K$188=1,$B$188="")</formula>
    </cfRule>
  </conditionalFormatting>
  <conditionalFormatting sqref="B190">
    <cfRule type="expression" dxfId="2" priority="51">
      <formula>AND($K$190=1,$B$190="")</formula>
    </cfRule>
  </conditionalFormatting>
  <conditionalFormatting sqref="B191">
    <cfRule type="expression" dxfId="2" priority="53">
      <formula>AND($K$191=1,$B$191="")</formula>
    </cfRule>
  </conditionalFormatting>
  <conditionalFormatting sqref="B192">
    <cfRule type="expression" dxfId="2" priority="55">
      <formula>AND($K$192=1,$B$192="")</formula>
    </cfRule>
  </conditionalFormatting>
  <conditionalFormatting sqref="B194">
    <cfRule type="expression" dxfId="2" priority="57">
      <formula>AND($K$194=1,$B$194="")</formula>
    </cfRule>
  </conditionalFormatting>
  <conditionalFormatting sqref="B195">
    <cfRule type="expression" dxfId="2" priority="59">
      <formula>AND($K$195=1,$B$195="")</formula>
    </cfRule>
  </conditionalFormatting>
  <conditionalFormatting sqref="B196">
    <cfRule type="expression" dxfId="2" priority="61">
      <formula>AND($K$196=1,$B$196="")</formula>
    </cfRule>
  </conditionalFormatting>
  <conditionalFormatting sqref="B198">
    <cfRule type="expression" dxfId="2" priority="63">
      <formula>AND($K$198=1,$B$198="")</formula>
    </cfRule>
  </conditionalFormatting>
  <conditionalFormatting sqref="B199">
    <cfRule type="expression" dxfId="2" priority="65">
      <formula>AND($K$199=1,$B$199="")</formula>
    </cfRule>
  </conditionalFormatting>
  <conditionalFormatting sqref="B200">
    <cfRule type="expression" dxfId="2" priority="67">
      <formula>AND($K$200=1,$B$200="")</formula>
    </cfRule>
  </conditionalFormatting>
  <conditionalFormatting sqref="B201">
    <cfRule type="expression" dxfId="2" priority="69">
      <formula>AND($K$201=1,$B$201="")</formula>
    </cfRule>
  </conditionalFormatting>
  <conditionalFormatting sqref="B23">
    <cfRule type="expression" dxfId="2" priority="128">
      <formula>NOT(ISNUMBER($B$23))</formula>
    </cfRule>
  </conditionalFormatting>
  <conditionalFormatting sqref="B24">
    <cfRule type="expression" dxfId="2" priority="129">
      <formula>NOT($B$24&lt;&gt;"")</formula>
    </cfRule>
  </conditionalFormatting>
  <conditionalFormatting sqref="B25">
    <cfRule type="expression" dxfId="2" priority="130">
      <formula>NOT(ISNUMBER($B$25))</formula>
    </cfRule>
  </conditionalFormatting>
  <conditionalFormatting sqref="B26">
    <cfRule type="expression" dxfId="2" priority="131">
      <formula>NOT($B$26&lt;&gt;"")</formula>
    </cfRule>
  </conditionalFormatting>
  <conditionalFormatting sqref="B27">
    <cfRule type="expression" dxfId="2" priority="132">
      <formula>NOT(OR(NOT($B$17="P1"),$B$27&lt;&gt;""))</formula>
    </cfRule>
  </conditionalFormatting>
  <conditionalFormatting sqref="B28">
    <cfRule type="expression" dxfId="2" priority="133">
      <formula>NOT($B$28&lt;&gt;"")</formula>
    </cfRule>
  </conditionalFormatting>
  <conditionalFormatting sqref="B29">
    <cfRule type="expression" dxfId="2" priority="134">
      <formula>NOT($B$29&lt;&gt;"")</formula>
    </cfRule>
  </conditionalFormatting>
  <conditionalFormatting sqref="B30">
    <cfRule type="expression" dxfId="2" priority="135">
      <formula>NOT($B$30&lt;&gt;"")</formula>
    </cfRule>
  </conditionalFormatting>
  <conditionalFormatting sqref="B31">
    <cfRule type="expression" dxfId="2" priority="136">
      <formula>NOT($B$31&lt;&gt;"")</formula>
    </cfRule>
  </conditionalFormatting>
  <conditionalFormatting sqref="B32">
    <cfRule type="expression" dxfId="2" priority="137">
      <formula>NOT($B$32&lt;&gt;"")</formula>
    </cfRule>
  </conditionalFormatting>
  <conditionalFormatting sqref="B33">
    <cfRule type="expression" dxfId="2" priority="138">
      <formula>NOT(ISNUMBER($B$33))</formula>
    </cfRule>
  </conditionalFormatting>
  <conditionalFormatting sqref="B39">
    <cfRule type="expression" dxfId="2" priority="139">
      <formula>NOT(N($B$47)&gt;0)</formula>
    </cfRule>
  </conditionalFormatting>
  <conditionalFormatting sqref="B4">
    <cfRule type="expression" dxfId="1" priority="1">
      <formula>AND(ISNUMBER($B$4),$B$4=0)</formula>
    </cfRule>
    <cfRule type="expression" dxfId="2" priority="2">
      <formula>AND(ISNUMBER($B$4),$B$4&gt;0)</formula>
    </cfRule>
  </conditionalFormatting>
  <conditionalFormatting sqref="B50">
    <cfRule type="expression" dxfId="2" priority="141">
      <formula>NOT(OR(NOT(AND($B$17="P1",ISNUMBER($B$48),N($B$48)&gt;=P_N3_V,N($B$48)&lt;P_N3_F)),$B$50&lt;&gt;""))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70">
    <cfRule type="expression" dxfId="2" priority="142">
      <formula>NOT(ISNUMBER($B$70))</formula>
    </cfRule>
  </conditionalFormatting>
  <conditionalFormatting sqref="B72:C73">
    <cfRule type="expression" dxfId="2" priority="12">
      <formula>AND(COUNT($B$72:$B$131)&lt;2,B72="")</formula>
    </cfRule>
  </conditionalFormatting>
  <conditionalFormatting sqref="C72:C131">
    <cfRule type="expression" dxfId="2" priority="11">
      <formula>AND(ISNUMBER($B72),NOT(ISNUMBER($C72)))</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33">
    <cfRule type="cellIs" dxfId="0" priority="16" operator="equal">
      <formula>"Critique"</formula>
    </cfRule>
    <cfRule type="cellIs" dxfId="3" priority="17" operator="equal">
      <formula>"Vigilance"</formula>
    </cfRule>
  </conditionalFormatting>
  <conditionalFormatting sqref="E134">
    <cfRule type="cellIs" dxfId="0" priority="18" operator="equal">
      <formula>"Critique"</formula>
    </cfRule>
    <cfRule type="cellIs" dxfId="3" priority="19" operator="equal">
      <formula>"Vigilance"</formula>
    </cfRule>
  </conditionalFormatting>
  <conditionalFormatting sqref="E222">
    <cfRule type="expression" dxfId="2" priority="70">
      <formula>$E$222=""</formula>
    </cfRule>
  </conditionalFormatting>
  <conditionalFormatting sqref="E223">
    <cfRule type="expression" dxfId="2" priority="72">
      <formula>$E$223=""</formula>
    </cfRule>
  </conditionalFormatting>
  <conditionalFormatting sqref="E224">
    <cfRule type="expression" dxfId="2" priority="74">
      <formula>$E$224=""</formula>
    </cfRule>
  </conditionalFormatting>
  <conditionalFormatting sqref="E225">
    <cfRule type="expression" dxfId="2" priority="76">
      <formula>$E$225=""</formula>
    </cfRule>
  </conditionalFormatting>
  <conditionalFormatting sqref="E226">
    <cfRule type="expression" dxfId="2" priority="78">
      <formula>$E$226=""</formula>
    </cfRule>
  </conditionalFormatting>
  <conditionalFormatting sqref="E227">
    <cfRule type="expression" dxfId="2" priority="80">
      <formula>$E$227=""</formula>
    </cfRule>
  </conditionalFormatting>
  <conditionalFormatting sqref="E228">
    <cfRule type="expression" dxfId="2" priority="82">
      <formula>$E$228=""</formula>
    </cfRule>
  </conditionalFormatting>
  <conditionalFormatting sqref="E229">
    <cfRule type="expression" dxfId="2" priority="84">
      <formula>$E$229=""</formula>
    </cfRule>
  </conditionalFormatting>
  <conditionalFormatting sqref="E230">
    <cfRule type="expression" dxfId="2" priority="86">
      <formula>$E$230=""</formula>
    </cfRule>
  </conditionalFormatting>
  <conditionalFormatting sqref="E231">
    <cfRule type="expression" dxfId="2" priority="88">
      <formula>$E$231=""</formula>
    </cfRule>
  </conditionalFormatting>
  <conditionalFormatting sqref="E232">
    <cfRule type="expression" dxfId="2" priority="90">
      <formula>$E$232=""</formula>
    </cfRule>
  </conditionalFormatting>
  <conditionalFormatting sqref="E233">
    <cfRule type="expression" dxfId="2" priority="92">
      <formula>$E$233=""</formula>
    </cfRule>
  </conditionalFormatting>
  <conditionalFormatting sqref="E237">
    <cfRule type="cellIs" dxfId="0" priority="94" operator="equal">
      <formula>"Oui"</formula>
    </cfRule>
    <cfRule type="cellIs" dxfId="3" priority="95" operator="equal">
      <formula>"n.r."</formula>
    </cfRule>
  </conditionalFormatting>
  <conditionalFormatting sqref="E238">
    <cfRule type="cellIs" dxfId="0" priority="96" operator="equal">
      <formula>"Oui"</formula>
    </cfRule>
    <cfRule type="cellIs" dxfId="3" priority="97" operator="equal">
      <formula>"n.r."</formula>
    </cfRule>
  </conditionalFormatting>
  <conditionalFormatting sqref="E239">
    <cfRule type="cellIs" dxfId="0" priority="98" operator="equal">
      <formula>"Oui"</formula>
    </cfRule>
    <cfRule type="cellIs" dxfId="3" priority="99" operator="equal">
      <formula>"n.r."</formula>
    </cfRule>
  </conditionalFormatting>
  <conditionalFormatting sqref="E240">
    <cfRule type="cellIs" dxfId="0" priority="100" operator="equal">
      <formula>"Oui"</formula>
    </cfRule>
    <cfRule type="cellIs" dxfId="3" priority="101" operator="equal">
      <formula>"n.r."</formula>
    </cfRule>
  </conditionalFormatting>
  <conditionalFormatting sqref="E241">
    <cfRule type="cellIs" dxfId="0" priority="102" operator="equal">
      <formula>"Oui"</formula>
    </cfRule>
    <cfRule type="cellIs" dxfId="3" priority="103" operator="equal">
      <formula>"n.r."</formula>
    </cfRule>
  </conditionalFormatting>
  <conditionalFormatting sqref="E242">
    <cfRule type="cellIs" dxfId="0" priority="104" operator="equal">
      <formula>"Oui"</formula>
    </cfRule>
    <cfRule type="cellIs" dxfId="3" priority="105" operator="equal">
      <formula>"n.r."</formula>
    </cfRule>
  </conditionalFormatting>
  <conditionalFormatting sqref="E243">
    <cfRule type="cellIs" dxfId="0" priority="106" operator="equal">
      <formula>"Oui"</formula>
    </cfRule>
    <cfRule type="cellIs" dxfId="3" priority="107" operator="equal">
      <formula>"n.r."</formula>
    </cfRule>
  </conditionalFormatting>
  <conditionalFormatting sqref="E244">
    <cfRule type="cellIs" dxfId="0" priority="108" operator="equal">
      <formula>"Oui"</formula>
    </cfRule>
    <cfRule type="cellIs" dxfId="3" priority="109" operator="equal">
      <formula>"n.r."</formula>
    </cfRule>
  </conditionalFormatting>
  <conditionalFormatting sqref="E245">
    <cfRule type="cellIs" dxfId="0" priority="110" operator="equal">
      <formula>"Oui"</formula>
    </cfRule>
    <cfRule type="cellIs" dxfId="3" priority="111" operator="equal">
      <formula>"n.r."</formula>
    </cfRule>
  </conditionalFormatting>
  <conditionalFormatting sqref="E246">
    <cfRule type="cellIs" dxfId="0" priority="112" operator="equal">
      <formula>"Oui"</formula>
    </cfRule>
    <cfRule type="cellIs" dxfId="3" priority="113" operator="equal">
      <formula>"n.r."</formula>
    </cfRule>
  </conditionalFormatting>
  <conditionalFormatting sqref="E247">
    <cfRule type="cellIs" dxfId="0" priority="114" operator="equal">
      <formula>"Oui"</formula>
    </cfRule>
    <cfRule type="cellIs" dxfId="3" priority="115" operator="equal">
      <formula>"n.r."</formula>
    </cfRule>
  </conditionalFormatting>
  <conditionalFormatting sqref="E248">
    <cfRule type="cellIs" dxfId="0" priority="116" operator="equal">
      <formula>"Oui"</formula>
    </cfRule>
    <cfRule type="cellIs" dxfId="3" priority="117" operator="equal">
      <formula>"n.r."</formula>
    </cfRule>
  </conditionalFormatting>
  <conditionalFormatting sqref="E249">
    <cfRule type="cellIs" dxfId="0" priority="118" operator="equal">
      <formula>"Oui"</formula>
    </cfRule>
    <cfRule type="cellIs" dxfId="3" priority="119" operator="equal">
      <formula>"n.r."</formula>
    </cfRule>
  </conditionalFormatting>
  <conditionalFormatting sqref="E250">
    <cfRule type="cellIs" dxfId="0" priority="120" operator="equal">
      <formula>"Oui"</formula>
    </cfRule>
    <cfRule type="cellIs" dxfId="3" priority="121" operator="equal">
      <formula>"n.r."</formula>
    </cfRule>
  </conditionalFormatting>
  <conditionalFormatting sqref="E251">
    <cfRule type="cellIs" dxfId="0" priority="122" operator="equal">
      <formula>"Oui"</formula>
    </cfRule>
    <cfRule type="cellIs" dxfId="3" priority="123" operator="equal">
      <formula>"n.r."</formula>
    </cfRule>
  </conditionalFormatting>
  <conditionalFormatting sqref="E39">
    <cfRule type="expression" dxfId="2" priority="140">
      <formula>NOT(N($E$47)&gt;0)</formula>
    </cfRule>
  </conditionalFormatting>
  <conditionalFormatting sqref="E72:E131">
    <cfRule type="cellIs" dxfId="0" priority="13" operator="equal">
      <formula>"Critique"</formula>
    </cfRule>
    <cfRule type="cellIs" dxfId="3" priority="14" operator="equal">
      <formula>"Vigilance"</formula>
    </cfRule>
    <cfRule type="cellIs" dxfId="1" priority="15" operator="equal">
      <formula>"Très favorable"</formula>
    </cfRule>
  </conditionalFormatting>
  <conditionalFormatting sqref="F222">
    <cfRule type="cellIs" dxfId="0" priority="71" operator="equal">
      <formula>"Oui"</formula>
    </cfRule>
  </conditionalFormatting>
  <conditionalFormatting sqref="F223">
    <cfRule type="cellIs" dxfId="0" priority="73" operator="equal">
      <formula>"Oui"</formula>
    </cfRule>
  </conditionalFormatting>
  <conditionalFormatting sqref="F224">
    <cfRule type="cellIs" dxfId="0" priority="75" operator="equal">
      <formula>"Oui"</formula>
    </cfRule>
  </conditionalFormatting>
  <conditionalFormatting sqref="F225">
    <cfRule type="cellIs" dxfId="0" priority="77" operator="equal">
      <formula>"Oui"</formula>
    </cfRule>
  </conditionalFormatting>
  <conditionalFormatting sqref="F226">
    <cfRule type="cellIs" dxfId="0" priority="79" operator="equal">
      <formula>"Oui"</formula>
    </cfRule>
  </conditionalFormatting>
  <conditionalFormatting sqref="F227">
    <cfRule type="cellIs" dxfId="0" priority="81" operator="equal">
      <formula>"Oui"</formula>
    </cfRule>
  </conditionalFormatting>
  <conditionalFormatting sqref="F228">
    <cfRule type="cellIs" dxfId="0" priority="83" operator="equal">
      <formula>"Oui"</formula>
    </cfRule>
  </conditionalFormatting>
  <conditionalFormatting sqref="F229">
    <cfRule type="cellIs" dxfId="0" priority="85" operator="equal">
      <formula>"Oui"</formula>
    </cfRule>
  </conditionalFormatting>
  <conditionalFormatting sqref="F230">
    <cfRule type="cellIs" dxfId="0" priority="87" operator="equal">
      <formula>"Oui"</formula>
    </cfRule>
  </conditionalFormatting>
  <conditionalFormatting sqref="F231">
    <cfRule type="cellIs" dxfId="0" priority="89" operator="equal">
      <formula>"Oui"</formula>
    </cfRule>
  </conditionalFormatting>
  <conditionalFormatting sqref="F232">
    <cfRule type="cellIs" dxfId="0" priority="91" operator="equal">
      <formula>"Oui"</formula>
    </cfRule>
  </conditionalFormatting>
  <conditionalFormatting sqref="F233">
    <cfRule type="cellIs" dxfId="0" priority="93" operator="equal">
      <formula>"Oui"</formula>
    </cfRule>
  </conditionalFormatting>
  <conditionalFormatting sqref="F39:F46">
    <cfRule type="expression" dxfId="2" priority="10">
      <formula>AND(ISNUMBER($E39),$F39="")</formula>
    </cfRule>
  </conditionalFormatting>
  <dataValidations count="100">
    <dataValidation allowBlank="1" showInputMessage="1" showErrorMessage="1" promptTitle="Intitulé du dossier" prompt="Référence et nom du projet, ex. « PF-2026-014 · Centrale solaire de Ouarzazate »."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5">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sectoriel Δ au seuil DSCR du régime (onglet Paramètres)." sqref="B16">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17">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18">
      <formula1>L_Periodicite</formula1>
    </dataValidation>
    <dataValidation allowBlank="1" showInputMessage="1" showErrorMessage="1" promptTitle="Famille de financement" prompt="PF-FLUX : société de projet remboursée par les flux du projet. La vente d'actifs (R5) est hors outil." sqref="B19"/>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3">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4">
      <formula1>L_OuiNon</formula1>
    </dataValidation>
    <dataValidation type="decimal" allowBlank="1" showInputMessage="1" showErrorMessage="1" errorTitle="Valeur non admise" error="Saisissez une durée en années (0 à 99)." promptTitle="Durée du financement" prompt="Durée totale de la dette, en années. Ex. : 15." sqref="B25">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6">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27">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28">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29">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0">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1">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2">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3">
      <formula1>0</formula1>
      <formula2>99</formula2>
    </dataValidation>
    <dataValidation allowBlank="1" showInputMessage="1" showErrorMessage="1" promptTitle="Emploi" prompt="Poste du besoin à terminaison : CAPEX, intérêts intercalaires, DSRA initiale, aléas…" sqref="A39:A46"/>
    <dataValidation type="decimal" operator="greaterThanOrEqual" allowBlank="1" showInputMessage="1" showErrorMessage="1" errorTitle="Valeur non admise" error="Saisissez un nombre positif ou nul." promptTitle="Montant de l'emploi" prompt="Montant en millions de dirhams (MMAD)." sqref="B39:B46">
      <formula1>0</formula1>
    </dataValidation>
    <dataValidation allowBlank="1" showInputMessage="1" showErrorMessage="1" promptTitle="Ressource" prompt="Ressource engagée : dette senior, capital, quasi-fonds propres, subvention…" sqref="D39:D46"/>
    <dataValidation type="decimal" operator="greaterThanOrEqual" allowBlank="1" showInputMessage="1" showErrorMessage="1" errorTitle="Valeur non admise" error="Saisissez un nombre positif ou nul." promptTitle="Montant de la ressource" prompt="Montant engagé, en millions de dirhams (MMAD)." sqref="E39:E46">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39:F46">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0">
      <formula1>L_OuiNon</formula1>
    </dataValidation>
    <dataValidation allowBlank="1" showInputMessage="1" showErrorMessage="1" promptTitle="Hypothèse d'exploitation" prompt="Information libre, non utilisée par le calcul." sqref="A53:B60"/>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70">
      <formula1>0</formula1>
      <formula2>0.95</formula2>
    </dataValidation>
    <dataValidation allowBlank="1" showInputMessage="1" showErrorMessage="1" promptTitle="Description du stress" prompt="Décrivez le scénario défavorable, ex. « production P90 et tarif −10 % »." sqref="C70"/>
    <dataValidation allowBlank="1" showInputMessage="1" showErrorMessage="1" promptTitle="Période" prompt="Libellé de l'échéance, ex. « An 1 · S1 ». Le bouton « Préparer l'échéancier » les génère." sqref="A72:A131"/>
    <dataValidation type="decimal" allowBlank="1" showInputMessage="1" showErrorMessage="1" errorTitle="Valeur non admise" error="Saisissez un nombre." promptTitle="CFADS central" prompt="Flux disponible pour le service de la dette sur la période, en MMAD. Un CFADS négatif est noté Critique d'office." sqref="B72:B131">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72:C131">
      <formula1>0</formula1>
    </dataValidation>
    <dataValidation type="decimal" allowBlank="1" showInputMessage="1" showErrorMessage="1" errorTitle="Valeur non admise" error="Saisissez un nombre." promptTitle="CFADS stressé (facultatif)" prompt="Laisser vide pour appliquer le choc de la ligne 70. Sinon, CFADS du scénario défavorable issu du modèle de flux." sqref="F72:F131">
      <formula1>-1000000000.0</formula1>
      <formula2>1000000000.0</formula2>
    </dataValidation>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5">
      <formula1>L_Notes</formula1>
    </dataValidation>
    <dataValidation allowBlank="1" showInputMessage="1" showErrorMessage="1" promptTitle="Justification" prompt="Mesure et pièce justificative, ex. « DSRA 6 mois, cascade de paiement signée »." sqref="E145"/>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6">
      <formula1>L_Notes</formula1>
    </dataValidation>
    <dataValidation allowBlank="1" showInputMessage="1" showErrorMessage="1" promptTitle="Justification" prompt="Mesure et pièce justificative, ex. « DSRA 6 mois, cascade de paiement signée »." sqref="E146"/>
    <dataValidation type="list" allowBlank="1" showInputMessage="1" showErrorMessage="1" errorTitle="Valeur non admise" error="Choisissez une valeur dans la liste déroulante (flèche à droite de la cellule)." promptTitle="Note de l'indicateur" prompt="100 Très favorable · 80 Favorable · 50 Vigilance · 20 Critique. « Info. insuffisante » est comptée à 20 et rend la note provisoire." sqref="B147">
      <formula1>L_Notes</formula1>
    </dataValidation>
    <dataValidation allowBlank="1" showInputMessage="1" showErrorMessage="1" promptTitle="Justification" prompt="Mesure et pièce justificative, ex. « DSRA 6 mois, cascade de paiement signée »." sqref="E147"/>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50">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51">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52">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53">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54">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55">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56">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57">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58">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59">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60">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61">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62">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63">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64">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65">
      <formula1>L_OuiNon</formula1>
    </dataValidation>
    <dataValidation allowBlank="1" showInputMessage="1" showErrorMessage="1" promptTitle="Commentaire du domaine" prompt="Constats et pièces qui justifient les notes du domaine." sqref="E16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2">
      <formula1>L_Notes</formula1>
    </dataValidation>
    <dataValidation allowBlank="1" showInputMessage="1" showErrorMessage="1" promptTitle="Commentaire du domaine" prompt="Constats et pièces qui justifient les notes du domaine." sqref="E17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6">
      <formula1>L_Notes</formula1>
    </dataValidation>
    <dataValidation allowBlank="1" showInputMessage="1" showErrorMessage="1" promptTitle="Commentaire du domaine" prompt="Constats et pièces qui justifient les notes du domaine." sqref="E17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7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0">
      <formula1>L_Notes</formula1>
    </dataValidation>
    <dataValidation allowBlank="1" showInputMessage="1" showErrorMessage="1" promptTitle="Commentaire du domaine" prompt="Constats et pièces qui justifient les notes du domaine." sqref="E181"/>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2">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3">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4">
      <formula1>L_Notes</formula1>
    </dataValidation>
    <dataValidation allowBlank="1" showInputMessage="1" showErrorMessage="1" promptTitle="Commentaire du domaine" prompt="Constats et pièces qui justifient les notes du domaine." sqref="E185"/>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6">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7">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88">
      <formula1>L_Notes</formula1>
    </dataValidation>
    <dataValidation allowBlank="1" showInputMessage="1" showErrorMessage="1" promptTitle="Commentaire du domaine" prompt="Constats et pièces qui justifient les notes du domaine." sqref="E189"/>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1">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2">
      <formula1>L_Notes</formula1>
    </dataValidation>
    <dataValidation allowBlank="1" showInputMessage="1" showErrorMessage="1" promptTitle="Commentaire du domaine" prompt="Constats et pièces qui justifient les notes du domaine." sqref="E193"/>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4">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5">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6">
      <formula1>L_Notes</formula1>
    </dataValidation>
    <dataValidation allowBlank="1" showInputMessage="1" showErrorMessage="1" promptTitle="Commentaire du domaine" prompt="Constats et pièces qui justifient les notes du domaine." sqref="E197"/>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8">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199">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0">
      <formula1>L_Notes</formula1>
    </dataValidation>
    <dataValidation type="list" allowBlank="1" showInputMessage="1" showErrorMessage="1" errorTitle="Valeur non admise" error="Choisissez une valeur dans la liste déroulante (flèche à droite de la cellule)." promptTitle="Note du sous-critère" prompt="100 Très favorable · 80 Favorable · 50 Vigilance · 20 Critique. « Info. insuffisante » : comptée à 20, la note devient provisoire (C15, B7)." sqref="B201">
      <formula1>L_Notes</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2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0">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31">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33">
      <formula1>L_OuiNon</formula1>
    </dataValidation>
    <dataValidation allowBlank="1" showInputMessage="1" showErrorMessage="1" promptTitle="Conclusion" prompt="Ce que le dossier enseigne, ou la recommandation de l'analyste au comité." sqref="A259"/>
  </dataValidations>
  <pageMargins left="0.7" right="0.7" top="0.75" bottom="0.75" header="0.3" footer="0.3"/>
  <pageSetup paperSize="9" fitToHeight="0" orientation="landscape"/>
  <legacyDrawing r:id="rId1"/>
</worksheet>
</file>

<file path=xl/worksheets/sheet11.xml><?xml version="1.0" encoding="utf-8"?>
<worksheet xmlns="http://schemas.openxmlformats.org/spreadsheetml/2006/main" xmlns:r="http://schemas.openxmlformats.org/officeDocument/2006/relationships">
  <dimension ref="A1:K86"/>
  <sheetViews>
    <sheetView workbookViewId="0">
      <pane ySplit="3" topLeftCell="A4" activePane="bottomLeft" state="frozen"/>
      <selection pane="bottomLeft"/>
    </sheetView>
  </sheetViews>
  <sheetFormatPr defaultRowHeight="15"/>
  <cols>
    <col min="1" max="1" width="14.7109375" customWidth="1"/>
    <col min="2" max="2" width="52.7109375" customWidth="1"/>
    <col min="3" max="6" width="13.7109375" customWidth="1"/>
    <col min="8" max="8" width="16.7109375" customWidth="1"/>
    <col min="9" max="9" width="60.7109375" customWidth="1"/>
    <col min="10" max="10" width="16.7109375" customWidth="1"/>
    <col min="11" max="11" width="34.7109375" customWidth="1"/>
    <col min="12" max="12" width="12.7109375" customWidth="1"/>
  </cols>
  <sheetData>
    <row r="1" spans="1:11">
      <c r="A1" s="1" t="s">
        <v>0</v>
      </c>
    </row>
    <row r="2" spans="1:11">
      <c r="A2" s="2" t="s">
        <v>1</v>
      </c>
    </row>
    <row r="4" spans="1:11">
      <c r="A4" s="21" t="s">
        <v>2</v>
      </c>
      <c r="H4" s="21" t="s">
        <v>106</v>
      </c>
    </row>
    <row r="5" spans="1:11">
      <c r="A5" s="11" t="s">
        <v>3</v>
      </c>
      <c r="B5" s="11" t="s">
        <v>4</v>
      </c>
      <c r="C5" s="11" t="s">
        <v>5</v>
      </c>
      <c r="D5" s="11" t="s">
        <v>6</v>
      </c>
      <c r="E5" s="11" t="s">
        <v>7</v>
      </c>
      <c r="H5" s="11" t="s">
        <v>107</v>
      </c>
      <c r="I5" s="11" t="s">
        <v>108</v>
      </c>
      <c r="J5" s="11" t="s">
        <v>4</v>
      </c>
      <c r="K5" s="11" t="s">
        <v>109</v>
      </c>
    </row>
    <row r="6" spans="1:11">
      <c r="A6" s="17" t="s">
        <v>8</v>
      </c>
      <c r="B6" s="17" t="s">
        <v>9</v>
      </c>
      <c r="C6" s="45">
        <v>1.1</v>
      </c>
      <c r="D6" s="45">
        <v>1.2</v>
      </c>
      <c r="E6" s="45">
        <v>1.3</v>
      </c>
      <c r="H6" s="41">
        <v>0</v>
      </c>
      <c r="I6" s="17">
        <v>1</v>
      </c>
      <c r="J6" s="17" t="s">
        <v>110</v>
      </c>
      <c r="K6" s="17" t="s">
        <v>111</v>
      </c>
    </row>
    <row r="7" spans="1:11">
      <c r="A7" s="17" t="s">
        <v>10</v>
      </c>
      <c r="B7" s="17" t="s">
        <v>11</v>
      </c>
      <c r="C7" s="45">
        <v>1.12</v>
      </c>
      <c r="D7" s="45">
        <v>1.22</v>
      </c>
      <c r="E7" s="45">
        <v>1.32</v>
      </c>
      <c r="H7" s="41">
        <v>32</v>
      </c>
      <c r="I7" s="17">
        <v>2</v>
      </c>
      <c r="J7" s="17" t="s">
        <v>102</v>
      </c>
      <c r="K7" s="17" t="s">
        <v>112</v>
      </c>
    </row>
    <row r="8" spans="1:11">
      <c r="A8" s="17" t="s">
        <v>12</v>
      </c>
      <c r="B8" s="17" t="s">
        <v>13</v>
      </c>
      <c r="C8" s="45">
        <v>1.2</v>
      </c>
      <c r="D8" s="45">
        <v>1.35</v>
      </c>
      <c r="E8" s="45">
        <v>1.5</v>
      </c>
      <c r="H8" s="41">
        <v>42</v>
      </c>
      <c r="I8" s="17">
        <v>3</v>
      </c>
      <c r="J8" s="17" t="s">
        <v>113</v>
      </c>
      <c r="K8" s="17" t="s">
        <v>114</v>
      </c>
    </row>
    <row r="9" spans="1:11">
      <c r="A9" s="17" t="s">
        <v>14</v>
      </c>
      <c r="B9" s="17" t="s">
        <v>15</v>
      </c>
      <c r="C9" s="45">
        <v>1.35</v>
      </c>
      <c r="D9" s="45">
        <v>1.55</v>
      </c>
      <c r="E9" s="45">
        <v>1.8</v>
      </c>
      <c r="H9" s="41">
        <v>50</v>
      </c>
      <c r="I9" s="17">
        <v>4</v>
      </c>
      <c r="J9" s="17" t="s">
        <v>115</v>
      </c>
      <c r="K9" s="17" t="s">
        <v>116</v>
      </c>
    </row>
    <row r="10" spans="1:11">
      <c r="B10" s="46" t="s">
        <v>16</v>
      </c>
      <c r="H10" s="41">
        <v>58</v>
      </c>
      <c r="I10" s="17">
        <v>5</v>
      </c>
      <c r="J10" s="17" t="s">
        <v>117</v>
      </c>
      <c r="K10" s="17" t="s">
        <v>118</v>
      </c>
    </row>
    <row r="11" spans="1:11">
      <c r="H11" s="41">
        <v>66</v>
      </c>
      <c r="I11" s="17">
        <v>6</v>
      </c>
      <c r="J11" s="17" t="s">
        <v>119</v>
      </c>
      <c r="K11" s="17" t="s">
        <v>120</v>
      </c>
    </row>
    <row r="12" spans="1:11">
      <c r="A12" s="21" t="s">
        <v>17</v>
      </c>
      <c r="H12" s="41">
        <v>73</v>
      </c>
      <c r="I12" s="17">
        <v>7</v>
      </c>
      <c r="J12" s="17" t="s">
        <v>121</v>
      </c>
      <c r="K12" s="17" t="s">
        <v>122</v>
      </c>
    </row>
    <row r="13" spans="1:11">
      <c r="A13" s="11" t="s">
        <v>18</v>
      </c>
      <c r="B13" s="11" t="s">
        <v>19</v>
      </c>
      <c r="C13" s="11" t="s">
        <v>20</v>
      </c>
      <c r="H13" s="41">
        <v>80</v>
      </c>
      <c r="I13" s="17">
        <v>8</v>
      </c>
      <c r="J13" s="17" t="s">
        <v>123</v>
      </c>
      <c r="K13" s="17" t="s">
        <v>124</v>
      </c>
    </row>
    <row r="14" spans="1:11">
      <c r="A14" s="17" t="s">
        <v>21</v>
      </c>
      <c r="B14" s="17" t="s">
        <v>22</v>
      </c>
      <c r="C14" s="45">
        <v>-0.05</v>
      </c>
      <c r="H14" s="41">
        <v>86</v>
      </c>
      <c r="I14" s="17">
        <v>9</v>
      </c>
      <c r="J14" s="17" t="s">
        <v>125</v>
      </c>
      <c r="K14" s="17" t="s">
        <v>126</v>
      </c>
    </row>
    <row r="15" spans="1:11">
      <c r="A15" s="17" t="s">
        <v>23</v>
      </c>
      <c r="B15" s="17" t="s">
        <v>24</v>
      </c>
      <c r="C15" s="45">
        <v>0</v>
      </c>
      <c r="H15" s="41">
        <v>92</v>
      </c>
      <c r="I15" s="17">
        <v>10</v>
      </c>
      <c r="J15" s="17" t="s">
        <v>127</v>
      </c>
      <c r="K15" s="17" t="s">
        <v>128</v>
      </c>
    </row>
    <row r="16" spans="1:11">
      <c r="A16" s="17" t="s">
        <v>25</v>
      </c>
      <c r="B16" s="17" t="s">
        <v>26</v>
      </c>
      <c r="C16" s="45">
        <v>0</v>
      </c>
    </row>
    <row r="17" spans="1:10">
      <c r="A17" s="17" t="s">
        <v>27</v>
      </c>
      <c r="B17" s="17" t="s">
        <v>28</v>
      </c>
      <c r="C17" s="45">
        <v>0.05</v>
      </c>
    </row>
    <row r="18" spans="1:10">
      <c r="A18" s="17" t="s">
        <v>29</v>
      </c>
      <c r="B18" s="17" t="s">
        <v>30</v>
      </c>
      <c r="C18" s="45">
        <v>0.05</v>
      </c>
      <c r="H18" s="21" t="s">
        <v>129</v>
      </c>
    </row>
    <row r="19" spans="1:10">
      <c r="A19" s="17" t="s">
        <v>31</v>
      </c>
      <c r="B19" s="17" t="s">
        <v>32</v>
      </c>
      <c r="C19" s="45">
        <v>0.05</v>
      </c>
      <c r="H19" s="11" t="s">
        <v>18</v>
      </c>
      <c r="I19" s="11" t="s">
        <v>130</v>
      </c>
      <c r="J19" s="11" t="s">
        <v>131</v>
      </c>
    </row>
    <row r="20" spans="1:10">
      <c r="A20" s="17" t="s">
        <v>33</v>
      </c>
      <c r="B20" s="17" t="s">
        <v>34</v>
      </c>
      <c r="C20" s="45">
        <v>0.05</v>
      </c>
      <c r="H20" s="17" t="s">
        <v>132</v>
      </c>
      <c r="I20" s="13" t="s">
        <v>133</v>
      </c>
      <c r="J20" s="41">
        <v>3</v>
      </c>
    </row>
    <row r="21" spans="1:10">
      <c r="A21" s="17" t="s">
        <v>35</v>
      </c>
      <c r="B21" s="17" t="s">
        <v>36</v>
      </c>
      <c r="C21" s="45">
        <v>0.05</v>
      </c>
      <c r="H21" s="17" t="s">
        <v>134</v>
      </c>
      <c r="I21" s="13" t="s">
        <v>135</v>
      </c>
      <c r="J21" s="41">
        <v>5</v>
      </c>
    </row>
    <row r="22" spans="1:10">
      <c r="A22" s="17" t="s">
        <v>37</v>
      </c>
      <c r="B22" s="17" t="s">
        <v>38</v>
      </c>
      <c r="C22" s="45">
        <v>0.1</v>
      </c>
      <c r="H22" s="17" t="s">
        <v>136</v>
      </c>
      <c r="I22" s="13" t="s">
        <v>137</v>
      </c>
      <c r="J22" s="41">
        <v>4</v>
      </c>
    </row>
    <row r="23" spans="1:10">
      <c r="A23" s="17" t="s">
        <v>39</v>
      </c>
      <c r="B23" s="17" t="s">
        <v>40</v>
      </c>
      <c r="C23" s="45">
        <v>0.15</v>
      </c>
      <c r="H23" s="17" t="s">
        <v>138</v>
      </c>
      <c r="I23" s="13" t="s">
        <v>139</v>
      </c>
      <c r="J23" s="41">
        <v>4</v>
      </c>
    </row>
    <row r="24" spans="1:10">
      <c r="A24" s="17" t="s">
        <v>41</v>
      </c>
      <c r="B24" s="17" t="s">
        <v>42</v>
      </c>
      <c r="C24" s="45">
        <v>0.2</v>
      </c>
      <c r="H24" s="17" t="s">
        <v>140</v>
      </c>
      <c r="I24" s="13" t="s">
        <v>141</v>
      </c>
      <c r="J24" s="41">
        <v>5</v>
      </c>
    </row>
    <row r="25" spans="1:10">
      <c r="A25" s="17" t="s">
        <v>43</v>
      </c>
      <c r="B25" s="17" t="s">
        <v>44</v>
      </c>
      <c r="C25" s="45">
        <v>0.25</v>
      </c>
      <c r="H25" s="17" t="s">
        <v>142</v>
      </c>
      <c r="I25" s="13" t="s">
        <v>143</v>
      </c>
      <c r="J25" s="41">
        <v>5</v>
      </c>
    </row>
    <row r="26" spans="1:10">
      <c r="H26" s="17" t="s">
        <v>144</v>
      </c>
      <c r="I26" s="13" t="s">
        <v>145</v>
      </c>
      <c r="J26" s="41">
        <v>6</v>
      </c>
    </row>
    <row r="27" spans="1:10">
      <c r="H27" s="17" t="s">
        <v>146</v>
      </c>
      <c r="I27" s="13" t="s">
        <v>147</v>
      </c>
      <c r="J27" s="41">
        <v>5</v>
      </c>
    </row>
    <row r="28" spans="1:10">
      <c r="A28" s="21" t="s">
        <v>45</v>
      </c>
      <c r="H28" s="17" t="s">
        <v>148</v>
      </c>
      <c r="I28" s="13" t="s">
        <v>149</v>
      </c>
      <c r="J28" s="41">
        <v>5</v>
      </c>
    </row>
    <row r="29" spans="1:10">
      <c r="A29" s="11" t="s">
        <v>46</v>
      </c>
      <c r="B29" s="11" t="s">
        <v>4</v>
      </c>
      <c r="C29" s="11" t="s">
        <v>47</v>
      </c>
      <c r="H29" s="17" t="s">
        <v>150</v>
      </c>
      <c r="I29" s="13" t="s">
        <v>151</v>
      </c>
      <c r="J29" s="41">
        <v>6</v>
      </c>
    </row>
    <row r="30" spans="1:10">
      <c r="A30" s="17" t="s">
        <v>48</v>
      </c>
      <c r="B30" s="17" t="s">
        <v>49</v>
      </c>
      <c r="C30" s="45">
        <v>0</v>
      </c>
      <c r="H30" s="17" t="s">
        <v>152</v>
      </c>
      <c r="I30" s="13" t="s">
        <v>153</v>
      </c>
      <c r="J30" s="41">
        <v>6</v>
      </c>
    </row>
    <row r="31" spans="1:10">
      <c r="A31" s="17" t="s">
        <v>50</v>
      </c>
      <c r="B31" s="17" t="s">
        <v>51</v>
      </c>
      <c r="C31" s="45">
        <v>0.05</v>
      </c>
      <c r="H31" s="17" t="s">
        <v>154</v>
      </c>
      <c r="I31" s="13" t="s">
        <v>155</v>
      </c>
      <c r="J31" s="41">
        <v>6</v>
      </c>
    </row>
    <row r="32" spans="1:10">
      <c r="A32" s="17" t="s">
        <v>52</v>
      </c>
      <c r="B32" s="17" t="s">
        <v>53</v>
      </c>
      <c r="C32" s="45">
        <v>0</v>
      </c>
      <c r="H32" s="17" t="s">
        <v>156</v>
      </c>
      <c r="I32" s="13" t="s">
        <v>157</v>
      </c>
      <c r="J32" s="41">
        <v>7</v>
      </c>
    </row>
    <row r="33" spans="1:10">
      <c r="H33" s="17" t="s">
        <v>158</v>
      </c>
      <c r="I33" s="13" t="s">
        <v>159</v>
      </c>
      <c r="J33" s="41">
        <v>6</v>
      </c>
    </row>
    <row r="34" spans="1:10">
      <c r="H34" s="17" t="s">
        <v>160</v>
      </c>
      <c r="I34" s="13" t="s">
        <v>161</v>
      </c>
      <c r="J34" s="41">
        <v>6</v>
      </c>
    </row>
    <row r="35" spans="1:10">
      <c r="A35" s="21" t="s">
        <v>54</v>
      </c>
    </row>
    <row r="36" spans="1:10">
      <c r="A36" s="11" t="s">
        <v>55</v>
      </c>
      <c r="B36" s="11" t="s">
        <v>4</v>
      </c>
      <c r="C36" s="11" t="s">
        <v>48</v>
      </c>
      <c r="D36" s="11" t="s">
        <v>50</v>
      </c>
      <c r="E36" s="11" t="s">
        <v>52</v>
      </c>
    </row>
    <row r="37" spans="1:10">
      <c r="A37" s="17" t="s">
        <v>56</v>
      </c>
      <c r="B37" s="17" t="s">
        <v>57</v>
      </c>
      <c r="C37" s="47">
        <v>0.1</v>
      </c>
      <c r="D37" s="47">
        <v>0.08</v>
      </c>
      <c r="E37" s="47">
        <v>0.05</v>
      </c>
      <c r="H37" s="21" t="s">
        <v>162</v>
      </c>
    </row>
    <row r="38" spans="1:10">
      <c r="A38" s="17" t="s">
        <v>58</v>
      </c>
      <c r="B38" s="17" t="s">
        <v>59</v>
      </c>
      <c r="C38" s="47">
        <v>0.1</v>
      </c>
      <c r="D38" s="47">
        <v>0.07000000000000001</v>
      </c>
      <c r="E38" s="47">
        <v>0.05</v>
      </c>
      <c r="H38" s="11" t="s">
        <v>92</v>
      </c>
      <c r="I38" s="11" t="s">
        <v>163</v>
      </c>
      <c r="J38" s="11" t="s">
        <v>94</v>
      </c>
    </row>
    <row r="39" spans="1:10">
      <c r="A39" s="17" t="s">
        <v>60</v>
      </c>
      <c r="B39" s="17" t="s">
        <v>61</v>
      </c>
      <c r="C39" s="47">
        <v>0.2</v>
      </c>
      <c r="D39" s="47">
        <v>0.08</v>
      </c>
      <c r="E39" s="47">
        <v>0</v>
      </c>
      <c r="H39" s="17" t="s">
        <v>164</v>
      </c>
      <c r="I39" s="13" t="s">
        <v>165</v>
      </c>
      <c r="J39" s="41">
        <v>200</v>
      </c>
    </row>
    <row r="40" spans="1:10">
      <c r="A40" s="17" t="s">
        <v>62</v>
      </c>
      <c r="B40" s="17" t="s">
        <v>63</v>
      </c>
      <c r="C40" s="47">
        <v>0.05</v>
      </c>
      <c r="D40" s="47">
        <v>0.12</v>
      </c>
      <c r="E40" s="47">
        <v>0.15</v>
      </c>
      <c r="H40" s="17" t="s">
        <v>166</v>
      </c>
      <c r="I40" s="13" t="s">
        <v>167</v>
      </c>
      <c r="J40" s="41">
        <v>100</v>
      </c>
    </row>
    <row r="41" spans="1:10">
      <c r="A41" s="17" t="s">
        <v>64</v>
      </c>
      <c r="B41" s="17" t="s">
        <v>65</v>
      </c>
      <c r="C41" s="47">
        <v>0.05</v>
      </c>
      <c r="D41" s="47">
        <v>0.12</v>
      </c>
      <c r="E41" s="47">
        <v>0.15</v>
      </c>
      <c r="H41" s="17" t="s">
        <v>168</v>
      </c>
      <c r="I41" s="13" t="s">
        <v>169</v>
      </c>
      <c r="J41" s="41">
        <v>12</v>
      </c>
    </row>
    <row r="42" spans="1:10">
      <c r="A42" s="17" t="s">
        <v>66</v>
      </c>
      <c r="B42" s="17" t="s">
        <v>67</v>
      </c>
      <c r="C42" s="47">
        <v>0.1</v>
      </c>
      <c r="D42" s="47">
        <v>0.12</v>
      </c>
      <c r="E42" s="47">
        <v>0.15</v>
      </c>
      <c r="H42" s="17" t="s">
        <v>170</v>
      </c>
      <c r="I42" s="13" t="s">
        <v>171</v>
      </c>
      <c r="J42" s="41">
        <v>1500</v>
      </c>
    </row>
    <row r="43" spans="1:10">
      <c r="A43" s="17" t="s">
        <v>68</v>
      </c>
      <c r="B43" s="17" t="s">
        <v>69</v>
      </c>
      <c r="C43" s="47">
        <v>0.25</v>
      </c>
      <c r="D43" s="47">
        <v>0.28</v>
      </c>
      <c r="E43" s="47">
        <v>0.3</v>
      </c>
      <c r="H43" s="17" t="s">
        <v>172</v>
      </c>
      <c r="I43" s="13" t="s">
        <v>173</v>
      </c>
      <c r="J43" s="41">
        <v>500</v>
      </c>
    </row>
    <row r="44" spans="1:10">
      <c r="A44" s="17" t="s">
        <v>70</v>
      </c>
      <c r="B44" s="17" t="s">
        <v>71</v>
      </c>
      <c r="C44" s="47">
        <v>0.1</v>
      </c>
      <c r="D44" s="47">
        <v>0.08</v>
      </c>
      <c r="E44" s="47">
        <v>0.1</v>
      </c>
      <c r="H44" s="17" t="s">
        <v>174</v>
      </c>
      <c r="I44" s="13" t="s">
        <v>175</v>
      </c>
      <c r="J44" s="41">
        <v>3</v>
      </c>
    </row>
    <row r="45" spans="1:10">
      <c r="A45" s="17" t="s">
        <v>72</v>
      </c>
      <c r="B45" s="17" t="s">
        <v>73</v>
      </c>
      <c r="C45" s="47">
        <v>0.05</v>
      </c>
      <c r="D45" s="47">
        <v>0.05</v>
      </c>
      <c r="E45" s="47">
        <v>0.05</v>
      </c>
      <c r="H45" s="17" t="s">
        <v>176</v>
      </c>
      <c r="I45" s="13" t="s">
        <v>177</v>
      </c>
      <c r="J45" s="47">
        <v>1.1</v>
      </c>
    </row>
    <row r="46" spans="1:10">
      <c r="B46" s="21" t="s">
        <v>74</v>
      </c>
      <c r="C46" s="27">
        <f>SUM(C37:C45)</f>
        <v>0</v>
      </c>
      <c r="D46" s="27">
        <f>SUM(D37:D45)</f>
        <v>0</v>
      </c>
      <c r="E46" s="27">
        <f>SUM(E37:E45)</f>
        <v>0</v>
      </c>
      <c r="H46" s="17" t="s">
        <v>178</v>
      </c>
      <c r="I46" s="13" t="s">
        <v>179</v>
      </c>
      <c r="J46" s="47">
        <v>1</v>
      </c>
    </row>
    <row r="47" spans="1:10">
      <c r="H47" s="17" t="s">
        <v>180</v>
      </c>
      <c r="I47" s="13" t="s">
        <v>181</v>
      </c>
      <c r="J47" s="47">
        <v>0.95</v>
      </c>
    </row>
    <row r="48" spans="1:10">
      <c r="A48" s="21" t="s">
        <v>75</v>
      </c>
      <c r="H48" s="17" t="s">
        <v>182</v>
      </c>
      <c r="I48" s="13" t="s">
        <v>183</v>
      </c>
      <c r="J48" s="45">
        <v>1.05</v>
      </c>
    </row>
    <row r="49" spans="1:10">
      <c r="A49" s="11" t="s">
        <v>18</v>
      </c>
      <c r="B49" s="11" t="s">
        <v>76</v>
      </c>
      <c r="C49" s="11" t="s">
        <v>77</v>
      </c>
      <c r="H49" s="17" t="s">
        <v>184</v>
      </c>
      <c r="I49" s="13" t="s">
        <v>185</v>
      </c>
      <c r="J49" s="45">
        <v>1</v>
      </c>
    </row>
    <row r="50" spans="1:10">
      <c r="A50" s="17" t="s">
        <v>78</v>
      </c>
      <c r="B50" s="17" t="s">
        <v>79</v>
      </c>
      <c r="C50" s="47">
        <v>0.25</v>
      </c>
      <c r="H50" s="17" t="s">
        <v>186</v>
      </c>
      <c r="I50" s="13" t="s">
        <v>187</v>
      </c>
      <c r="J50" s="45">
        <v>1.1</v>
      </c>
    </row>
    <row r="51" spans="1:10">
      <c r="A51" s="17" t="s">
        <v>80</v>
      </c>
      <c r="B51" s="17" t="s">
        <v>81</v>
      </c>
      <c r="C51" s="47">
        <v>0.2</v>
      </c>
      <c r="H51" s="17" t="s">
        <v>188</v>
      </c>
      <c r="I51" s="13" t="s">
        <v>189</v>
      </c>
      <c r="J51" s="47">
        <v>0.25</v>
      </c>
    </row>
    <row r="52" spans="1:10">
      <c r="A52" s="17" t="s">
        <v>82</v>
      </c>
      <c r="B52" s="17" t="s">
        <v>83</v>
      </c>
      <c r="C52" s="47">
        <v>0.15</v>
      </c>
      <c r="H52" s="17" t="s">
        <v>190</v>
      </c>
      <c r="I52" s="13" t="s">
        <v>191</v>
      </c>
      <c r="J52" s="41">
        <v>3</v>
      </c>
    </row>
    <row r="53" spans="1:10">
      <c r="A53" s="17" t="s">
        <v>84</v>
      </c>
      <c r="B53" s="17" t="s">
        <v>85</v>
      </c>
      <c r="C53" s="47">
        <v>0.15</v>
      </c>
      <c r="H53" s="17" t="s">
        <v>192</v>
      </c>
      <c r="I53" s="13" t="s">
        <v>193</v>
      </c>
      <c r="J53" s="47">
        <v>0.3</v>
      </c>
    </row>
    <row r="54" spans="1:10">
      <c r="A54" s="17" t="s">
        <v>86</v>
      </c>
      <c r="B54" s="17" t="s">
        <v>87</v>
      </c>
      <c r="C54" s="47">
        <v>0.15</v>
      </c>
      <c r="H54" s="17" t="s">
        <v>194</v>
      </c>
      <c r="I54" s="13" t="s">
        <v>195</v>
      </c>
      <c r="J54" s="47">
        <v>0.85</v>
      </c>
    </row>
    <row r="55" spans="1:10">
      <c r="A55" s="17" t="s">
        <v>88</v>
      </c>
      <c r="B55" s="17" t="s">
        <v>89</v>
      </c>
      <c r="C55" s="47">
        <v>0.1</v>
      </c>
      <c r="H55" s="17" t="s">
        <v>196</v>
      </c>
      <c r="I55" s="13" t="s">
        <v>197</v>
      </c>
      <c r="J55" s="47">
        <v>0.85</v>
      </c>
    </row>
    <row r="56" spans="1:10">
      <c r="B56" s="21" t="s">
        <v>90</v>
      </c>
      <c r="C56" s="27">
        <f>SUM(C50:C55)</f>
        <v>0</v>
      </c>
      <c r="H56" s="17" t="s">
        <v>198</v>
      </c>
      <c r="I56" s="13" t="s">
        <v>199</v>
      </c>
      <c r="J56" s="41">
        <v>5</v>
      </c>
    </row>
    <row r="57" spans="1:10">
      <c r="H57" s="17" t="s">
        <v>200</v>
      </c>
      <c r="I57" s="13" t="s">
        <v>201</v>
      </c>
      <c r="J57" s="47">
        <v>0.95</v>
      </c>
    </row>
    <row r="58" spans="1:10">
      <c r="A58" s="21" t="s">
        <v>91</v>
      </c>
    </row>
    <row r="59" spans="1:10">
      <c r="A59" s="11" t="s">
        <v>92</v>
      </c>
      <c r="B59" s="11" t="s">
        <v>93</v>
      </c>
      <c r="C59" s="11" t="s">
        <v>94</v>
      </c>
    </row>
    <row r="60" spans="1:10">
      <c r="A60" s="17" t="s">
        <v>95</v>
      </c>
      <c r="B60" s="17" t="s">
        <v>96</v>
      </c>
      <c r="C60" s="41">
        <v>100</v>
      </c>
      <c r="H60" s="21" t="s">
        <v>202</v>
      </c>
    </row>
    <row r="61" spans="1:10">
      <c r="A61" s="17" t="s">
        <v>97</v>
      </c>
      <c r="B61" s="17" t="s">
        <v>98</v>
      </c>
      <c r="C61" s="41">
        <v>80</v>
      </c>
      <c r="H61" s="11" t="s">
        <v>203</v>
      </c>
      <c r="I61" s="11" t="s">
        <v>204</v>
      </c>
      <c r="J61" s="11" t="s">
        <v>77</v>
      </c>
    </row>
    <row r="62" spans="1:10">
      <c r="A62" s="17" t="s">
        <v>99</v>
      </c>
      <c r="B62" s="17" t="s">
        <v>100</v>
      </c>
      <c r="C62" s="41">
        <v>50</v>
      </c>
      <c r="H62" s="17" t="s">
        <v>205</v>
      </c>
      <c r="I62" s="13" t="s">
        <v>206</v>
      </c>
      <c r="J62" s="47">
        <v>0.4</v>
      </c>
    </row>
    <row r="63" spans="1:10">
      <c r="A63" s="17" t="s">
        <v>101</v>
      </c>
      <c r="B63" s="17" t="s">
        <v>102</v>
      </c>
      <c r="C63" s="41">
        <v>20</v>
      </c>
      <c r="H63" s="17" t="s">
        <v>207</v>
      </c>
      <c r="I63" s="13" t="s">
        <v>208</v>
      </c>
      <c r="J63" s="47">
        <v>0.35</v>
      </c>
    </row>
    <row r="64" spans="1:10">
      <c r="A64" s="17" t="s">
        <v>103</v>
      </c>
      <c r="B64" s="17" t="s">
        <v>104</v>
      </c>
      <c r="C64" s="41">
        <v>20</v>
      </c>
      <c r="H64" s="17" t="s">
        <v>209</v>
      </c>
      <c r="I64" s="13" t="s">
        <v>210</v>
      </c>
      <c r="J64" s="47">
        <v>0.25</v>
      </c>
    </row>
    <row r="65" spans="1:10">
      <c r="B65" s="46" t="s">
        <v>105</v>
      </c>
      <c r="H65" s="17" t="s">
        <v>211</v>
      </c>
      <c r="I65" s="13" t="s">
        <v>212</v>
      </c>
      <c r="J65" s="47">
        <v>0.35</v>
      </c>
    </row>
    <row r="66" spans="1:10">
      <c r="H66" s="17" t="s">
        <v>213</v>
      </c>
      <c r="I66" s="13" t="s">
        <v>214</v>
      </c>
      <c r="J66" s="47">
        <v>0.4</v>
      </c>
    </row>
    <row r="67" spans="1:10">
      <c r="H67" s="17" t="s">
        <v>215</v>
      </c>
      <c r="I67" s="13" t="s">
        <v>216</v>
      </c>
      <c r="J67" s="47">
        <v>0.25</v>
      </c>
    </row>
    <row r="68" spans="1:10">
      <c r="A68" s="21" t="s">
        <v>255</v>
      </c>
      <c r="H68" s="17" t="s">
        <v>217</v>
      </c>
      <c r="I68" s="13" t="s">
        <v>218</v>
      </c>
      <c r="J68" s="47">
        <v>0.4</v>
      </c>
    </row>
    <row r="69" spans="1:10">
      <c r="A69" s="11" t="s">
        <v>256</v>
      </c>
      <c r="B69" s="11" t="s">
        <v>259</v>
      </c>
      <c r="C69" s="11" t="s">
        <v>261</v>
      </c>
      <c r="D69" s="11" t="s">
        <v>265</v>
      </c>
      <c r="E69" s="11" t="s">
        <v>274</v>
      </c>
      <c r="H69" s="17" t="s">
        <v>219</v>
      </c>
      <c r="I69" s="13" t="s">
        <v>220</v>
      </c>
      <c r="J69" s="47">
        <v>0.25</v>
      </c>
    </row>
    <row r="70" spans="1:10">
      <c r="A70" s="17" t="s">
        <v>257</v>
      </c>
      <c r="B70" s="17">
        <v>100</v>
      </c>
      <c r="C70" s="17" t="s">
        <v>262</v>
      </c>
      <c r="D70" s="17" t="s">
        <v>266</v>
      </c>
      <c r="E70" s="17" t="s">
        <v>275</v>
      </c>
      <c r="H70" s="17" t="s">
        <v>221</v>
      </c>
      <c r="I70" s="13" t="s">
        <v>222</v>
      </c>
      <c r="J70" s="47">
        <v>0.35</v>
      </c>
    </row>
    <row r="71" spans="1:10">
      <c r="A71" s="17" t="s">
        <v>258</v>
      </c>
      <c r="B71" s="17">
        <v>80</v>
      </c>
      <c r="C71" s="17" t="s">
        <v>263</v>
      </c>
      <c r="D71" s="17" t="s">
        <v>267</v>
      </c>
      <c r="E71" s="17" t="s">
        <v>276</v>
      </c>
      <c r="H71" s="17" t="s">
        <v>223</v>
      </c>
      <c r="I71" s="13" t="s">
        <v>224</v>
      </c>
      <c r="J71" s="47">
        <v>0.45</v>
      </c>
    </row>
    <row r="72" spans="1:10">
      <c r="B72" s="17">
        <v>50</v>
      </c>
      <c r="C72" s="17" t="s">
        <v>264</v>
      </c>
      <c r="D72" s="17" t="s">
        <v>268</v>
      </c>
      <c r="E72" s="17" t="s">
        <v>277</v>
      </c>
      <c r="H72" s="17" t="s">
        <v>225</v>
      </c>
      <c r="I72" s="13" t="s">
        <v>226</v>
      </c>
      <c r="J72" s="47">
        <v>0.3</v>
      </c>
    </row>
    <row r="73" spans="1:10">
      <c r="B73" s="17">
        <v>20</v>
      </c>
      <c r="D73" s="17" t="s">
        <v>269</v>
      </c>
      <c r="H73" s="17" t="s">
        <v>227</v>
      </c>
      <c r="I73" s="13" t="s">
        <v>228</v>
      </c>
      <c r="J73" s="47">
        <v>0.25</v>
      </c>
    </row>
    <row r="74" spans="1:10">
      <c r="B74" s="17" t="s">
        <v>260</v>
      </c>
      <c r="D74" s="17" t="s">
        <v>270</v>
      </c>
      <c r="H74" s="17" t="s">
        <v>229</v>
      </c>
      <c r="I74" s="13" t="s">
        <v>230</v>
      </c>
      <c r="J74" s="47">
        <v>0.35</v>
      </c>
    </row>
    <row r="75" spans="1:10">
      <c r="D75" s="17" t="s">
        <v>271</v>
      </c>
      <c r="H75" s="17" t="s">
        <v>231</v>
      </c>
      <c r="I75" s="13" t="s">
        <v>232</v>
      </c>
      <c r="J75" s="47">
        <v>0.4</v>
      </c>
    </row>
    <row r="76" spans="1:10">
      <c r="D76" s="17" t="s">
        <v>272</v>
      </c>
      <c r="H76" s="17" t="s">
        <v>233</v>
      </c>
      <c r="I76" s="13" t="s">
        <v>234</v>
      </c>
      <c r="J76" s="47">
        <v>0.25</v>
      </c>
    </row>
    <row r="77" spans="1:10">
      <c r="D77" s="17" t="s">
        <v>273</v>
      </c>
      <c r="H77" s="17" t="s">
        <v>235</v>
      </c>
      <c r="I77" s="13" t="s">
        <v>236</v>
      </c>
      <c r="J77" s="47">
        <v>0.5</v>
      </c>
    </row>
    <row r="78" spans="1:10">
      <c r="H78" s="17" t="s">
        <v>237</v>
      </c>
      <c r="I78" s="13" t="s">
        <v>238</v>
      </c>
      <c r="J78" s="47">
        <v>0.2</v>
      </c>
    </row>
    <row r="79" spans="1:10">
      <c r="H79" s="17" t="s">
        <v>239</v>
      </c>
      <c r="I79" s="13" t="s">
        <v>240</v>
      </c>
      <c r="J79" s="47">
        <v>0.3</v>
      </c>
    </row>
    <row r="80" spans="1:10">
      <c r="H80" s="17" t="s">
        <v>241</v>
      </c>
      <c r="I80" s="13" t="s">
        <v>242</v>
      </c>
      <c r="J80" s="47">
        <v>0.35</v>
      </c>
    </row>
    <row r="81" spans="8:10">
      <c r="H81" s="17" t="s">
        <v>243</v>
      </c>
      <c r="I81" s="13" t="s">
        <v>244</v>
      </c>
      <c r="J81" s="47">
        <v>0.4</v>
      </c>
    </row>
    <row r="82" spans="8:10">
      <c r="H82" s="17" t="s">
        <v>245</v>
      </c>
      <c r="I82" s="13" t="s">
        <v>246</v>
      </c>
      <c r="J82" s="47">
        <v>0.25</v>
      </c>
    </row>
    <row r="83" spans="8:10">
      <c r="H83" s="17" t="s">
        <v>247</v>
      </c>
      <c r="I83" s="13" t="s">
        <v>248</v>
      </c>
      <c r="J83" s="47">
        <v>0.3</v>
      </c>
    </row>
    <row r="84" spans="8:10">
      <c r="H84" s="17" t="s">
        <v>249</v>
      </c>
      <c r="I84" s="13" t="s">
        <v>250</v>
      </c>
      <c r="J84" s="47">
        <v>0.3</v>
      </c>
    </row>
    <row r="85" spans="8:10">
      <c r="H85" s="17" t="s">
        <v>251</v>
      </c>
      <c r="I85" s="13" t="s">
        <v>252</v>
      </c>
      <c r="J85" s="47">
        <v>0.15</v>
      </c>
    </row>
    <row r="86" spans="8:10">
      <c r="H86" s="17" t="s">
        <v>253</v>
      </c>
      <c r="I86" s="13" t="s">
        <v>254</v>
      </c>
      <c r="J86" s="47">
        <v>0.25</v>
      </c>
    </row>
  </sheetData>
  <sheetProtection sheet="1" objects="1" scenarios="1" formatColumns="0" formatRows="0"/>
  <conditionalFormatting sqref="C46:E46">
    <cfRule type="expression" dxfId="0" priority="1">
      <formula>ROUND(C46,4)&lt;&gt;1</formula>
    </cfRule>
  </conditionalFormatting>
  <conditionalFormatting sqref="C56">
    <cfRule type="expression" dxfId="0" priority="2">
      <formula>ROUND(C56,4)&lt;&gt;1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44"/>
  <sheetViews>
    <sheetView workbookViewId="0">
      <pane ySplit="4" topLeftCell="A5" activePane="bottomLeft" state="frozen"/>
      <selection pane="bottomLeft"/>
    </sheetView>
  </sheetViews>
  <sheetFormatPr defaultRowHeight="15"/>
  <cols>
    <col min="1" max="1" width="5.7109375" customWidth="1"/>
    <col min="2" max="2" width="16.7109375" customWidth="1"/>
    <col min="3" max="3" width="10.7109375" customWidth="1"/>
    <col min="4" max="4" width="70.7109375" customWidth="1"/>
    <col min="5" max="5" width="60.7109375" customWidth="1"/>
    <col min="6" max="8" width="22.7109375" customWidth="1"/>
  </cols>
  <sheetData>
    <row r="1" spans="1:5">
      <c r="A1" s="1" t="s">
        <v>820</v>
      </c>
    </row>
    <row r="2" spans="1:5">
      <c r="A2" s="2" t="s">
        <v>821</v>
      </c>
    </row>
    <row r="4" spans="1:5">
      <c r="A4" s="11" t="s">
        <v>822</v>
      </c>
      <c r="B4" s="11" t="s">
        <v>823</v>
      </c>
      <c r="C4" s="11" t="s">
        <v>824</v>
      </c>
      <c r="D4" s="11" t="s">
        <v>825</v>
      </c>
      <c r="E4" s="11" t="s">
        <v>826</v>
      </c>
    </row>
    <row r="5" spans="1:5" ht="58" customHeight="1">
      <c r="A5" s="15">
        <v>1</v>
      </c>
      <c r="B5" s="17" t="s">
        <v>827</v>
      </c>
      <c r="C5" s="17" t="s">
        <v>828</v>
      </c>
      <c r="D5" s="13" t="s">
        <v>829</v>
      </c>
      <c r="E5" s="13" t="s">
        <v>830</v>
      </c>
    </row>
    <row r="6" spans="1:5" ht="58" customHeight="1">
      <c r="A6" s="15">
        <v>2</v>
      </c>
      <c r="B6" s="17" t="s">
        <v>827</v>
      </c>
      <c r="C6" s="17" t="s">
        <v>831</v>
      </c>
      <c r="D6" s="13" t="s">
        <v>832</v>
      </c>
      <c r="E6" s="13" t="s">
        <v>833</v>
      </c>
    </row>
    <row r="7" spans="1:5" ht="58" customHeight="1">
      <c r="A7" s="15">
        <v>3</v>
      </c>
      <c r="B7" s="17" t="s">
        <v>834</v>
      </c>
      <c r="C7" s="17" t="s">
        <v>828</v>
      </c>
      <c r="D7" s="13" t="s">
        <v>835</v>
      </c>
      <c r="E7" s="13" t="s">
        <v>836</v>
      </c>
    </row>
    <row r="8" spans="1:5" ht="58" customHeight="1">
      <c r="A8" s="15">
        <v>4</v>
      </c>
      <c r="B8" s="17" t="s">
        <v>837</v>
      </c>
      <c r="C8" s="17" t="s">
        <v>831</v>
      </c>
      <c r="D8" s="13" t="s">
        <v>838</v>
      </c>
      <c r="E8" s="13" t="s">
        <v>839</v>
      </c>
    </row>
    <row r="9" spans="1:5" ht="58" customHeight="1">
      <c r="A9" s="15">
        <v>5</v>
      </c>
      <c r="B9" s="17" t="s">
        <v>837</v>
      </c>
      <c r="C9" s="17" t="s">
        <v>828</v>
      </c>
      <c r="D9" s="13" t="s">
        <v>840</v>
      </c>
      <c r="E9" s="13" t="s">
        <v>841</v>
      </c>
    </row>
    <row r="10" spans="1:5" ht="58" customHeight="1">
      <c r="A10" s="15">
        <v>6</v>
      </c>
      <c r="B10" s="17" t="s">
        <v>837</v>
      </c>
      <c r="C10" s="17" t="s">
        <v>831</v>
      </c>
      <c r="D10" s="13" t="s">
        <v>842</v>
      </c>
      <c r="E10" s="13" t="s">
        <v>843</v>
      </c>
    </row>
    <row r="11" spans="1:5" ht="58" customHeight="1">
      <c r="A11" s="15">
        <v>7</v>
      </c>
      <c r="B11" s="17" t="s">
        <v>844</v>
      </c>
      <c r="C11" s="17" t="s">
        <v>102</v>
      </c>
      <c r="D11" s="13" t="s">
        <v>845</v>
      </c>
      <c r="E11" s="13" t="s">
        <v>846</v>
      </c>
    </row>
    <row r="12" spans="1:5" ht="58" customHeight="1">
      <c r="A12" s="15">
        <v>8</v>
      </c>
      <c r="B12" s="17" t="s">
        <v>847</v>
      </c>
      <c r="C12" s="17" t="s">
        <v>828</v>
      </c>
      <c r="D12" s="13" t="s">
        <v>848</v>
      </c>
      <c r="E12" s="13" t="s">
        <v>849</v>
      </c>
    </row>
    <row r="13" spans="1:5" ht="58" customHeight="1">
      <c r="A13" s="15">
        <v>9</v>
      </c>
      <c r="B13" s="17" t="s">
        <v>850</v>
      </c>
      <c r="C13" s="17" t="s">
        <v>831</v>
      </c>
      <c r="D13" s="13" t="s">
        <v>851</v>
      </c>
      <c r="E13" s="13" t="s">
        <v>852</v>
      </c>
    </row>
    <row r="14" spans="1:5" ht="58" customHeight="1">
      <c r="A14" s="15">
        <v>10</v>
      </c>
      <c r="B14" s="17" t="s">
        <v>853</v>
      </c>
      <c r="C14" s="17" t="s">
        <v>831</v>
      </c>
      <c r="D14" s="13" t="s">
        <v>854</v>
      </c>
      <c r="E14" s="13" t="s">
        <v>855</v>
      </c>
    </row>
    <row r="15" spans="1:5" ht="58" customHeight="1">
      <c r="A15" s="15">
        <v>11</v>
      </c>
      <c r="B15" s="17" t="s">
        <v>468</v>
      </c>
      <c r="C15" s="17" t="s">
        <v>831</v>
      </c>
      <c r="D15" s="13" t="s">
        <v>856</v>
      </c>
      <c r="E15" s="13" t="s">
        <v>857</v>
      </c>
    </row>
    <row r="16" spans="1:5" ht="58" customHeight="1">
      <c r="A16" s="15">
        <v>12</v>
      </c>
      <c r="B16" s="17" t="s">
        <v>807</v>
      </c>
      <c r="C16" s="17" t="s">
        <v>831</v>
      </c>
      <c r="D16" s="13" t="s">
        <v>858</v>
      </c>
      <c r="E16" s="13" t="s">
        <v>859</v>
      </c>
    </row>
    <row r="17" spans="1:8" ht="58" customHeight="1">
      <c r="A17" s="15">
        <v>13</v>
      </c>
      <c r="B17" s="17" t="s">
        <v>860</v>
      </c>
      <c r="C17" s="17" t="s">
        <v>861</v>
      </c>
      <c r="D17" s="13" t="s">
        <v>862</v>
      </c>
      <c r="E17" s="13" t="s">
        <v>863</v>
      </c>
    </row>
    <row r="18" spans="1:8" ht="58" customHeight="1">
      <c r="A18" s="15">
        <v>14</v>
      </c>
      <c r="B18" s="17" t="s">
        <v>864</v>
      </c>
      <c r="C18" s="17" t="s">
        <v>828</v>
      </c>
      <c r="D18" s="13" t="s">
        <v>865</v>
      </c>
      <c r="E18" s="13" t="s">
        <v>866</v>
      </c>
    </row>
    <row r="19" spans="1:8" ht="58" customHeight="1">
      <c r="A19" s="15">
        <v>15</v>
      </c>
      <c r="B19" s="17" t="s">
        <v>867</v>
      </c>
      <c r="C19" s="17" t="s">
        <v>828</v>
      </c>
      <c r="D19" s="13" t="s">
        <v>868</v>
      </c>
      <c r="E19" s="13" t="s">
        <v>869</v>
      </c>
    </row>
    <row r="22" spans="1:8">
      <c r="B22" s="21" t="s">
        <v>870</v>
      </c>
    </row>
    <row r="23" spans="1:8">
      <c r="B23" s="11" t="s">
        <v>871</v>
      </c>
      <c r="D23" s="11" t="s">
        <v>872</v>
      </c>
      <c r="E23" s="11" t="s">
        <v>873</v>
      </c>
      <c r="F23" s="11" t="s">
        <v>874</v>
      </c>
      <c r="G23" s="11" t="s">
        <v>875</v>
      </c>
      <c r="H23" s="11" t="s">
        <v>876</v>
      </c>
    </row>
    <row r="24" spans="1:8" ht="30" customHeight="1">
      <c r="B24" s="21" t="s">
        <v>132</v>
      </c>
      <c r="D24" s="15">
        <v>9</v>
      </c>
      <c r="E24" s="15">
        <f>'C1'!B255</f>
        <v>0</v>
      </c>
      <c r="F24" s="7" t="s">
        <v>877</v>
      </c>
      <c r="G24" s="7">
        <f>'C1'!B35</f>
        <v>0</v>
      </c>
      <c r="H24" s="13">
        <f>'C1'!B8</f>
        <v>0</v>
      </c>
    </row>
    <row r="25" spans="1:8" ht="30" customHeight="1">
      <c r="B25" s="21" t="s">
        <v>134</v>
      </c>
      <c r="D25" s="15">
        <v>6</v>
      </c>
      <c r="E25" s="15">
        <f>'C2'!B255</f>
        <v>0</v>
      </c>
      <c r="F25" s="7" t="s">
        <v>878</v>
      </c>
      <c r="G25" s="7">
        <f>'C2'!B35</f>
        <v>0</v>
      </c>
      <c r="H25" s="13">
        <f>'C2'!B8</f>
        <v>0</v>
      </c>
    </row>
    <row r="26" spans="1:8" ht="30" customHeight="1">
      <c r="B26" s="21" t="s">
        <v>136</v>
      </c>
      <c r="D26" s="15">
        <v>4</v>
      </c>
      <c r="E26" s="15">
        <f>'C3'!B255</f>
        <v>0</v>
      </c>
      <c r="F26" s="7" t="s">
        <v>878</v>
      </c>
      <c r="G26" s="7">
        <f>'C3'!B35</f>
        <v>0</v>
      </c>
      <c r="H26" s="13">
        <f>'C3'!B8</f>
        <v>0</v>
      </c>
    </row>
    <row r="27" spans="1:8" ht="30" customHeight="1">
      <c r="B27" s="21" t="s">
        <v>736</v>
      </c>
      <c r="D27" s="15">
        <v>3</v>
      </c>
      <c r="E27" s="15">
        <f>'C4A'!B255</f>
        <v>0</v>
      </c>
      <c r="F27" s="7" t="s">
        <v>877</v>
      </c>
      <c r="G27" s="7">
        <f>'C4A'!B35</f>
        <v>0</v>
      </c>
      <c r="H27" s="13">
        <f>'C4A'!B8</f>
        <v>0</v>
      </c>
    </row>
    <row r="28" spans="1:8" ht="30" customHeight="1">
      <c r="B28" s="21" t="s">
        <v>737</v>
      </c>
      <c r="D28" s="15">
        <v>6</v>
      </c>
      <c r="E28" s="15">
        <f>'C4B'!B255</f>
        <v>0</v>
      </c>
      <c r="F28" s="7" t="s">
        <v>877</v>
      </c>
      <c r="G28" s="7">
        <f>'C4B'!B35</f>
        <v>0</v>
      </c>
      <c r="H28" s="13">
        <f>'C4B'!B8</f>
        <v>0</v>
      </c>
    </row>
    <row r="29" spans="1:8" ht="30" customHeight="1">
      <c r="B29" s="21" t="s">
        <v>140</v>
      </c>
      <c r="D29" s="15">
        <v>6</v>
      </c>
      <c r="E29" s="15">
        <f>'C5'!B255</f>
        <v>0</v>
      </c>
      <c r="F29" s="7" t="s">
        <v>879</v>
      </c>
      <c r="G29" s="7">
        <f>'C5'!B35</f>
        <v>0</v>
      </c>
      <c r="H29" s="13">
        <f>'C5'!B8</f>
        <v>0</v>
      </c>
    </row>
    <row r="31" spans="1:8" ht="58" customHeight="1">
      <c r="B31" s="4" t="s">
        <v>880</v>
      </c>
      <c r="C31" s="4"/>
      <c r="D31" s="4"/>
      <c r="E31" s="4"/>
      <c r="F31" s="4"/>
      <c r="G31" s="4"/>
      <c r="H31" s="4"/>
    </row>
    <row r="33" spans="1:5">
      <c r="B33" s="21" t="s">
        <v>881</v>
      </c>
    </row>
    <row r="34" spans="1:5">
      <c r="A34" s="11" t="s">
        <v>822</v>
      </c>
      <c r="B34" s="11" t="s">
        <v>823</v>
      </c>
      <c r="C34" s="11" t="s">
        <v>824</v>
      </c>
      <c r="D34" s="11" t="s">
        <v>882</v>
      </c>
      <c r="E34" s="11" t="s">
        <v>883</v>
      </c>
    </row>
    <row r="35" spans="1:5" ht="45" customHeight="1">
      <c r="A35" s="15">
        <v>1</v>
      </c>
      <c r="B35" s="17" t="s">
        <v>884</v>
      </c>
      <c r="C35" s="17" t="s">
        <v>831</v>
      </c>
      <c r="D35" s="13" t="s">
        <v>885</v>
      </c>
      <c r="E35" s="13" t="s">
        <v>886</v>
      </c>
    </row>
    <row r="36" spans="1:5" ht="45" customHeight="1">
      <c r="A36" s="15">
        <v>2</v>
      </c>
      <c r="B36" s="17" t="s">
        <v>827</v>
      </c>
      <c r="C36" s="17" t="s">
        <v>831</v>
      </c>
      <c r="D36" s="13" t="s">
        <v>887</v>
      </c>
      <c r="E36" s="13" t="s">
        <v>888</v>
      </c>
    </row>
    <row r="37" spans="1:5" ht="45" customHeight="1">
      <c r="A37" s="15">
        <v>3</v>
      </c>
      <c r="B37" s="17" t="s">
        <v>837</v>
      </c>
      <c r="C37" s="17" t="s">
        <v>828</v>
      </c>
      <c r="D37" s="13" t="s">
        <v>889</v>
      </c>
      <c r="E37" s="13" t="s">
        <v>890</v>
      </c>
    </row>
    <row r="38" spans="1:5" ht="45" customHeight="1">
      <c r="A38" s="15">
        <v>4</v>
      </c>
      <c r="B38" s="17" t="s">
        <v>844</v>
      </c>
      <c r="C38" s="17" t="s">
        <v>861</v>
      </c>
      <c r="D38" s="13" t="s">
        <v>891</v>
      </c>
      <c r="E38" s="13" t="s">
        <v>892</v>
      </c>
    </row>
    <row r="39" spans="1:5" ht="45" customHeight="1">
      <c r="A39" s="15">
        <v>5</v>
      </c>
      <c r="B39" s="17" t="s">
        <v>468</v>
      </c>
      <c r="C39" s="17" t="s">
        <v>828</v>
      </c>
      <c r="D39" s="13" t="s">
        <v>893</v>
      </c>
      <c r="E39" s="13" t="s">
        <v>894</v>
      </c>
    </row>
    <row r="40" spans="1:5" ht="45" customHeight="1">
      <c r="A40" s="15">
        <v>6</v>
      </c>
      <c r="B40" s="17" t="s">
        <v>468</v>
      </c>
      <c r="C40" s="17" t="s">
        <v>831</v>
      </c>
      <c r="D40" s="13" t="s">
        <v>895</v>
      </c>
      <c r="E40" s="13" t="s">
        <v>896</v>
      </c>
    </row>
    <row r="41" spans="1:5" ht="45" customHeight="1">
      <c r="A41" s="15">
        <v>7</v>
      </c>
      <c r="B41" s="17" t="s">
        <v>897</v>
      </c>
      <c r="C41" s="17" t="s">
        <v>831</v>
      </c>
      <c r="D41" s="13" t="s">
        <v>898</v>
      </c>
      <c r="E41" s="13" t="s">
        <v>899</v>
      </c>
    </row>
    <row r="42" spans="1:5" ht="45" customHeight="1">
      <c r="A42" s="15">
        <v>8</v>
      </c>
      <c r="B42" s="17" t="s">
        <v>897</v>
      </c>
      <c r="C42" s="17" t="s">
        <v>861</v>
      </c>
      <c r="D42" s="13" t="s">
        <v>900</v>
      </c>
      <c r="E42" s="13" t="s">
        <v>901</v>
      </c>
    </row>
    <row r="43" spans="1:5" ht="45" customHeight="1">
      <c r="A43" s="15">
        <v>9</v>
      </c>
      <c r="B43" s="17" t="s">
        <v>897</v>
      </c>
      <c r="C43" s="17" t="s">
        <v>861</v>
      </c>
      <c r="D43" s="13" t="s">
        <v>902</v>
      </c>
      <c r="E43" s="13" t="s">
        <v>903</v>
      </c>
    </row>
    <row r="44" spans="1:5" ht="45" customHeight="1">
      <c r="A44" s="15">
        <v>10</v>
      </c>
      <c r="B44" s="17" t="s">
        <v>904</v>
      </c>
      <c r="C44" s="17" t="s">
        <v>905</v>
      </c>
      <c r="D44" s="13" t="s">
        <v>906</v>
      </c>
      <c r="E44" s="13" t="s">
        <v>907</v>
      </c>
    </row>
  </sheetData>
  <sheetProtection sheet="1" objects="1" scenarios="1" formatColumns="0" formatRows="0"/>
  <mergeCells count="1">
    <mergeCell ref="B31:H31"/>
  </mergeCells>
  <conditionalFormatting sqref="C35:C44">
    <cfRule type="cellIs" dxfId="3" priority="3" operator="equal">
      <formula>"Élevée"</formula>
    </cfRule>
  </conditionalFormatting>
  <conditionalFormatting sqref="C5:C20">
    <cfRule type="cellIs" dxfId="0" priority="1" operator="equal">
      <formula>"Critique"</formula>
    </cfRule>
    <cfRule type="cellIs" dxfId="3" priority="2" operator="equal">
      <formula>"Élevée"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4"/>
  <sheetViews>
    <sheetView workbookViewId="0">
      <pane ySplit="4" topLeftCell="A5" activePane="bottomLeft" state="frozen"/>
      <selection pane="bottomLeft"/>
    </sheetView>
  </sheetViews>
  <sheetFormatPr defaultRowHeight="15"/>
  <cols>
    <col min="1" max="1" width="18.7109375" customWidth="1"/>
    <col min="2" max="3" width="20.7109375" customWidth="1"/>
    <col min="4" max="4" width="16.7109375" customWidth="1"/>
    <col min="5" max="5" width="70.7109375" customWidth="1"/>
  </cols>
  <sheetData>
    <row r="1" spans="1:5">
      <c r="A1" s="1" t="s">
        <v>908</v>
      </c>
    </row>
    <row r="2" spans="1:5">
      <c r="A2" s="2" t="s">
        <v>909</v>
      </c>
    </row>
    <row r="4" spans="1:5">
      <c r="A4" s="11" t="s">
        <v>910</v>
      </c>
      <c r="B4" s="11" t="s">
        <v>911</v>
      </c>
      <c r="C4" s="11" t="s">
        <v>912</v>
      </c>
      <c r="D4" s="11" t="s">
        <v>913</v>
      </c>
      <c r="E4" s="11" t="s">
        <v>914</v>
      </c>
    </row>
  </sheetData>
  <sheetProtection sheet="1" objects="1" scenarios="1" formatColumns="0" formatRows="0" sort="0" autoFilter="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70</vt:i4>
      </vt:variant>
    </vt:vector>
  </HeadingPairs>
  <TitlesOfParts>
    <vt:vector size="83" baseType="lpstr">
      <vt:lpstr>Accueil</vt:lpstr>
      <vt:lpstr>Synthèse</vt:lpstr>
      <vt:lpstr>Fiche comité</vt:lpstr>
      <vt:lpstr>C1</vt:lpstr>
      <vt:lpstr>C2</vt:lpstr>
      <vt:lpstr>C3</vt:lpstr>
      <vt:lpstr>C4A</vt:lpstr>
      <vt:lpstr>C4B</vt:lpstr>
      <vt:lpstr>C5</vt:lpstr>
      <vt:lpstr>Modèle</vt:lpstr>
      <vt:lpstr>Paramètres</vt:lpstr>
      <vt:lpstr>Diagnostic</vt:lpstr>
      <vt:lpstr>Journal</vt:lpstr>
      <vt:lpstr>L_Nature</vt:lpstr>
      <vt:lpstr>L_Notes</vt:lpstr>
      <vt:lpstr>L_OuiNon</vt:lpstr>
      <vt:lpstr>L_Periodicite</vt:lpstr>
      <vt:lpstr>L_QualAch</vt:lpstr>
      <vt:lpstr>P_Ancre_C</vt:lpstr>
      <vt:lpstr>P_Ancre_F</vt:lpstr>
      <vt:lpstr>P_Ancre_TF</vt:lpstr>
      <vt:lpstr>P_Ancre_V</vt:lpstr>
      <vt:lpstr>P_C10</vt:lpstr>
      <vt:lpstr>P_C13</vt:lpstr>
      <vt:lpstr>P_C1</vt:lpstr>
      <vt:lpstr>P_C3</vt:lpstr>
      <vt:lpstr>P_C4</vt:lpstr>
      <vt:lpstr>P_C6</vt:lpstr>
      <vt:lpstr>P_C7</vt:lpstr>
      <vt:lpstr>P_C8</vt:lpstr>
      <vt:lpstr>P_C9</vt:lpstr>
      <vt:lpstr>P_ConvLib</vt:lpstr>
      <vt:lpstr>P_ConvNote</vt:lpstr>
      <vt:lpstr>P_ConvOrient</vt:lpstr>
      <vt:lpstr>P_ConvSeuil</vt:lpstr>
      <vt:lpstr>P_COUV</vt:lpstr>
      <vt:lpstr>P_Crit</vt:lpstr>
      <vt:lpstr>P_DomCodes</vt:lpstr>
      <vt:lpstr>P_DomLib</vt:lpstr>
      <vt:lpstr>P_Fav</vt:lpstr>
      <vt:lpstr>P_InfoInsuff</vt:lpstr>
      <vt:lpstr>P_L_CAPEX</vt:lpstr>
      <vt:lpstr>P_L_EXPO</vt:lpstr>
      <vt:lpstr>P_L_NBCP</vt:lpstr>
      <vt:lpstr>P_N3_F</vt:lpstr>
      <vt:lpstr>P_N3_TF</vt:lpstr>
      <vt:lpstr>P_N3_V</vt:lpstr>
      <vt:lpstr>P_PhaseCodes</vt:lpstr>
      <vt:lpstr>P_PhaseLib</vt:lpstr>
      <vt:lpstr>P_PhaseMaj</vt:lpstr>
      <vt:lpstr>P_PlafCode</vt:lpstr>
      <vt:lpstr>P_PlafFait</vt:lpstr>
      <vt:lpstr>P_PlafNiv</vt:lpstr>
      <vt:lpstr>P_PoidsDom</vt:lpstr>
      <vt:lpstr>P_PoidsHdr</vt:lpstr>
      <vt:lpstr>P_PoidsN</vt:lpstr>
      <vt:lpstr>P_Regimes</vt:lpstr>
      <vt:lpstr>P_RegLib</vt:lpstr>
      <vt:lpstr>P_S_CAPEX</vt:lpstr>
      <vt:lpstr>P_S_DUREE</vt:lpstr>
      <vt:lpstr>P_S_EXPO</vt:lpstr>
      <vt:lpstr>P_SCCle</vt:lpstr>
      <vt:lpstr>P_SCPoids</vt:lpstr>
      <vt:lpstr>P_SecCodes</vt:lpstr>
      <vt:lpstr>P_SecDelta</vt:lpstr>
      <vt:lpstr>P_SecLib</vt:lpstr>
      <vt:lpstr>P_Vig</vt:lpstr>
      <vt:lpstr>'C1'!Print_Area</vt:lpstr>
      <vt:lpstr>'C2'!Print_Area</vt:lpstr>
      <vt:lpstr>'C3'!Print_Area</vt:lpstr>
      <vt:lpstr>'C4A'!Print_Area</vt:lpstr>
      <vt:lpstr>'C4B'!Print_Area</vt:lpstr>
      <vt:lpstr>'C5'!Print_Area</vt:lpstr>
      <vt:lpstr>'Fiche comité'!Print_Area</vt:lpstr>
      <vt:lpstr>Modèle!Print_Area</vt:lpstr>
      <vt:lpstr>Synthèse!Print_Area</vt:lpstr>
      <vt:lpstr>'C1'!Print_Titles</vt:lpstr>
      <vt:lpstr>'C2'!Print_Titles</vt:lpstr>
      <vt:lpstr>'C3'!Print_Titles</vt:lpstr>
      <vt:lpstr>'C4A'!Print_Titles</vt:lpstr>
      <vt:lpstr>'C4B'!Print_Titles</vt:lpstr>
      <vt:lpstr>'C5'!Print_Titles</vt:lpstr>
      <vt:lpstr>Modèle!Print_Titles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Outil de scoring Project Finance V8 — version 2</dc:title>
  <dc:subject>Scoring PF — Maroc</dc:subject>
  <dc:creator/>
  <dc:description>Dossiers d'étude fictifs. Paramètres candidats non approuvés.</dc:description>
  <cp:lastModifiedBy/>
  <dcterms:created xsi:type="dcterms:W3CDTF">2026-10-05T15:26:27Z</dcterms:created>
  <dcterms:modified xsi:type="dcterms:W3CDTF">2026-10-05T15:26:27Z</dcterms:modified>
</cp:coreProperties>
</file>